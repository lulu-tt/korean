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-150" windowWidth="15480" windowHeight="11565"/>
  </bookViews>
  <sheets>
    <sheet name="어휘" sheetId="2" r:id="rId1"/>
    <sheet name="음운" sheetId="3" r:id="rId2"/>
    <sheet name="문법" sheetId="4" r:id="rId3"/>
    <sheet name="강원 지역어 어휘조사(종합출력)" sheetId="1" r:id="rId4"/>
  </sheets>
  <definedNames>
    <definedName name="_xlnm.Print_Titles" localSheetId="2">문법!$2:$2</definedName>
    <definedName name="_xlnm.Print_Titles" localSheetId="0">어휘!$3:$3</definedName>
    <definedName name="_xlnm.Print_Titles" localSheetId="1">음운!$2:$2</definedName>
  </definedNames>
  <calcPr calcId="144525" iterateCount="1"/>
</workbook>
</file>

<file path=xl/calcChain.xml><?xml version="1.0" encoding="utf-8"?>
<calcChain xmlns="http://schemas.openxmlformats.org/spreadsheetml/2006/main">
  <c r="B11" i="1" l="1"/>
  <c r="B70" i="1"/>
  <c r="B71" i="1"/>
  <c r="B82" i="1"/>
  <c r="B85" i="1"/>
  <c r="B203" i="1"/>
  <c r="B204" i="1"/>
  <c r="B205" i="1"/>
  <c r="B219" i="1"/>
  <c r="B220" i="1"/>
  <c r="B224" i="1"/>
  <c r="B248" i="1"/>
  <c r="B249" i="1"/>
  <c r="B251" i="1"/>
  <c r="B262" i="1"/>
  <c r="B285" i="1"/>
  <c r="B329" i="1"/>
  <c r="B342" i="1"/>
  <c r="B354" i="1"/>
  <c r="B365" i="1"/>
  <c r="B369" i="1"/>
  <c r="B374" i="1"/>
  <c r="B388" i="1"/>
  <c r="B389" i="1"/>
  <c r="B392" i="1"/>
  <c r="B394" i="1"/>
  <c r="B400" i="1"/>
  <c r="B401" i="1"/>
  <c r="B407" i="1"/>
  <c r="B408" i="1"/>
  <c r="B420" i="1"/>
  <c r="B426" i="1"/>
  <c r="B428" i="1"/>
  <c r="B429" i="1"/>
  <c r="B450" i="1"/>
  <c r="B451" i="1"/>
  <c r="B584" i="1"/>
  <c r="B585" i="1"/>
  <c r="B602" i="1"/>
  <c r="B627" i="1"/>
  <c r="B628" i="1"/>
  <c r="B630" i="1"/>
  <c r="B631" i="1"/>
  <c r="B633" i="1"/>
  <c r="B634" i="1"/>
  <c r="B637" i="1"/>
  <c r="B638" i="1"/>
  <c r="B656" i="1"/>
  <c r="B676" i="1"/>
  <c r="B684" i="1"/>
  <c r="B685" i="1"/>
  <c r="B737" i="1"/>
  <c r="B767" i="1"/>
  <c r="B770" i="1"/>
  <c r="B771" i="1"/>
  <c r="B775" i="1"/>
  <c r="B778" i="1"/>
  <c r="B794" i="1"/>
  <c r="B806" i="1"/>
  <c r="B807" i="1"/>
  <c r="B809" i="1"/>
  <c r="B812" i="1"/>
  <c r="B827" i="1"/>
  <c r="B828" i="1"/>
  <c r="B845" i="1"/>
  <c r="B847" i="1"/>
  <c r="B853" i="1"/>
  <c r="B857" i="1"/>
  <c r="B859" i="1"/>
  <c r="B863" i="1"/>
  <c r="B864" i="1"/>
  <c r="B867" i="1"/>
  <c r="B887" i="1"/>
  <c r="B924" i="1"/>
  <c r="B925" i="1"/>
  <c r="B933" i="1"/>
  <c r="B967" i="1"/>
  <c r="B968" i="1"/>
  <c r="B978" i="1"/>
  <c r="B979" i="1"/>
  <c r="B982" i="1"/>
  <c r="B1034" i="1"/>
  <c r="B1035" i="1"/>
  <c r="B1038" i="1"/>
  <c r="B1095" i="1"/>
  <c r="B1096" i="1"/>
  <c r="B1146" i="1"/>
  <c r="B1243" i="1"/>
  <c r="B1273" i="1"/>
  <c r="B1381" i="1"/>
  <c r="B1385" i="1"/>
  <c r="B1394" i="1"/>
  <c r="B1401" i="1"/>
  <c r="B1402" i="1"/>
  <c r="B1433" i="1"/>
  <c r="B1479" i="1"/>
  <c r="B1485" i="1"/>
  <c r="B1486" i="1"/>
  <c r="B1490" i="1"/>
  <c r="B1493" i="1"/>
  <c r="B1494" i="1"/>
  <c r="B1495" i="1"/>
  <c r="B1499" i="1"/>
  <c r="B1500" i="1"/>
  <c r="B1509" i="1"/>
  <c r="B1510" i="1"/>
  <c r="B1511" i="1"/>
  <c r="B1515" i="1"/>
  <c r="B1529" i="1"/>
  <c r="B1559" i="1"/>
  <c r="B1573" i="1"/>
  <c r="B1578" i="1"/>
  <c r="B1579" i="1"/>
  <c r="B1581" i="1"/>
  <c r="B1582" i="1"/>
  <c r="B1585" i="1"/>
  <c r="B1606" i="1"/>
  <c r="B1610" i="1"/>
  <c r="B1612" i="1"/>
  <c r="B1620" i="1"/>
  <c r="B1634" i="1"/>
  <c r="B1643" i="1"/>
  <c r="B1645" i="1"/>
  <c r="B1687" i="1"/>
  <c r="B1688" i="1"/>
  <c r="B1719" i="1"/>
  <c r="B1725" i="1"/>
  <c r="B1732" i="1"/>
  <c r="B1733" i="1"/>
  <c r="B1735" i="1"/>
  <c r="B1736" i="1"/>
  <c r="B1738" i="1"/>
  <c r="B1739" i="1"/>
  <c r="B1741" i="1"/>
  <c r="B1742" i="1"/>
  <c r="B1744" i="1"/>
  <c r="B1745" i="1"/>
  <c r="B1747" i="1"/>
  <c r="B1748" i="1"/>
  <c r="B1750" i="1"/>
  <c r="B1751" i="1"/>
  <c r="B1753" i="1"/>
  <c r="B1754" i="1"/>
  <c r="B1756" i="1"/>
  <c r="B1757" i="1"/>
  <c r="B1759" i="1"/>
  <c r="B1760" i="1"/>
  <c r="B1762" i="1"/>
  <c r="B1763" i="1"/>
  <c r="B1765" i="1"/>
  <c r="B1766" i="1"/>
  <c r="B1768" i="1"/>
  <c r="B1769" i="1"/>
  <c r="B1771" i="1"/>
  <c r="B1772" i="1"/>
  <c r="B1774" i="1"/>
  <c r="B1775" i="1"/>
  <c r="B1777" i="1"/>
  <c r="B1778" i="1"/>
  <c r="B1780" i="1"/>
  <c r="B1781" i="1"/>
  <c r="B1783" i="1"/>
  <c r="B1784" i="1"/>
  <c r="B1786" i="1"/>
  <c r="B1787" i="1"/>
  <c r="B1789" i="1"/>
  <c r="B1790" i="1"/>
  <c r="B1792" i="1"/>
  <c r="B1793" i="1"/>
  <c r="B1795" i="1"/>
  <c r="B1796" i="1"/>
  <c r="B1798" i="1"/>
  <c r="B1799" i="1"/>
  <c r="B1801" i="1"/>
  <c r="B1802" i="1"/>
  <c r="B1804" i="1"/>
  <c r="B1805" i="1"/>
  <c r="B1807" i="1"/>
  <c r="B1808" i="1"/>
  <c r="B1810" i="1"/>
  <c r="B1811" i="1"/>
  <c r="B1813" i="1"/>
  <c r="B1814" i="1"/>
  <c r="B1816" i="1"/>
  <c r="B1817" i="1"/>
  <c r="B1819" i="1"/>
  <c r="B1820" i="1"/>
  <c r="B1822" i="1"/>
  <c r="B1823" i="1"/>
  <c r="B1825" i="1"/>
  <c r="B1826" i="1"/>
  <c r="B1828" i="1"/>
  <c r="B1829" i="1"/>
  <c r="B1831" i="1"/>
  <c r="B1832" i="1"/>
  <c r="B1834" i="1"/>
  <c r="B1835" i="1"/>
  <c r="B1836" i="1"/>
  <c r="B1838" i="1"/>
  <c r="B1839" i="1"/>
  <c r="B1840" i="1"/>
  <c r="B1842" i="1"/>
  <c r="B1843" i="1"/>
  <c r="B1844" i="1"/>
  <c r="B1846" i="1"/>
  <c r="B1847" i="1"/>
  <c r="B1848" i="1"/>
  <c r="B1850" i="1"/>
  <c r="B1851" i="1"/>
  <c r="B1852" i="1"/>
  <c r="B1854" i="1"/>
  <c r="B1855" i="1"/>
  <c r="B1856" i="1"/>
  <c r="B1858" i="1"/>
  <c r="B1859" i="1"/>
  <c r="B1860" i="1"/>
  <c r="B1862" i="1"/>
  <c r="B1863" i="1"/>
  <c r="B1864" i="1"/>
  <c r="B1866" i="1"/>
  <c r="B1867" i="1"/>
  <c r="B1868" i="1"/>
  <c r="B1870" i="1"/>
  <c r="B1871" i="1"/>
  <c r="B1872" i="1"/>
  <c r="B1874" i="1"/>
  <c r="B1875" i="1"/>
  <c r="B1876" i="1"/>
  <c r="B1878" i="1"/>
  <c r="B1879" i="1"/>
  <c r="B1880" i="1"/>
  <c r="B1882" i="1"/>
  <c r="B1883" i="1"/>
  <c r="B1884" i="1"/>
  <c r="B1886" i="1"/>
  <c r="B1887" i="1"/>
  <c r="B1888" i="1"/>
  <c r="B1890" i="1"/>
  <c r="B1891" i="1"/>
  <c r="B1892" i="1"/>
  <c r="B1894" i="1"/>
  <c r="B1895" i="1"/>
  <c r="B1896" i="1"/>
  <c r="B1898" i="1"/>
  <c r="B1899" i="1"/>
  <c r="B1900" i="1"/>
  <c r="B1902" i="1"/>
  <c r="B1903" i="1"/>
  <c r="B1904" i="1"/>
  <c r="B1906" i="1"/>
  <c r="B1907" i="1"/>
  <c r="B1909" i="1"/>
  <c r="B1910" i="1"/>
  <c r="B1912" i="1"/>
  <c r="B1913" i="1"/>
  <c r="B1915" i="1"/>
  <c r="B1916" i="1"/>
  <c r="B1918" i="1"/>
  <c r="B1919" i="1"/>
  <c r="B1921" i="1"/>
  <c r="B1922" i="1"/>
  <c r="B1924" i="1"/>
  <c r="B1925" i="1"/>
  <c r="B1927" i="1"/>
  <c r="B1928" i="1"/>
  <c r="B1930" i="1"/>
  <c r="B1931" i="1"/>
  <c r="B1933" i="1"/>
  <c r="B1934" i="1"/>
  <c r="B1936" i="1"/>
  <c r="B1937" i="1"/>
  <c r="B1939" i="1"/>
  <c r="B1940" i="1"/>
  <c r="B1942" i="1"/>
  <c r="B1943" i="1"/>
  <c r="B1945" i="1"/>
  <c r="B1946" i="1"/>
  <c r="B1948" i="1"/>
  <c r="B1949" i="1"/>
  <c r="B1951" i="1"/>
  <c r="B1952" i="1"/>
  <c r="B1954" i="1"/>
  <c r="B1955" i="1"/>
  <c r="B1957" i="1"/>
  <c r="B1958" i="1"/>
  <c r="B1960" i="1"/>
  <c r="B1961" i="1"/>
  <c r="B1963" i="1"/>
  <c r="B1964" i="1"/>
  <c r="B1966" i="1"/>
  <c r="B1967" i="1"/>
  <c r="B1969" i="1"/>
  <c r="B1970" i="1"/>
  <c r="B1972" i="1"/>
  <c r="B1973" i="1"/>
  <c r="B1975" i="1"/>
  <c r="B1976" i="1"/>
  <c r="B1978" i="1"/>
  <c r="B1979" i="1"/>
  <c r="B1981" i="1"/>
  <c r="B1982" i="1"/>
  <c r="B1984" i="1"/>
  <c r="B1985" i="1"/>
  <c r="B1987" i="1"/>
  <c r="B1988" i="1"/>
  <c r="B1990" i="1"/>
  <c r="B1991" i="1"/>
  <c r="B1993" i="1"/>
  <c r="B1994" i="1"/>
  <c r="B1996" i="1"/>
  <c r="B1997" i="1"/>
  <c r="B1999" i="1"/>
  <c r="B2000" i="1"/>
  <c r="B2002" i="1"/>
  <c r="B2003" i="1"/>
  <c r="B2005" i="1"/>
  <c r="B2006" i="1"/>
  <c r="B2008" i="1"/>
  <c r="B2009" i="1"/>
  <c r="B2011" i="1"/>
  <c r="B2012" i="1"/>
  <c r="B2014" i="1"/>
  <c r="B2015" i="1"/>
  <c r="B2016" i="1"/>
  <c r="B2017" i="1"/>
  <c r="B2020" i="1"/>
  <c r="B2021" i="1"/>
  <c r="B2022" i="1"/>
  <c r="B2023" i="1"/>
  <c r="B2026" i="1"/>
  <c r="B2027" i="1"/>
  <c r="B2028" i="1"/>
  <c r="B2029" i="1"/>
  <c r="B2032" i="1"/>
  <c r="B2033" i="1"/>
  <c r="B2034" i="1"/>
  <c r="B2035" i="1"/>
  <c r="B2038" i="1"/>
  <c r="B2039" i="1"/>
  <c r="B2040" i="1"/>
  <c r="B2041" i="1"/>
  <c r="B2044" i="1"/>
  <c r="B2045" i="1"/>
  <c r="B2046" i="1"/>
  <c r="B2047" i="1"/>
  <c r="B2050" i="1"/>
  <c r="B2051" i="1"/>
  <c r="B2052" i="1"/>
  <c r="B2053" i="1"/>
  <c r="B2056" i="1"/>
  <c r="B2057" i="1"/>
  <c r="B2058" i="1"/>
  <c r="B2059" i="1"/>
  <c r="B2062" i="1"/>
  <c r="B2063" i="1"/>
  <c r="B2064" i="1"/>
  <c r="B2065" i="1"/>
  <c r="B2068" i="1"/>
  <c r="B2069" i="1"/>
  <c r="B2070" i="1"/>
  <c r="B2071" i="1"/>
  <c r="B2074" i="1"/>
  <c r="B2075" i="1"/>
  <c r="B2076" i="1"/>
  <c r="B2077" i="1"/>
  <c r="B2080" i="1"/>
  <c r="B2081" i="1"/>
  <c r="B2082" i="1"/>
  <c r="B2083" i="1"/>
  <c r="B2086" i="1"/>
  <c r="B2087" i="1"/>
  <c r="B2088" i="1"/>
  <c r="B2089" i="1"/>
  <c r="B2092" i="1"/>
  <c r="B2093" i="1"/>
  <c r="B2094" i="1"/>
  <c r="B2095" i="1"/>
  <c r="B2098" i="1"/>
  <c r="B2099" i="1"/>
  <c r="B2100" i="1"/>
  <c r="B2101" i="1"/>
  <c r="B2104" i="1"/>
  <c r="B2105" i="1"/>
  <c r="B2106" i="1"/>
  <c r="B2107" i="1"/>
  <c r="B2110" i="1"/>
  <c r="B2111" i="1"/>
  <c r="B2112" i="1"/>
  <c r="B2113" i="1"/>
  <c r="B2116" i="1"/>
  <c r="B2117" i="1"/>
  <c r="B2118" i="1"/>
  <c r="B2119" i="1"/>
  <c r="B2122" i="1"/>
  <c r="B2123" i="1"/>
  <c r="B2124" i="1"/>
  <c r="B2125" i="1"/>
  <c r="B2128" i="1"/>
  <c r="B2129" i="1"/>
  <c r="B2130" i="1"/>
  <c r="B2131" i="1"/>
  <c r="B2134" i="1"/>
  <c r="B2135" i="1"/>
  <c r="B2136" i="1"/>
  <c r="B2137" i="1"/>
  <c r="B2140" i="1"/>
  <c r="B2141" i="1"/>
  <c r="B2142" i="1"/>
  <c r="B2143" i="1"/>
  <c r="B2146" i="1"/>
  <c r="B2147" i="1"/>
  <c r="B2148" i="1"/>
  <c r="B2149" i="1"/>
  <c r="B2152" i="1"/>
  <c r="B2153" i="1"/>
  <c r="B2154" i="1"/>
  <c r="B2155" i="1"/>
  <c r="B2158" i="1"/>
  <c r="B2159" i="1"/>
  <c r="B2160" i="1"/>
  <c r="B2161" i="1"/>
  <c r="B2164" i="1"/>
  <c r="B2165" i="1"/>
  <c r="B2166" i="1"/>
  <c r="B2167" i="1"/>
  <c r="B2170" i="1"/>
  <c r="B2171" i="1"/>
  <c r="B2172" i="1"/>
  <c r="B2173" i="1"/>
  <c r="B2176" i="1"/>
  <c r="B2177" i="1"/>
  <c r="B2178" i="1"/>
  <c r="B2179" i="1"/>
  <c r="B2182" i="1"/>
  <c r="B2183" i="1"/>
  <c r="B2184" i="1"/>
  <c r="B2185" i="1"/>
  <c r="B2188" i="1"/>
  <c r="B2189" i="1"/>
  <c r="B2190" i="1"/>
  <c r="B2191" i="1"/>
  <c r="B2194" i="1"/>
  <c r="B2195" i="1"/>
  <c r="B2196" i="1"/>
  <c r="B2197" i="1"/>
  <c r="B2200" i="1"/>
  <c r="B2201" i="1"/>
  <c r="B2202" i="1"/>
  <c r="B2203" i="1"/>
  <c r="B2206" i="1"/>
  <c r="B2207" i="1"/>
  <c r="B2208" i="1"/>
  <c r="B2209" i="1"/>
  <c r="B2212" i="1"/>
  <c r="B2213" i="1"/>
  <c r="B2214" i="1"/>
  <c r="B2215" i="1"/>
  <c r="B2218" i="1"/>
  <c r="B2219" i="1"/>
  <c r="B2220" i="1"/>
  <c r="B2221" i="1"/>
  <c r="B2224" i="1"/>
  <c r="B2225" i="1"/>
  <c r="B2226" i="1"/>
  <c r="B2227" i="1"/>
  <c r="B2230" i="1"/>
  <c r="B2231" i="1"/>
  <c r="B2232" i="1"/>
  <c r="B2233" i="1"/>
  <c r="B2236" i="1"/>
  <c r="B2237" i="1"/>
  <c r="B2238" i="1"/>
  <c r="B2239" i="1"/>
  <c r="B2242" i="1"/>
  <c r="B2243" i="1"/>
  <c r="B2244" i="1"/>
  <c r="B2245" i="1"/>
  <c r="B2248" i="1"/>
  <c r="B2249" i="1"/>
  <c r="B2250" i="1"/>
  <c r="B2251" i="1"/>
  <c r="B2254" i="1"/>
  <c r="B2255" i="1"/>
  <c r="B2256" i="1"/>
  <c r="B2257" i="1"/>
  <c r="B2260" i="1"/>
  <c r="B2261" i="1"/>
  <c r="B2262" i="1"/>
  <c r="B2263" i="1"/>
  <c r="B2266" i="1"/>
  <c r="B2267" i="1"/>
  <c r="B2268" i="1"/>
  <c r="B2269" i="1"/>
  <c r="B2272" i="1"/>
  <c r="B2273" i="1"/>
  <c r="B2274" i="1"/>
  <c r="B2275" i="1"/>
  <c r="B2278" i="1"/>
  <c r="B2279" i="1"/>
  <c r="B2280" i="1"/>
  <c r="B2281" i="1"/>
  <c r="B2284" i="1"/>
  <c r="B2285" i="1"/>
  <c r="B2286" i="1"/>
  <c r="B2287" i="1"/>
  <c r="B3145" i="1"/>
  <c r="B3146" i="1"/>
  <c r="B3148" i="1"/>
  <c r="B3149" i="1"/>
  <c r="B3151" i="1"/>
  <c r="B3152" i="1"/>
  <c r="B3154" i="1"/>
  <c r="B3155" i="1"/>
  <c r="B3157" i="1"/>
  <c r="B3158" i="1"/>
  <c r="B3160" i="1"/>
  <c r="B3161" i="1"/>
  <c r="B3163" i="1"/>
  <c r="B3164" i="1"/>
  <c r="B3166" i="1"/>
  <c r="B3167" i="1"/>
  <c r="B3169" i="1"/>
  <c r="B3170" i="1"/>
  <c r="B3172" i="1"/>
  <c r="B3173" i="1"/>
  <c r="B3175" i="1"/>
  <c r="B3176" i="1"/>
  <c r="B3178" i="1"/>
  <c r="B3179" i="1"/>
  <c r="B3181" i="1"/>
  <c r="B3182" i="1"/>
  <c r="B3184" i="1"/>
  <c r="B3185" i="1"/>
  <c r="B3187" i="1"/>
  <c r="B3188" i="1"/>
  <c r="B3190" i="1"/>
  <c r="B3191" i="1"/>
  <c r="B3193" i="1"/>
  <c r="B3194" i="1"/>
  <c r="B3196" i="1"/>
  <c r="B3197" i="1"/>
  <c r="B3199" i="1"/>
  <c r="B3200" i="1"/>
  <c r="B3202" i="1"/>
  <c r="B3203" i="1"/>
  <c r="B3205" i="1"/>
  <c r="B3206" i="1"/>
  <c r="B3208" i="1"/>
  <c r="B3209" i="1"/>
  <c r="B3211" i="1"/>
  <c r="B3212" i="1"/>
  <c r="B3214" i="1"/>
  <c r="B3215" i="1"/>
  <c r="B3217" i="1"/>
  <c r="B3218" i="1"/>
  <c r="B3220" i="1"/>
  <c r="B3221" i="1"/>
  <c r="B3223" i="1"/>
  <c r="B3224" i="1"/>
  <c r="B3226" i="1"/>
  <c r="B3227" i="1"/>
  <c r="B3229" i="1"/>
  <c r="B3230" i="1"/>
  <c r="B3232" i="1"/>
  <c r="B3233" i="1"/>
  <c r="B3235" i="1"/>
  <c r="B3236" i="1"/>
  <c r="B3238" i="1"/>
  <c r="B3239" i="1"/>
  <c r="B3241" i="1"/>
  <c r="B3242" i="1"/>
  <c r="B3244" i="1"/>
  <c r="B3245" i="1"/>
  <c r="B3247" i="1"/>
  <c r="B3248" i="1"/>
  <c r="B3250" i="1"/>
  <c r="B3251" i="1"/>
  <c r="B3253" i="1"/>
  <c r="B3254" i="1"/>
  <c r="B3256" i="1"/>
  <c r="B3257" i="1"/>
  <c r="B3259" i="1"/>
  <c r="B3260" i="1"/>
  <c r="B3262" i="1"/>
  <c r="B3263" i="1"/>
  <c r="B3265" i="1"/>
  <c r="B3266" i="1"/>
  <c r="B3268" i="1"/>
  <c r="B3269" i="1"/>
  <c r="B3271" i="1"/>
  <c r="B3272" i="1"/>
  <c r="B3274" i="1"/>
  <c r="B3275" i="1"/>
  <c r="B3277" i="1"/>
  <c r="B3278" i="1"/>
  <c r="B3280" i="1"/>
  <c r="B3281" i="1"/>
  <c r="B3283" i="1"/>
  <c r="B3284" i="1"/>
  <c r="B3286" i="1"/>
  <c r="B3287" i="1"/>
  <c r="B3289" i="1"/>
  <c r="B3290" i="1"/>
  <c r="B3292" i="1"/>
  <c r="B3293" i="1"/>
  <c r="B3295" i="1"/>
  <c r="B3296" i="1"/>
  <c r="B3298" i="1"/>
  <c r="B3299" i="1"/>
  <c r="B3301" i="1"/>
  <c r="B3302" i="1"/>
  <c r="B3304" i="1"/>
  <c r="B3305" i="1"/>
  <c r="B3307" i="1"/>
  <c r="B3308" i="1"/>
  <c r="B3310" i="1"/>
  <c r="B3311" i="1"/>
  <c r="B3313" i="1"/>
  <c r="B3314" i="1"/>
  <c r="B3316" i="1"/>
  <c r="B3317" i="1"/>
  <c r="B3319" i="1"/>
  <c r="B3320" i="1"/>
  <c r="B3322" i="1"/>
  <c r="B3323" i="1"/>
  <c r="B3325" i="1"/>
  <c r="B3326" i="1"/>
  <c r="B3328" i="1"/>
  <c r="B3329" i="1"/>
  <c r="B3496" i="1"/>
  <c r="B3497" i="1"/>
  <c r="B3498" i="1"/>
  <c r="B3499" i="1"/>
  <c r="B3500" i="1"/>
  <c r="B3501" i="1"/>
  <c r="B3502" i="1"/>
  <c r="B3503" i="1"/>
  <c r="B3504" i="1"/>
  <c r="B3505" i="1"/>
  <c r="B3506" i="1"/>
  <c r="B3510" i="1"/>
  <c r="B3511" i="1"/>
  <c r="B3512" i="1"/>
  <c r="B3513" i="1"/>
  <c r="B3514" i="1"/>
  <c r="B3516" i="1"/>
  <c r="B3517" i="1"/>
  <c r="B3525" i="1"/>
  <c r="B3526" i="1"/>
  <c r="B3515" i="1"/>
  <c r="B2150" i="1"/>
  <c r="B2108" i="1"/>
  <c r="B3400" i="1"/>
  <c r="B3279" i="1"/>
  <c r="B2264" i="1"/>
  <c r="B3303" i="1"/>
  <c r="B3413" i="1"/>
  <c r="B2216" i="1"/>
  <c r="B3431" i="1"/>
  <c r="B3391" i="1"/>
  <c r="B3470" i="1"/>
  <c r="B2258" i="1"/>
  <c r="B3414" i="1"/>
  <c r="B3493" i="1"/>
  <c r="B3396" i="1"/>
  <c r="B3427" i="1"/>
  <c r="B3402" i="1"/>
  <c r="B2132" i="1"/>
  <c r="B2048" i="1"/>
  <c r="B2186" i="1"/>
  <c r="B3201" i="1"/>
  <c r="B3399" i="1"/>
  <c r="B3474" i="1"/>
  <c r="B3390" i="1"/>
  <c r="B3447" i="1"/>
  <c r="B3415" i="1"/>
  <c r="B3477" i="1"/>
  <c r="B3422" i="1"/>
  <c r="B2114" i="1"/>
  <c r="B3426" i="1"/>
  <c r="B3575" i="1"/>
  <c r="B2168" i="1"/>
  <c r="B3261" i="1"/>
  <c r="B3412" i="1"/>
  <c r="B3419" i="1"/>
  <c r="B3442" i="1"/>
  <c r="B3327" i="1"/>
  <c r="B3407" i="1"/>
  <c r="B3392" i="1"/>
  <c r="B3440" i="1"/>
  <c r="B3433" i="1"/>
  <c r="B2270" i="1"/>
  <c r="B2252" i="1"/>
  <c r="B3153" i="1"/>
  <c r="B3446" i="1"/>
  <c r="B3490" i="1"/>
  <c r="B3404" i="1"/>
  <c r="B3405" i="1"/>
  <c r="B3468" i="1"/>
  <c r="B3171" i="1"/>
  <c r="B3444" i="1"/>
  <c r="B3467" i="1"/>
  <c r="B3428" i="1"/>
  <c r="B3398" i="1"/>
  <c r="B3435" i="1"/>
  <c r="B3225" i="1"/>
  <c r="B3491" i="1"/>
  <c r="B2120" i="1"/>
  <c r="B3450" i="1"/>
  <c r="B3430" i="1"/>
  <c r="B2090" i="1"/>
  <c r="B3243" i="1"/>
  <c r="B3423" i="1"/>
  <c r="B2234" i="1"/>
  <c r="B3494" i="1"/>
  <c r="B3195" i="1"/>
  <c r="B2054" i="1"/>
  <c r="B2198" i="1"/>
  <c r="B3421" i="1"/>
  <c r="B3237" i="1"/>
  <c r="B3395" i="1"/>
  <c r="B3219" i="1"/>
  <c r="B3267" i="1"/>
  <c r="B3189" i="1"/>
  <c r="B3273" i="1"/>
  <c r="B3429" i="1"/>
  <c r="B3424" i="1"/>
  <c r="B3397" i="1"/>
  <c r="B3488" i="1"/>
  <c r="B3471" i="1"/>
  <c r="B3183" i="1"/>
  <c r="B3469" i="1"/>
  <c r="B3443" i="1"/>
  <c r="B3291" i="1"/>
  <c r="B3475" i="1"/>
  <c r="B3451" i="1"/>
  <c r="B2192" i="1"/>
  <c r="B3577" i="1"/>
  <c r="B3437" i="1"/>
  <c r="B3285" i="1"/>
  <c r="B2240" i="1"/>
  <c r="B3438" i="1"/>
  <c r="B3408" i="1"/>
  <c r="B2126" i="1"/>
  <c r="B3460" i="1"/>
  <c r="B3461" i="1"/>
  <c r="B3393" i="1"/>
  <c r="B2036" i="1"/>
  <c r="B2222" i="1"/>
  <c r="B2072" i="1"/>
  <c r="B2246" i="1"/>
  <c r="B3165" i="1"/>
  <c r="B3436" i="1"/>
  <c r="B3321" i="1"/>
  <c r="B3458" i="1"/>
  <c r="B3420" i="1"/>
  <c r="B3177" i="1"/>
  <c r="B3487" i="1"/>
  <c r="B2174" i="1"/>
  <c r="B2156" i="1"/>
  <c r="B2024" i="1"/>
  <c r="B3411" i="1"/>
  <c r="B3441" i="1"/>
  <c r="B3492" i="1"/>
  <c r="B3432" i="1"/>
  <c r="B3207" i="1"/>
  <c r="B3508" i="1"/>
  <c r="B3297" i="1"/>
  <c r="B2096" i="1"/>
  <c r="B3159" i="1"/>
  <c r="B3309" i="1"/>
  <c r="B2138" i="1"/>
  <c r="B3439" i="1"/>
  <c r="B2210" i="1"/>
  <c r="B3255" i="1"/>
  <c r="B3434" i="1"/>
  <c r="B3459" i="1"/>
  <c r="B3410" i="1"/>
  <c r="B2042" i="1"/>
  <c r="B3445" i="1"/>
  <c r="B2288" i="1"/>
  <c r="B2060" i="1"/>
  <c r="B3394" i="1"/>
  <c r="B3231" i="1"/>
  <c r="B3249" i="1"/>
  <c r="B3473" i="1"/>
  <c r="B2084" i="1"/>
  <c r="B3449" i="1"/>
  <c r="B2276" i="1"/>
  <c r="B3457" i="1"/>
  <c r="B2282" i="1"/>
  <c r="B3486" i="1"/>
  <c r="B3409" i="1"/>
  <c r="B2030" i="1"/>
  <c r="B2228" i="1"/>
  <c r="B3403" i="1"/>
  <c r="B3576" i="1"/>
  <c r="B3147" i="1"/>
  <c r="B3507" i="1"/>
  <c r="B3406" i="1"/>
  <c r="B3425" i="1"/>
  <c r="B2078" i="1"/>
  <c r="B3478" i="1"/>
  <c r="B3315" i="1"/>
  <c r="B3213" i="1"/>
  <c r="B3495" i="1"/>
  <c r="B2066" i="1"/>
  <c r="B2102" i="1"/>
  <c r="B3448" i="1"/>
  <c r="B2144" i="1"/>
  <c r="B3476" i="1"/>
  <c r="B2204" i="1"/>
  <c r="B3472" i="1"/>
  <c r="B2018" i="1"/>
  <c r="B3489" i="1"/>
  <c r="B2180" i="1"/>
  <c r="B2162" i="1"/>
</calcChain>
</file>

<file path=xl/sharedStrings.xml><?xml version="1.0" encoding="utf-8"?>
<sst xmlns="http://schemas.openxmlformats.org/spreadsheetml/2006/main" count="45395" uniqueCount="19773">
  <si>
    <t>Code</t>
  </si>
  <si>
    <t>표준어</t>
  </si>
  <si>
    <t>강원 삼척</t>
  </si>
  <si>
    <t>강원 원주</t>
  </si>
  <si>
    <t>강원 양양</t>
  </si>
  <si>
    <t>강원 홍천</t>
  </si>
  <si>
    <t>강원 평창</t>
  </si>
  <si>
    <t>강원 인제</t>
  </si>
  <si>
    <t>벼</t>
  </si>
  <si>
    <t>나＇락(+다)/나＇라기라고 하지요./베(+소)</t>
  </si>
  <si>
    <t>베가 아녀 이건</t>
  </si>
  <si>
    <t>베/벼</t>
  </si>
  <si>
    <t>베 베지 머</t>
  </si>
  <si>
    <t>이게 베가 아니요?/베르 베가주구서</t>
  </si>
  <si>
    <t>벼가 다이거가네. {벼가 다 익어가네.}/벼요</t>
  </si>
  <si>
    <t>이삭</t>
  </si>
  <si>
    <t>베이시라＇게/이시락＇</t>
  </si>
  <si>
    <t>이새기/베이삭</t>
  </si>
  <si>
    <t>벼이스락</t>
  </si>
  <si>
    <t>베이사기라구</t>
  </si>
  <si>
    <t>베이사근 이기고/베이삭/이게 이사기라구래 이삭</t>
  </si>
  <si>
    <t>벼 이사교.</t>
  </si>
  <si>
    <t>볍씨</t>
  </si>
  <si>
    <t>베씨＇</t>
  </si>
  <si>
    <t>베씨</t>
  </si>
  <si>
    <t>베씨 당그지/벼씨 당구능거</t>
  </si>
  <si>
    <t>조흔 베씨르/베씨라그래지</t>
  </si>
  <si>
    <t>벼씨/벼 종자라고하지요.</t>
  </si>
  <si>
    <t>못자리</t>
  </si>
  <si>
    <t>모자＇리</t>
  </si>
  <si>
    <t>모자리가</t>
  </si>
  <si>
    <t>모자리</t>
  </si>
  <si>
    <t>모자리지 머</t>
  </si>
  <si>
    <t>모자리/그 모자리라구</t>
  </si>
  <si>
    <t>모 모자리</t>
  </si>
  <si>
    <t>모판</t>
  </si>
  <si>
    <t>모판/모자＇리 파니＇라고 하는거슨/모＇파~이라는 거슨(+모자리할 수 있는 장소를 ＇모판＇이라고 함.)</t>
  </si>
  <si>
    <t>시방도 모파넌/모판, 모자리판</t>
  </si>
  <si>
    <t>이게 모파니라면/그거가주 모파니라 그래</t>
  </si>
  <si>
    <t>모파니라</t>
  </si>
  <si>
    <t>모판/모자리 가따 모파니라구래</t>
  </si>
  <si>
    <t>모 파니라그러지요.</t>
  </si>
  <si>
    <t>쟁기</t>
  </si>
  <si>
    <t>보구＇래(+크기가 극젱이보다 큼)</t>
  </si>
  <si>
    <t>이거 극:쩨~이/요건 극쩨~인데(아주 옛날 극젱이)</t>
  </si>
  <si>
    <t>보구레</t>
  </si>
  <si>
    <t>옌:장으로 가:능거지/겨리옌장이꾸 호리옌장이꾸{겨리 연장 있고 호리연장 있고(겨리연장은 소 두 마리가 끄는 것이고 호리연장은 소 한 마리가 끄는 것)}/연:장이라구</t>
  </si>
  <si>
    <t>이그 보구레/논보구레라고/논뽀구레고 이러초</t>
  </si>
  <si>
    <t>보가래/호리 호리연장</t>
  </si>
  <si>
    <t>보습</t>
  </si>
  <si>
    <t>보스＇피래요./보습＇</t>
  </si>
  <si>
    <t>버섭/버서비라/기냥 버서피지</t>
  </si>
  <si>
    <t>버서피라그래지</t>
  </si>
  <si>
    <t>버서비야 그게</t>
  </si>
  <si>
    <t>놈버섭/보섭/그기 천상 버서프로가주 하자나요.(+여기는 그림 3의 극젱이를 가지고 논과 밭을 갈았기 때문에 ＇볏＇이 없음)/바뻐섭/요건 놈뻐서피고</t>
  </si>
  <si>
    <t>버서픈 이끄치 {보습은 이 끝이}/버섭</t>
  </si>
  <si>
    <t>볏</t>
  </si>
  <si>
    <t>*</t>
  </si>
  <si>
    <t>버섬날</t>
  </si>
  <si>
    <t>고건 베씨야/꼭때게 부틍건 베시고 {꼭대기에 붙은 것은 볏이고}</t>
  </si>
  <si>
    <t>볃/벼시랑게 이써요.</t>
  </si>
  <si>
    <t>20108-0-1</t>
  </si>
  <si>
    <t>버섬나리라그래지</t>
  </si>
  <si>
    <t>그래 그건 베시 웁써. {그래, 그건 볏이 없어.}</t>
  </si>
  <si>
    <t>벼시 웁:찌요</t>
  </si>
  <si>
    <t>극젱이</t>
  </si>
  <si>
    <t>골테＇기(+다, 극젱이보다 골테기란 말을 많이 사용함)/끅쩨＇~이라는 마를 쓰는＇데(+소, 거의 ＇쓰지 않음.)</t>
  </si>
  <si>
    <t>이걸가주 후치라그래</t>
  </si>
  <si>
    <t>호리옌장이래니깐</t>
  </si>
  <si>
    <t>밥뽀구레는 업써요./이건 밥뽀구레고</t>
  </si>
  <si>
    <t>근데 흑찌라 (+볏이 없으면 ＇흑지＇, 볏이 있으면 ＇보가래＇)/이건 흑찐데</t>
  </si>
  <si>
    <t>써레</t>
  </si>
  <si>
    <t>써그＇래</t>
  </si>
  <si>
    <t>쓰:레로다</t>
  </si>
  <si>
    <t>서:레/스:레</t>
  </si>
  <si>
    <t>건 쓰:레야 쓰레/쓰:레루다 {쓰레로다}</t>
  </si>
  <si>
    <t>논삼:는 스:레고/이그 이그는 스:레고</t>
  </si>
  <si>
    <t>쓰:레다 번지</t>
  </si>
  <si>
    <t>번지</t>
  </si>
  <si>
    <t>번지여</t>
  </si>
  <si>
    <t>번지/번지치능거</t>
  </si>
  <si>
    <t>번지/번지농넝겅가? {번지 놓는 건가?</t>
  </si>
  <si>
    <t>번지대써요. {번지 대었어요.}</t>
  </si>
  <si>
    <t>모내기</t>
  </si>
  <si>
    <t>모싱＇기라고도 하는데, 예예 모싱＇기라고 마~이하지요./모 싱군＇다</t>
  </si>
  <si>
    <t>모내기한다능 거/그게 모 싱구능 거지/모 싱구능 게</t>
  </si>
  <si>
    <t>옌:날마른 모싱기(+구) 지금마른 모내기지(+신)/몽싱기때 보문</t>
  </si>
  <si>
    <t>그럼 모내기/모낸다구래지 모 낸다구</t>
  </si>
  <si>
    <t>기양 모심는다그래요/모싱기한다그래지</t>
  </si>
  <si>
    <t>흙덩어리</t>
  </si>
  <si>
    <t>흘떵＇이 해도 되고 덩＇이, 흘떵＇이/흘 덩거＇리</t>
  </si>
  <si>
    <t>흑떵어리 깽: 거라구 {흙덩이 깬 것이라고}</t>
  </si>
  <si>
    <t>흑떵거리</t>
  </si>
  <si>
    <t>덩어리 가텅거 {덩어리 같은 것}/아 흑떵어리구</t>
  </si>
  <si>
    <t>흑떼~이/흥뭉치라그래지/흘그덩거리/흥무지라고 하기도하고</t>
  </si>
  <si>
    <t>흑떵어리가</t>
  </si>
  <si>
    <t>고무래</t>
  </si>
  <si>
    <t>밀개＇</t>
  </si>
  <si>
    <t>고물개질하는/이건 고물개구/이건 고물개 이건</t>
  </si>
  <si>
    <t>고물개여 이게 쇠시랑이구/이건 이거 고물개구</t>
  </si>
  <si>
    <t>곰배라고 그랜다고</t>
  </si>
  <si>
    <t>고물개라 그래요.</t>
  </si>
  <si>
    <t>20114-1</t>
  </si>
  <si>
    <t>고무래(곡식)</t>
  </si>
  <si>
    <t>근데 곰배＇라 함미다</t>
  </si>
  <si>
    <t>요건 밀:개(+곡식)</t>
  </si>
  <si>
    <t>베곰배라고 그래(+벼를 갖고 방아을 찧을 때 사용함. 흙에는 사용하지 않음)</t>
  </si>
  <si>
    <t>예예 고물개고</t>
  </si>
  <si>
    <t>20114-2</t>
  </si>
  <si>
    <t>고무래(재)</t>
  </si>
  <si>
    <t>곰배르 가따가(+불이나 재를 끓어낼 때 사용함.)/곰배＇</t>
  </si>
  <si>
    <t>부억꼬물개는(재를 끌어낼 때 사용)/불고물개</t>
  </si>
  <si>
    <t>거:도 고물개고</t>
  </si>
  <si>
    <t>20114-3</t>
  </si>
  <si>
    <t>고무래(흙)</t>
  </si>
  <si>
    <t>예예 거 밀개＇</t>
  </si>
  <si>
    <t>그거뚜 밀:개로 쓰지(+밭)</t>
  </si>
  <si>
    <t>그 곰배라 그랜다고(+부엌에서 사용함.)/불곰배</t>
  </si>
  <si>
    <t>이거 고물개라</t>
  </si>
  <si>
    <t>20114-4</t>
  </si>
  <si>
    <t>고무래(미는 것)</t>
  </si>
  <si>
    <t>괴밀개라그랜다구/괴밀개(+논에서 밀고 당기고 하는 데 사용함)</t>
  </si>
  <si>
    <t>*(+이곳에서는 당기는데 초점을 둠.)</t>
  </si>
  <si>
    <t>20114-5</t>
  </si>
  <si>
    <t>고무래(당기는 것)</t>
  </si>
  <si>
    <t>쇠스랑</t>
  </si>
  <si>
    <t>쇠스랑＇</t>
  </si>
  <si>
    <t>소시랑</t>
  </si>
  <si>
    <t>소스랑/쇠스랑/이건 소스랑</t>
  </si>
  <si>
    <t>건 쇠시랑/쇠시랑두 그러쿠 {쇠스랑}/쇠시랑은 바테</t>
  </si>
  <si>
    <t>요건 쇠시라~이고</t>
  </si>
  <si>
    <t>쇠시랑이라고</t>
  </si>
  <si>
    <t>곡괭이</t>
  </si>
  <si>
    <t>꼭＇꽈~이다고도 하고 목과＇~이다고도 하고./모꽈＇~이다는 얘기를 마~이 쓰지요 이거는(+다)/모꽝＇~이＇(+다)</t>
  </si>
  <si>
    <t>곡깨~이/곡:깨~이</t>
  </si>
  <si>
    <t>이건 곡:꽤~이/곡:꽈~이</t>
  </si>
  <si>
    <t>꼬:꽤~이루다 찔르지./이건 꼬:꽤~이예으ㅡ. {이건 곡괭이예요. ＇-요＇는 ＇요＇와 ＇유＇의 중간 발음}</t>
  </si>
  <si>
    <t>꼬꽤~이</t>
  </si>
  <si>
    <t>곡깽이/곡꽹이라고</t>
  </si>
  <si>
    <t>괭이</t>
  </si>
  <si>
    <t>괘~이＇</t>
  </si>
  <si>
    <t>이거 괘이/그건 괭이구/괭이도 아니구</t>
  </si>
  <si>
    <t>이기 과~이</t>
  </si>
  <si>
    <t>근 괭이지. {그건 괭이지}/괭이루</t>
  </si>
  <si>
    <t>과~이/괘~이가 따고/거 과~:이라 그래 과~이</t>
  </si>
  <si>
    <t>아, 괭이</t>
  </si>
  <si>
    <t>삽</t>
  </si>
  <si>
    <t>삽/예 사비 마안＇타</t>
  </si>
  <si>
    <t>삽찌란다 그래지 {삽질한다고 그러지}/그건 삽/사피 새사피구 {삽이 새삽이고}/사푸루 찍어가주</t>
  </si>
  <si>
    <t>사비 크다/삽</t>
  </si>
  <si>
    <t>삽뚜</t>
  </si>
  <si>
    <t>사푸가따 끄러모찌머 {삽으로 끌어모으지 뭐.}/곤 사피고요</t>
  </si>
  <si>
    <t>사푸루 파능거조.</t>
  </si>
  <si>
    <t>호미</t>
  </si>
  <si>
    <t>호매＇~이 괘~이＇</t>
  </si>
  <si>
    <t>호매~이 베리고 {호미 벼리고}/호매~이로 무드먼서 {호미로 묻으면서}/둘다 호매인데</t>
  </si>
  <si>
    <t>옌:나렌 호무라 그래지(+구, 다)/호미라그래지 호미(+신)</t>
  </si>
  <si>
    <t>허무</t>
  </si>
  <si>
    <t>오구호매~이</t>
  </si>
  <si>
    <t>외기 호미(+쇠가 가늘고 길게 생김)/등지허무 등지(+일반적으로 볼 수 있는 호미)/호미라 그래지요.(+일반적으로 ＇호미＇라고 함.)</t>
  </si>
  <si>
    <t>농기구</t>
  </si>
  <si>
    <t>연장＇</t>
  </si>
  <si>
    <t>쟁기라 그래/농쟁기지</t>
  </si>
  <si>
    <t>농쟁기/농기게</t>
  </si>
  <si>
    <t>그냥 농기게라</t>
  </si>
  <si>
    <t>쟁기라구래</t>
  </si>
  <si>
    <t>농기구 이러케/거 농쟁기라 그래지요.</t>
  </si>
  <si>
    <t>김</t>
  </si>
  <si>
    <t>지＇임</t>
  </si>
  <si>
    <t>지:미라 그래</t>
  </si>
  <si>
    <t>지:미 뭐뭐</t>
  </si>
  <si>
    <t>지:미 마~이 나따 {김이 많이 났다}</t>
  </si>
  <si>
    <t>지이미 만:타/지임</t>
  </si>
  <si>
    <t>짐: 마~이 나따</t>
  </si>
  <si>
    <t>김매다</t>
  </si>
  <si>
    <t>지＇임 잠는＇다/지＇임 맨다＇/지＇임 매러 간다</t>
  </si>
  <si>
    <t>짐: 맨다 그래</t>
  </si>
  <si>
    <t>지:믈 맨다 그래지/짐:매러간다그래지/논찜매능거</t>
  </si>
  <si>
    <t>짐:매러간다</t>
  </si>
  <si>
    <t>지임맨다/바테 지임매러간다</t>
  </si>
  <si>
    <t>짐:매기라고</t>
  </si>
  <si>
    <t>애벌 매다</t>
  </si>
  <si>
    <t>아＇이 지＇임 맨다/아＇이논 매러간다</t>
  </si>
  <si>
    <t>아이매고</t>
  </si>
  <si>
    <t>아이짐/아이짐매러가자</t>
  </si>
  <si>
    <t>아이매러 간다고 이제</t>
  </si>
  <si>
    <t>아이매고/아이짐맨다</t>
  </si>
  <si>
    <t>아이맨다고</t>
  </si>
  <si>
    <t>20123-1</t>
  </si>
  <si>
    <t>두벌 매다</t>
  </si>
  <si>
    <t>두벌＇ 논 매러간다/두우＇벌 지＇임 맨다</t>
  </si>
  <si>
    <t>두벌맨다 그래</t>
  </si>
  <si>
    <t>재:벌매러가자그래지/재:벌매러가자(가물 때는 두 번만 매도 충분하다)</t>
  </si>
  <si>
    <t>긔 두벌매먼 끈 다 나. {두벌매면 끝이 다 나}</t>
  </si>
  <si>
    <t>두:벌매서 두:벌맨다/두벌짐맨다</t>
  </si>
  <si>
    <t>두벌/두 두벌맨다구/두번째는 두:벌</t>
  </si>
  <si>
    <t>20123-2</t>
  </si>
  <si>
    <t>마지막(세벌) 김매기</t>
  </si>
  <si>
    <t>부＇꾸 준다＇(+세 번째 김매기)</t>
  </si>
  <si>
    <t>세:버래두(세벌해두)/세:벌허면 마지마기여</t>
  </si>
  <si>
    <t>그래바짜 셰:버리지 머 {그래보았자 세벌이지}</t>
  </si>
  <si>
    <t>피사리해능거야</t>
  </si>
  <si>
    <t>머 세:벌매따/세:벌까지도 매고</t>
  </si>
  <si>
    <t>세:벌맨다구</t>
  </si>
  <si>
    <t>논둑</t>
  </si>
  <si>
    <t>논 드렁＇/논뜨렁＇</t>
  </si>
  <si>
    <t>논뚝</t>
  </si>
  <si>
    <t>논뚜럼/이논과이바꽈 새:가 논뚜럭 {이 논과 이 밭과 사이가 논두럭}</t>
  </si>
  <si>
    <t>노니먼 논뜨렁/논또랑 마~이 나</t>
  </si>
  <si>
    <t>20124-1</t>
  </si>
  <si>
    <t>논두렁</t>
  </si>
  <si>
    <t>그냥 보/보＇똘</t>
  </si>
  <si>
    <t>논뚜럭/논뚜렁</t>
  </si>
  <si>
    <t>논또랑이 경게서니다.</t>
  </si>
  <si>
    <t>논뚜럭바뚜럭/논뚜러~으는/논뚜레~이/논뚜러기</t>
  </si>
  <si>
    <t>논뚜러기 너머 크다(+＇논둑＇과 ＇논두렁＇의 차이가 없음.)/야 논뚜럭 쫌 크다이러케 하고</t>
  </si>
  <si>
    <t>밭둑</t>
  </si>
  <si>
    <t>바뜨럭＇ 드럭＇/받뜨럭＇</t>
  </si>
  <si>
    <t>바뚝 이찌 바뚝 {밭둑 있지 밭둑}/바뚜기 아니고 바꼬리지/바뚝이래게찌 {밭둑이러겠지}</t>
  </si>
  <si>
    <t>바뚜럭</t>
  </si>
  <si>
    <t>바뚜렁으루 가라/바침 바뚜렁/바치먼 바뜨렁</t>
  </si>
  <si>
    <t>바뚝(+＇밭둑＇과 ＇밭두둑＇의 구별이 없음)/바뚜기나 바뚜러기나/바튼 바뚜기라고/바뚜가고 머하고</t>
  </si>
  <si>
    <t>바츤 바뜨러기라고/그 바뜨러기라 그래지요.</t>
  </si>
  <si>
    <t>밭두둑</t>
  </si>
  <si>
    <t>예 망이＇ 마씀미다 망/논뜨렁＇받뜨럭＇</t>
  </si>
  <si>
    <t>바뚜럭/바뚜러기라고하지</t>
  </si>
  <si>
    <t>또 바뚜럭또 역씨 인제</t>
  </si>
  <si>
    <t>두둑/두두기 마자요./받뚜둑</t>
  </si>
  <si>
    <t>밭고랑</t>
  </si>
  <si>
    <t>고올＇/받꼬올＇/박 꼬올＇/박 고올＇</t>
  </si>
  <si>
    <t>받 고를 인제 {밭 골을 인제}/고:를 케가주구/바꼬랑/바꼴/고레다가 인제 {골에다가 인제}</t>
  </si>
  <si>
    <t>바꼬라~이라하지/바꼬랑/바꼬을/바꼬리라그래지/바꼴:</t>
  </si>
  <si>
    <t>고랑으로 가라/바꼬랑으로 가라/고:리라구래지.</t>
  </si>
  <si>
    <t>옴포칸덴 밍고리고</t>
  </si>
  <si>
    <t>여기 고:랑이/받 고:리 빠저따</t>
  </si>
  <si>
    <t>밭이랑</t>
  </si>
  <si>
    <t>등/고올＇ 뜽＇</t>
  </si>
  <si>
    <t>이랑/이라~이라능건 이제</t>
  </si>
  <si>
    <t>바뜽/등</t>
  </si>
  <si>
    <t>바꼴/바꼬린데/바꼬리 크조./바꼬리라고</t>
  </si>
  <si>
    <t>20128-1</t>
  </si>
  <si>
    <t>(밭이랑을) 타다/갈다/째다/파다</t>
  </si>
  <si>
    <t>고올＇ 켄다이래고 뭐</t>
  </si>
  <si>
    <t>간다그래지 (이랑을)</t>
  </si>
  <si>
    <t>골: 케능건 이게 고:르 케니까 {골을 켜는 건 이게 골을 켜니까}</t>
  </si>
  <si>
    <t>바깐:다/바 깔러가자</t>
  </si>
  <si>
    <t>고:를 켄다고</t>
  </si>
  <si>
    <t>20128-2</t>
  </si>
  <si>
    <t>이랑밟기</t>
  </si>
  <si>
    <t>보리바알＇끼</t>
  </si>
  <si>
    <t>버리밥빵넝건데 {이 지역은 보리밟기를 하지 않고, 아랫녘(경상도)에서 한다고 함.}</t>
  </si>
  <si>
    <t>보리 바끼/버리바키(+＇어＇가 저설화됨.)</t>
  </si>
  <si>
    <t>보리</t>
  </si>
  <si>
    <t>보리＇가 아니＇고</t>
  </si>
  <si>
    <t>버리이삭/보리</t>
  </si>
  <si>
    <t>보리 싱구능걸</t>
  </si>
  <si>
    <t>버리가 이꾸 봄버리가 이꾸</t>
  </si>
  <si>
    <t>보리가</t>
  </si>
  <si>
    <t>보통 머 보리가 그래지/보리말고 이기 수수나?</t>
  </si>
  <si>
    <t>20129-1</t>
  </si>
  <si>
    <t>가을보리</t>
  </si>
  <si>
    <t>그냥 동보리 아 마따 동보리＇</t>
  </si>
  <si>
    <t>버리야</t>
  </si>
  <si>
    <t>갈:게 갈:뽀리고 봄뽀리고</t>
  </si>
  <si>
    <t>갈:보리</t>
  </si>
  <si>
    <t>20129-2</t>
  </si>
  <si>
    <t>봄보리</t>
  </si>
  <si>
    <t>봄뽀리＇라고도 하고/밀보리＇라고도 함미다</t>
  </si>
  <si>
    <t>봄보리두 왜/봄뽀릴 꺼여/봄에는 봄보리 봄보리</t>
  </si>
  <si>
    <t>봄뽀리라고도 하고</t>
  </si>
  <si>
    <t>봄버리가</t>
  </si>
  <si>
    <t>봄뽀리</t>
  </si>
  <si>
    <t>보리쌀</t>
  </si>
  <si>
    <t>보리＇싸리란</t>
  </si>
  <si>
    <t>버리쌀</t>
  </si>
  <si>
    <t>버린 버리쌀</t>
  </si>
  <si>
    <t>보리쌀/보리싸리</t>
  </si>
  <si>
    <t>가을갈이</t>
  </si>
  <si>
    <t>가알카＇리</t>
  </si>
  <si>
    <t>갈:카리 친다 그래던데</t>
  </si>
  <si>
    <t>갈:카리</t>
  </si>
  <si>
    <t>갈:가지/갈:카지/갈:카지핸다구래지</t>
  </si>
  <si>
    <t>갈:카리친다/갈:카리르 처넌는다</t>
  </si>
  <si>
    <t>깜부기</t>
  </si>
  <si>
    <t>깜비＇기/깜보＇기</t>
  </si>
  <si>
    <t>깜부기/깜부기나 더러 이찌 {깜부기나 더러 있지}/새까마케 되는 깜베기 {새까맣게 되는 깜부기}</t>
  </si>
  <si>
    <t>깜뷔기(+하향이중모음 ＇위＇)/깜부기</t>
  </si>
  <si>
    <t>깜베기가 이써.</t>
  </si>
  <si>
    <t>깜베기라고 이써요./깜베기는/버리깜베기</t>
  </si>
  <si>
    <t>두엄</t>
  </si>
  <si>
    <t>두ㅕㅁ:/오양 두ㅕㅁ:</t>
  </si>
  <si>
    <t>두엄/퇴:비/걸금가지고 두어미라고도 마~:이 그래</t>
  </si>
  <si>
    <t>뒤어믄 인제 써건거구 {두엄은 썩은 거}/뒤엄두 {두엄도}/뒤어미라구래</t>
  </si>
  <si>
    <t>뒤엠떼미가/뒤엠떼미라 그래요.</t>
  </si>
  <si>
    <t>거름</t>
  </si>
  <si>
    <t>걸금＇/걸금티＇미/걸금＇ 저낸＇:다/걸금＇ 퍼낸＇:다 걸금＇ 시＇라낸＇:다</t>
  </si>
  <si>
    <t>거름(퇴비가 썩으면 거름이 된다)</t>
  </si>
  <si>
    <t>걸금(+다, 구)/거르미니까(+신)/거름낸다그래지</t>
  </si>
  <si>
    <t>거름내능거/거르미라구래지</t>
  </si>
  <si>
    <t>마욷/거르미라고(+사람의 똥 등)</t>
  </si>
  <si>
    <t>추수하다</t>
  </si>
  <si>
    <t>갈거＇지 하다라/가알＇추수＇한다/바심＇한다 저지븐(+추수 전에 미리 하는 것)</t>
  </si>
  <si>
    <t>가을거지/가:레 갈거지핸다 구래/추수해 드린다 그래</t>
  </si>
  <si>
    <t>거두미/바시미(아직 본격적인 추수를 하기 전에 양식의 부족을 채우기 위해서서 미리 조금 추수한 것)/거두미한다그래지</t>
  </si>
  <si>
    <t>바:시미라구래/갈:거지핸다구래지</t>
  </si>
  <si>
    <t>거디미한다/푸빠심해/푸빠시미라구래지</t>
  </si>
  <si>
    <t>추수한다그래지요./바시미한다+이른 추수를 해서 곡식을 거둬들이는 일)/바시미(+이른 추수를 해서 거둬들인 곡식)/갈:거지라구</t>
  </si>
  <si>
    <t>볏단</t>
  </si>
  <si>
    <t>베＇딴</t>
  </si>
  <si>
    <t>벧:딴</t>
  </si>
  <si>
    <t>베딴</t>
  </si>
  <si>
    <t>베따니먼 베딴 {볏단이면 볏단}/베딴 가린다/거 베따니라구래지</t>
  </si>
  <si>
    <t>기양 베따니라고 인제</t>
  </si>
  <si>
    <t>벼딴</t>
  </si>
  <si>
    <t>20202-1</t>
  </si>
  <si>
    <t>태애＇따는 잘＇고</t>
  </si>
  <si>
    <t>채:딴/채:딴(+채질한다고 챗단, 잘게 묶는다)</t>
  </si>
  <si>
    <t>푸뻬바시미 {풋벼바심미}/슥:쭘따니라그래는데/월래 슥:쭘따니거든(작은단)</t>
  </si>
  <si>
    <t>베따니라구</t>
  </si>
  <si>
    <t>여기는 그냥 벼따니라고 하지요.(+작은 단)/벼따니라고(+작게 묶은 것.)</t>
  </si>
  <si>
    <t>20202-2</t>
  </si>
  <si>
    <t>채따니라구래 {챗단이라 그래(＇챗단＇은 끈으로 매서 들어치기 좋게 작게 묶은 단)}</t>
  </si>
  <si>
    <t>태딴(+중간 정도의 단)/태치능거 태따는(+태를 치기 위한 단)</t>
  </si>
  <si>
    <t>20202-3</t>
  </si>
  <si>
    <t>이 이거는 물개＇단</t>
  </si>
  <si>
    <t>묵딴(+큰 것은 묵딴)/묵따느로 무꺼논는다 그래(+묵단은 크게 묶어 놓는 것)</t>
  </si>
  <si>
    <t>묵따는 {묵단은(＇묵단＇은 빨리 거둬들이기 위해서 크게 묶은 단을 말하며, 표준어로는 ＇통단＇이라고 한다)}</t>
  </si>
  <si>
    <t>무딴(+아주 큰 단)/무따니랑게 이찌요.(+크게 묶은 것.)</t>
  </si>
  <si>
    <t>가리</t>
  </si>
  <si>
    <t>가＇리</t>
  </si>
  <si>
    <t>다 조 가리라구</t>
  </si>
  <si>
    <t>가리에 종뉴야 머</t>
  </si>
  <si>
    <t>콩까리 잘 가리라구래지. {콩가리 잘 가리라고 그러지.}</t>
  </si>
  <si>
    <t>나까리/마까리 {맞가리}/노:저까리가 이꼬</t>
  </si>
  <si>
    <t>고건 나까리</t>
  </si>
  <si>
    <t>가리다</t>
  </si>
  <si>
    <t>부＇친다구도 하고 가＇린다구도 하고</t>
  </si>
  <si>
    <t>베:까레 가레 놔따가 뜰잔아 {볏가리에 가려 놨다가 떨잖아}</t>
  </si>
  <si>
    <t>가린다 그래야지/가리주 {가리지요}/곡썩 가리능거</t>
  </si>
  <si>
    <t>가려써 인제 {가렸어 인제}/콩얼 가린다 {콩을 가린다}</t>
  </si>
  <si>
    <t>드러 가레기도 하고 {들어서 가리기도 하고}/가레냉거 {가리어 낸 것을}</t>
  </si>
  <si>
    <t>싸을쩨는 가린다고그래요./벼나까리 가레라.</t>
  </si>
  <si>
    <t>볏가리</t>
  </si>
  <si>
    <t>노오＇적 가리</t>
  </si>
  <si>
    <t>베:까리/베까리 가레 논능 거</t>
  </si>
  <si>
    <t>베까리 즘 잘: 가레라/건 베까린데</t>
  </si>
  <si>
    <t>콩까리 가린다 벼까리 가린다/베까리</t>
  </si>
  <si>
    <t>*/베 나까리라 하조.</t>
  </si>
  <si>
    <t>벼까리가 나까리/벼나까리 가레라.</t>
  </si>
  <si>
    <t>낟가리</t>
  </si>
  <si>
    <t>크::게 갈음 나까리 {크게 갈면 낟가리}/나:까리 나까리</t>
  </si>
  <si>
    <t>나까리도 지까리랑 한가지여 {낟가리도 짚가리랑 한 가지다}/나까리도 하구</t>
  </si>
  <si>
    <t>나까리 가능거배께 읍써요 {낟가리 가는 것밖에 없어요}/베나까리</t>
  </si>
  <si>
    <t>나까리/나까리라</t>
  </si>
  <si>
    <t>나까리고</t>
  </si>
  <si>
    <t>타작</t>
  </si>
  <si>
    <t>마디＇~이질/타알＇추/타아＇자긴데 왜</t>
  </si>
  <si>
    <t>타:자캐 드린다 {타작해 들인다}/베타자칸다 {벼 타작한다}</t>
  </si>
  <si>
    <t>타:저칸다그래지/타:적행건 지끼리 {타작한 것은 짚가리}</t>
  </si>
  <si>
    <t>타:저기라구래지 {타작이라고 그러지}</t>
  </si>
  <si>
    <t>마대~이 마대~이한다</t>
  </si>
  <si>
    <t>타:적헌다그래지요.</t>
  </si>
  <si>
    <t>벼훑이</t>
  </si>
  <si>
    <t>찌＇깨</t>
  </si>
  <si>
    <t>이건 수수깡찌깨</t>
  </si>
  <si>
    <t>베 훌릉기구만/이거뚜 베훌릉기구/소느로 훌루는 베끼게라구두하구</t>
  </si>
  <si>
    <t>훌터내능거 찌깨지/찌:깨/찌깨로다 훌터 {벼훑이로다 훑어}</t>
  </si>
  <si>
    <t>이건 베훌른 쩌깨고/베훌른찌깨/베찌깬데</t>
  </si>
  <si>
    <t>찌깨</t>
  </si>
  <si>
    <t>20208-1</t>
  </si>
  <si>
    <t>그네</t>
  </si>
  <si>
    <t>훌런찌깨</t>
  </si>
  <si>
    <t>베훈넌찌깨배께 더돼 {＇벼 훑는 찌개＇밖에 더 돼.(이것은 옛날에 사용되던 것인데, 지금은 사용을 하지 않아서 이름을 모른다고 함.)}</t>
  </si>
  <si>
    <t>*(+＇찌깨＇에 속하는 종류라고 함)</t>
  </si>
  <si>
    <t>홀태구</t>
  </si>
  <si>
    <t>개상</t>
  </si>
  <si>
    <t>태애똘</t>
  </si>
  <si>
    <t>떠:는 챋:또리여/채:또리로군 채:똘</t>
  </si>
  <si>
    <t>태똘</t>
  </si>
  <si>
    <t>채라구래 {채라고 그래}</t>
  </si>
  <si>
    <t>태:치는 태:똘</t>
  </si>
  <si>
    <t>태또리라고</t>
  </si>
  <si>
    <t>20209-1</t>
  </si>
  <si>
    <t>자리개</t>
  </si>
  <si>
    <t>태줄＇</t>
  </si>
  <si>
    <t>뜨:능 게 자리개여</t>
  </si>
  <si>
    <t>태쭐</t>
  </si>
  <si>
    <t>채끄니라구래자너 {채끈이라고 그러잖아}</t>
  </si>
  <si>
    <t>태:쭐</t>
  </si>
  <si>
    <t>20209-2</t>
  </si>
  <si>
    <t>자리개질</t>
  </si>
  <si>
    <t>태애＇질</t>
  </si>
  <si>
    <t>태치능거/태친다그래지유/베 태치능거</t>
  </si>
  <si>
    <t>채질/채질핸다구래 채지랜다</t>
  </si>
  <si>
    <t>태:친다그래조/태:르 치구</t>
  </si>
  <si>
    <t>태찔/태친다그래요.</t>
  </si>
  <si>
    <t>도리깨</t>
  </si>
  <si>
    <t>도루＇깨</t>
  </si>
  <si>
    <t>도리깨/도리깨로군 그래</t>
  </si>
  <si>
    <t>도리깨지유/이건 도리깨</t>
  </si>
  <si>
    <t>도리깨/도루깨</t>
  </si>
  <si>
    <t>도르깨</t>
  </si>
  <si>
    <t>20210-1</t>
  </si>
  <si>
    <t>도리깻장부</t>
  </si>
  <si>
    <t>장＇치 도루깨장＇치</t>
  </si>
  <si>
    <t>도르깨장치/도리깨장치</t>
  </si>
  <si>
    <t>도리깨장치</t>
  </si>
  <si>
    <t>도루깨장치</t>
  </si>
  <si>
    <t>도르깨장치</t>
  </si>
  <si>
    <t>20210-2</t>
  </si>
  <si>
    <t>도리깻열</t>
  </si>
  <si>
    <t>짤＇붕건 노＇리/도루＇깨 노＇리고</t>
  </si>
  <si>
    <t>도리깨아덜/도리깨아더리라 그래지</t>
  </si>
  <si>
    <t>도리깨아들</t>
  </si>
  <si>
    <t>도루깨아드리라구래지 {＇도리깻열＇이라고 그러지}</t>
  </si>
  <si>
    <t>요건 도르깨고</t>
  </si>
  <si>
    <t>20210-3</t>
  </si>
  <si>
    <t>도리깨꼭지</t>
  </si>
  <si>
    <t>꼴뚜마＇리/예 꼴 꼴뚜마＇리</t>
  </si>
  <si>
    <t>도리깬노리</t>
  </si>
  <si>
    <t>도리깨노리라고도 해/도리깨노리 뜨러간다고/도리깨구멍</t>
  </si>
  <si>
    <t>도루깨구멍이라고배께 더이써 {＇도리깨꼭지＇라고밖에 더 있어}</t>
  </si>
  <si>
    <t>도르깨구멍/구머~으는 도르깨구머~이조.</t>
  </si>
  <si>
    <t>볏짚</t>
  </si>
  <si>
    <t>베＇찝가주 오나라</t>
  </si>
  <si>
    <t>베찝</t>
  </si>
  <si>
    <t>찰베찌피나/새끼야 지프로 꼰는데</t>
  </si>
  <si>
    <t>벼찜 만:타</t>
  </si>
  <si>
    <t>20211-0-1</t>
  </si>
  <si>
    <t>베＇찌블 가주 오나라/베＇찌플</t>
  </si>
  <si>
    <t>지피라</t>
  </si>
  <si>
    <t>지푸루</t>
  </si>
  <si>
    <t>베찌블 가주와라 {볏짚을 가져 와라}</t>
  </si>
  <si>
    <t>베찌플가주오라/베찌프요</t>
  </si>
  <si>
    <t>벼찌피 마:늠 {볏짚이 많으면}</t>
  </si>
  <si>
    <t>20211-0-2</t>
  </si>
  <si>
    <t>베＇찌패 부루 내지 마라</t>
  </si>
  <si>
    <t>지페서 떠러지니까 지시랑무리라 그래 {짚에서 떨어지니까 기스락물이라 그래}</t>
  </si>
  <si>
    <t>거 추레놘 지피 이씨~이 {그거 추려 놓은 짚이 있으니}</t>
  </si>
  <si>
    <t>베찌븐 만:타/베찌비 베찌비 만:타</t>
  </si>
  <si>
    <t>다: 베찌피라그래조/보:통 베찌비라그래조</t>
  </si>
  <si>
    <t>벼찌페 불 라따.</t>
  </si>
  <si>
    <t>새꽤기</t>
  </si>
  <si>
    <t>이이＇찝 꼬개＇~이</t>
  </si>
  <si>
    <t>집꽤기/직꽤:기</t>
  </si>
  <si>
    <t>베꼬개~이</t>
  </si>
  <si>
    <t>지꼬개~이</t>
  </si>
  <si>
    <t>집때공/대구~이라고도/베쭐기요</t>
  </si>
  <si>
    <t>꼬:개~이 지꼬개~이라고</t>
  </si>
  <si>
    <t>쭉정이</t>
  </si>
  <si>
    <t>쭉찌＇기라고도 하고 쭉쩨＇~이라고도 하고</t>
  </si>
  <si>
    <t>쭉찡이</t>
  </si>
  <si>
    <t>쭉:쩨~이/쭉쩡베</t>
  </si>
  <si>
    <t>쭉쩨~이</t>
  </si>
  <si>
    <t>베 쭉쩨~이</t>
  </si>
  <si>
    <t>티</t>
  </si>
  <si>
    <t>티라＇능 그는</t>
  </si>
  <si>
    <t>티가 누네 드러가따/티개비</t>
  </si>
  <si>
    <t>티:가 드러가따고도 하고</t>
  </si>
  <si>
    <t>티가 드러가따/북떼기 나라간다구래지/티가비 드러가따/티게비라구래/버리티베비가 드러가따</t>
  </si>
  <si>
    <t>문지라구/티/누네 티가 드러가따</t>
  </si>
  <si>
    <t>북떼기/티라고 그래지요</t>
  </si>
  <si>
    <t>까끄라기</t>
  </si>
  <si>
    <t>까시＇치/쑤ㅖ에＇미</t>
  </si>
  <si>
    <t>까:래기라 그래지/까:래기 까래기/까끄레기/버리까:래기</t>
  </si>
  <si>
    <t>가시가 드러가따 그래 가시</t>
  </si>
  <si>
    <t>거 눈깐치라구래자너/눈까치 드러가따/눈깐치드러가따 {눈가시가 들어갔다}/깔치라 눈깔치라</t>
  </si>
  <si>
    <t>베까우치라구/베 까우치</t>
  </si>
  <si>
    <t>벼깔:치/버리먼 버리깔:치</t>
  </si>
  <si>
    <t>풍구</t>
  </si>
  <si>
    <t>풍구＇(+아궁이에 바람 넣는 것, 곡식에 쓰는 것)</t>
  </si>
  <si>
    <t>풍구/풍굴 거기서 보겐네</t>
  </si>
  <si>
    <t>풍채(탈곡)/풍채 {곡식에 사용}</t>
  </si>
  <si>
    <t>풍채</t>
  </si>
  <si>
    <t>풍:채</t>
  </si>
  <si>
    <t>원두막</t>
  </si>
  <si>
    <t>오이＇파는 저 원두막＇</t>
  </si>
  <si>
    <t>움:막/거 원두마기여/원두막</t>
  </si>
  <si>
    <t>이건 원두마기고</t>
  </si>
  <si>
    <t>주마기라구래지</t>
  </si>
  <si>
    <t>원두막/원두마기라고그래</t>
  </si>
  <si>
    <t>원:두막</t>
  </si>
  <si>
    <t>허수아비</t>
  </si>
  <si>
    <t>헤재비</t>
  </si>
  <si>
    <t>허수아비(+다)/허깨비라구두 하구</t>
  </si>
  <si>
    <t>화대비(+소)/정애비가 마저(+다)</t>
  </si>
  <si>
    <t>허재비고요</t>
  </si>
  <si>
    <t>허수애비</t>
  </si>
  <si>
    <t>흉년</t>
  </si>
  <si>
    <t>그＇해 흉년＇이 진다/숭년＇</t>
  </si>
  <si>
    <t>숭년/숭년 숭년</t>
  </si>
  <si>
    <t>흉년/숭녀니다/숭년(+구)</t>
  </si>
  <si>
    <t>흉녀니라 구래지</t>
  </si>
  <si>
    <t>흉년/흉녀~이 드러따고</t>
  </si>
  <si>
    <t>숭녀니라 그래지요 숭년</t>
  </si>
  <si>
    <t>머슴</t>
  </si>
  <si>
    <t>머슴＇</t>
  </si>
  <si>
    <t>일:꾼/머섬사리 가먼 그게 일꾸니여/그냥 머슴사리/나무짐머슴사리 {남의 집 머슴살이}</t>
  </si>
  <si>
    <t>한해머스미라/이태머슴/일:꾼버덩두 머슴사리 마:~이 얘기하지./상:머스미라/머스미라구두 하구(+다)/일:꾼(+소, +1년 계약)</t>
  </si>
  <si>
    <t>달머시믈 (한 달만 고용되어 일해 주는 사람)/달뜨기 한달 (한 달만 고용되어 일해 주는 사람)/고롱걸 달머시미여. {그런걸 달머슴이야}/나메지베 산다고 머시미고/머심/머심꾼</t>
  </si>
  <si>
    <t>머슴사리/머슴꾸니라고 {일년 농사일 하는 사람}/머슴사리라하조</t>
  </si>
  <si>
    <t>놉</t>
  </si>
  <si>
    <t>이일＇꾼</t>
  </si>
  <si>
    <t>품파리/품 산다/품파리 해러 간다</t>
  </si>
  <si>
    <t>일땅배기/하루사리/날품팔러가 그래지/날품파리</t>
  </si>
  <si>
    <t>일꾼</t>
  </si>
  <si>
    <t>품파리 {하루 품삯을 받는 사람}</t>
  </si>
  <si>
    <t>날품파리라 그래지요</t>
  </si>
  <si>
    <t>20221-0-1</t>
  </si>
  <si>
    <t>일＇꾸늘 어＇더 오나라/이일＇꾸늘 어＇다야 된다.</t>
  </si>
  <si>
    <t>품파리꾸니라 그러지</t>
  </si>
  <si>
    <t>오늘 하루일꾸늘 즘 으더야 대 {오늘 하루 일꾼을 좀 얻어야 돼}/은는다그래지</t>
  </si>
  <si>
    <t>일꾸늘 마:~이 으더따/내가 부레머그니가 일꾸니라구</t>
  </si>
  <si>
    <t>하루하루반능거는 일공품파리라고그래조/품파리꾸니 만:타</t>
  </si>
  <si>
    <t>날품파리꾸니 만:타</t>
  </si>
  <si>
    <t>품앗이</t>
  </si>
  <si>
    <t>푸마시</t>
  </si>
  <si>
    <t>푸마시 {품앗이}/푸마시는 도로 인제/니가 시구 내가 시구해능게 푸마시야. {네가 아시고 내가 아시고 품앗이야.}</t>
  </si>
  <si>
    <t>푸마시하고</t>
  </si>
  <si>
    <t>건 푸마시</t>
  </si>
  <si>
    <t>품삯</t>
  </si>
  <si>
    <t>풍깝＇/풍깝씨＇ 마＇제요/품싹＇ 좌라＇. {품삯을 주어라.}</t>
  </si>
  <si>
    <t>풍깝 쭌다/하루 풍깝 쭌다</t>
  </si>
  <si>
    <t>일땅/하루 품싹 얼매/일싸기라그래지</t>
  </si>
  <si>
    <t>풍깝씨라구래지/배럴 탈때 배싸기구</t>
  </si>
  <si>
    <t>풍깝 바다따그래조</t>
  </si>
  <si>
    <t>풍깝</t>
  </si>
  <si>
    <t>20223-0-1</t>
  </si>
  <si>
    <t>품싸기란 마른 아나고 {품삯이라는 말은 안 하고}/풍깝쓰＇ 바＇다따/오늘 풍깝쓸 야(+품삯은 쓰지 않음.)/품싸근 요새마리고(+신)</t>
  </si>
  <si>
    <t>품싸걸</t>
  </si>
  <si>
    <t>품싸기 얼매요/품싸기라 그래 품싹</t>
  </si>
  <si>
    <t>차싸기구/그래 풍깝썰 반는다</t>
  </si>
  <si>
    <t>풍깝쓰 더 바등거는</t>
  </si>
  <si>
    <t>풍깝쓸</t>
  </si>
  <si>
    <t>방아</t>
  </si>
  <si>
    <t>바~아 바~아/바＇~아</t>
  </si>
  <si>
    <t>발로 하능 건 방아</t>
  </si>
  <si>
    <t>발바~애</t>
  </si>
  <si>
    <t>거 방애자나여</t>
  </si>
  <si>
    <t>바~하</t>
  </si>
  <si>
    <t>방애찐는다/그거또 방아게찌요.</t>
  </si>
  <si>
    <t>디딜방아</t>
  </si>
  <si>
    <t>디딜빠＇~아/디딜빵아</t>
  </si>
  <si>
    <t>디딜빵아</t>
  </si>
  <si>
    <t>발방아</t>
  </si>
  <si>
    <t>발방애라구래</t>
  </si>
  <si>
    <t>이거 발바~아라 그래요</t>
  </si>
  <si>
    <t>방앗공이</t>
  </si>
  <si>
    <t>공이＇/고~이＇</t>
  </si>
  <si>
    <t>무쇠괴이/고이가 도리여 돌/무쇠괴인데 {무쇠공이}</t>
  </si>
  <si>
    <t>바~아고~이/발방아고~이/바~애꼬~이</t>
  </si>
  <si>
    <t>공이에</t>
  </si>
  <si>
    <t>이기 방:꼬~이아뇨?/요건 방아꽁~이</t>
  </si>
  <si>
    <t>방애꼬~이</t>
  </si>
  <si>
    <t>방아확</t>
  </si>
  <si>
    <t>호박＇ 마알＇고요</t>
  </si>
  <si>
    <t>도런 화기구/방아확</t>
  </si>
  <si>
    <t>방아확/이건 확:/발방아 화이기구 {발방아 확이고}</t>
  </si>
  <si>
    <t>이거 화:기야/화:그로</t>
  </si>
  <si>
    <t>이건 방:화기고/이건 방아확</t>
  </si>
  <si>
    <t>방애확</t>
  </si>
  <si>
    <t>물레방아</t>
  </si>
  <si>
    <t>물바＇~아</t>
  </si>
  <si>
    <t>물:레방아</t>
  </si>
  <si>
    <t>물방아/물:레방에</t>
  </si>
  <si>
    <t>물레방애</t>
  </si>
  <si>
    <t>물바~아요</t>
  </si>
  <si>
    <t>이긴 물방아</t>
  </si>
  <si>
    <t>연자방아</t>
  </si>
  <si>
    <t>자매바＇~아</t>
  </si>
  <si>
    <t>그건 연재방아/매재미/연:자방아</t>
  </si>
  <si>
    <t>연:자방아</t>
  </si>
  <si>
    <t>연자방애라</t>
  </si>
  <si>
    <t>이건 연자방안데</t>
  </si>
  <si>
    <t>절구</t>
  </si>
  <si>
    <t>절구＇</t>
  </si>
  <si>
    <t>절구 그냥 절구라 그래/이건 돌:절구/이건 낭구절구/소느로 해능 건 절구</t>
  </si>
  <si>
    <t>이기 절구</t>
  </si>
  <si>
    <t>절구/이건 절구라 그래자누</t>
  </si>
  <si>
    <t>절구/절구라그래요</t>
  </si>
  <si>
    <t>절구/절구두 이꾸</t>
  </si>
  <si>
    <t>절구통</t>
  </si>
  <si>
    <t>절구통이고</t>
  </si>
  <si>
    <t>절구통/절구토~이라고 마~이 그래지</t>
  </si>
  <si>
    <t>이거 절구통</t>
  </si>
  <si>
    <t>절구통이라구</t>
  </si>
  <si>
    <t>절굿공이</t>
  </si>
  <si>
    <t>절구고~＇이/절구공~이＇</t>
  </si>
  <si>
    <t>절굳꾀~이</t>
  </si>
  <si>
    <t>절구꼬~이</t>
  </si>
  <si>
    <t>공이</t>
  </si>
  <si>
    <t>절구고~이라/절구방매~이/절구고~이지 머</t>
  </si>
  <si>
    <t>절구께~이</t>
  </si>
  <si>
    <t>절구질</t>
  </si>
  <si>
    <t>절구＇질</t>
  </si>
  <si>
    <t>절구질한다 그래지</t>
  </si>
  <si>
    <t>절구질한다그래지</t>
  </si>
  <si>
    <t>절구질핸다</t>
  </si>
  <si>
    <t>절구바~아찐는다</t>
  </si>
  <si>
    <t>겨</t>
  </si>
  <si>
    <t>제가＇</t>
  </si>
  <si>
    <t>아이쩨라 그래지 아이쩨/고고는 고운제/두벌쩨 아주 고웅 거</t>
  </si>
  <si>
    <t>베:쩨가 이꾸/베:제</t>
  </si>
  <si>
    <t>제로 나오능거야</t>
  </si>
  <si>
    <t>제:</t>
  </si>
  <si>
    <t>그냥 제지요 머</t>
  </si>
  <si>
    <t>보릿겨</t>
  </si>
  <si>
    <t>보리등＇게</t>
  </si>
  <si>
    <t>버리제</t>
  </si>
  <si>
    <t>보리째</t>
  </si>
  <si>
    <t>버리쩨는</t>
  </si>
  <si>
    <t>보리제라한다고</t>
  </si>
  <si>
    <t>버리쩨</t>
  </si>
  <si>
    <t>왕겨</t>
  </si>
  <si>
    <t>왕＇게/왕＇제</t>
  </si>
  <si>
    <t>왕게/빠징 건 왕게</t>
  </si>
  <si>
    <t>새:쩨</t>
  </si>
  <si>
    <t>왕게루/왕게래능게</t>
  </si>
  <si>
    <t>왕제는/왕게래요/고다:메 나오능기 왕제아냐?</t>
  </si>
  <si>
    <t>왕:게</t>
  </si>
  <si>
    <t>쌀겨</t>
  </si>
  <si>
    <t>등＇제/등가＇리/등＇게</t>
  </si>
  <si>
    <t>딩게는 싸리 딩게지 {등겨는 쌀이 등겨지}</t>
  </si>
  <si>
    <t>그게 죽쩨래요</t>
  </si>
  <si>
    <t>쌀쩨는</t>
  </si>
  <si>
    <t>보리등게</t>
  </si>
  <si>
    <t>고건 딩게</t>
  </si>
  <si>
    <t>검불</t>
  </si>
  <si>
    <t>검부지＇기</t>
  </si>
  <si>
    <t>검불 그러자바댕기능 거 {검불 그러잡아 당기는 거}/검부제기/검부제기 모:능 거</t>
  </si>
  <si>
    <t>검부리라고도 그래고</t>
  </si>
  <si>
    <t>북떼기라 구래지/검불 검부리구/검불 글그러 간다</t>
  </si>
  <si>
    <t>헝껀찌비조/헝껀찝</t>
  </si>
  <si>
    <t>참나무 검부리라그래고/솔 검부리라그래요/검부리라그래지요 머</t>
  </si>
  <si>
    <t>껍질</t>
  </si>
  <si>
    <t>껍띠＇기/껍＇찌르는(껍질+은)</t>
  </si>
  <si>
    <t>사과껍찔/버리껍떼기/수수껍떼기</t>
  </si>
  <si>
    <t>감자껍떼기/사과를 껍데기 깡는다/과일껍떼기도 항가지지</t>
  </si>
  <si>
    <t>껍떼기</t>
  </si>
  <si>
    <t>귤:껍떼기/조이껍찌요/껍찌라그래요</t>
  </si>
  <si>
    <t>귤:껍띠기라/밤껍띠기라그래요</t>
  </si>
  <si>
    <t>곡식</t>
  </si>
  <si>
    <t>곡씨＇글 거두＇운다</t>
  </si>
  <si>
    <t>곡썩또 다 가무러지머는 타서 말러죽짜너/곡써기나 나무리나/곡썩또 그러코 {곡식도 그렇고}/가무러서 곡써기 다 죽껜네/곡씩/여러가지 곡써글 인제 다</t>
  </si>
  <si>
    <t>곡썩 가리능거/곡썩 다마두능기야/곡써기/곡씩</t>
  </si>
  <si>
    <t>곡써기라구</t>
  </si>
  <si>
    <t>곡써기 드러가야지/곡썩</t>
  </si>
  <si>
    <t>곡써기랑건/곡썩</t>
  </si>
  <si>
    <t>찹쌀</t>
  </si>
  <si>
    <t>찹쌀＇</t>
  </si>
  <si>
    <t>찹쌀그래지/찹싸른</t>
  </si>
  <si>
    <t>찹싸리야</t>
  </si>
  <si>
    <t>찹싸리라고</t>
  </si>
  <si>
    <t>멥쌀</t>
  </si>
  <si>
    <t>멥＇쌀</t>
  </si>
  <si>
    <t>멥쌀찹쌀/메쌀</t>
  </si>
  <si>
    <t>메쌀 그래</t>
  </si>
  <si>
    <t>멥싸리라고</t>
  </si>
  <si>
    <t>쌀보리</t>
  </si>
  <si>
    <t>쌀보리＇</t>
  </si>
  <si>
    <t>쌀보리가 그렁가</t>
  </si>
  <si>
    <t>쌀보리는 우린 모태바써</t>
  </si>
  <si>
    <t>쌀버리가 이따 이게</t>
  </si>
  <si>
    <t>쌀보리라능게 인는데</t>
  </si>
  <si>
    <t>조</t>
  </si>
  <si>
    <t>조＇이/조＇오/스으＇속</t>
  </si>
  <si>
    <t>존데 {조인데}</t>
  </si>
  <si>
    <t>조이라 그래 조이</t>
  </si>
  <si>
    <t>조지/조넌</t>
  </si>
  <si>
    <t>조이</t>
  </si>
  <si>
    <t>차조</t>
  </si>
  <si>
    <t>차조＇오/차좁＇쌀</t>
  </si>
  <si>
    <t>차조이</t>
  </si>
  <si>
    <t>차조야</t>
  </si>
  <si>
    <t>차조이 이꼬</t>
  </si>
  <si>
    <t>메조</t>
  </si>
  <si>
    <t>메조＇오/메좁＇쌀</t>
  </si>
  <si>
    <t>이건 메조이라 그래고</t>
  </si>
  <si>
    <t>메조고</t>
  </si>
  <si>
    <t>메조이 이꼬</t>
  </si>
  <si>
    <t>좁쌀</t>
  </si>
  <si>
    <t>좁＇쌀</t>
  </si>
  <si>
    <t>좁쌀/조알개~이 좁쌀</t>
  </si>
  <si>
    <t>좁싸리라/좁쌀 찌어따</t>
  </si>
  <si>
    <t>짼 좁싸리라고/좁쌀</t>
  </si>
  <si>
    <t>좁쌀/좁싸리라하고</t>
  </si>
  <si>
    <t>잘다</t>
  </si>
  <si>
    <t>짜＇다/짜＇라서/짜＇고/짜자리 하＇다</t>
  </si>
  <si>
    <t>자딸라 {잣달라}/쏙쌔는 이러케 잘구</t>
  </si>
  <si>
    <t>재러서 모쓰게따/작:다 그래지 아주/즈그니까/즉:따/쟁거는 {잔 것은}/자:거서</t>
  </si>
  <si>
    <t>즉:찌/즈:거요 {적어요}/즉:따구래나</t>
  </si>
  <si>
    <t>쨀다고/잘 안되문 나:치 쨀고 이래요/더 쨀구</t>
  </si>
  <si>
    <t>잴지요/좁싸른 잴지요.</t>
  </si>
  <si>
    <t>조이삭</t>
  </si>
  <si>
    <t>조＇ 이시락＇</t>
  </si>
  <si>
    <t>조이시락 전체</t>
  </si>
  <si>
    <t>이사기 이삭 대</t>
  </si>
  <si>
    <t>이건 조이이사기고</t>
  </si>
  <si>
    <t>수수</t>
  </si>
  <si>
    <t>때끼＇지</t>
  </si>
  <si>
    <t>조흔 수순데/수수아린데 수수</t>
  </si>
  <si>
    <t>수수구/수순대/수수라구래</t>
  </si>
  <si>
    <t>쉬시/쉬시가</t>
  </si>
  <si>
    <t>이게 수수가튼데/보리말고 이기 수수나?</t>
  </si>
  <si>
    <t>20411-1</t>
  </si>
  <si>
    <t>붉은색 수수</t>
  </si>
  <si>
    <t>예 쪼막때끼＇지</t>
  </si>
  <si>
    <t>불근 수수구</t>
  </si>
  <si>
    <t>불근수수</t>
  </si>
  <si>
    <t>*(+수수는 다 붉은 색이기 때문에 따로 ＇붉은색 수수＇는 없음)</t>
  </si>
  <si>
    <t>수수라고 허는데요.</t>
  </si>
  <si>
    <t>20411-2</t>
  </si>
  <si>
    <t>장목수수</t>
  </si>
  <si>
    <t>자~와때끼＇지/장＇목때끼지/차때끼＇지</t>
  </si>
  <si>
    <t>하::얀 장목쑤수</t>
  </si>
  <si>
    <t>장목쑤수는</t>
  </si>
  <si>
    <t>그기 장:목쒸신데</t>
  </si>
  <si>
    <t>장목쑤수</t>
  </si>
  <si>
    <t>20411-3</t>
  </si>
  <si>
    <t>찰수수</t>
  </si>
  <si>
    <t>차때끼＇지라고</t>
  </si>
  <si>
    <t>찰수수/찰수수구</t>
  </si>
  <si>
    <t>쉬시가 찰쉬시가 있아?</t>
  </si>
  <si>
    <t>찰수수가 이꼬</t>
  </si>
  <si>
    <t>20411-4</t>
  </si>
  <si>
    <t>메수수</t>
  </si>
  <si>
    <t>메때끼＇지</t>
  </si>
  <si>
    <t>메수순 아주 몽탕항 게/메수수</t>
  </si>
  <si>
    <t>찰쉬시가 이꼬 메쉬시가 있아?</t>
  </si>
  <si>
    <t>메수수/메수수가 이꼬</t>
  </si>
  <si>
    <t>수수깡</t>
  </si>
  <si>
    <t>대구＇~이</t>
  </si>
  <si>
    <t>수수깡/수수깡을 대구 비벼가주구</t>
  </si>
  <si>
    <t>속:꼬개~인데(+?조)</t>
  </si>
  <si>
    <t>수수깡이구</t>
  </si>
  <si>
    <t>쉬시때공/쉬시대공</t>
  </si>
  <si>
    <t>수수때먼 수수때고</t>
  </si>
  <si>
    <t>옥수수</t>
  </si>
  <si>
    <t>강네＇~이 쐐ㅒ애＇미 {옥수수 수염}/강니＇~이 소＇~이 {옥수수 송이}/강네＇~이지프 {옥수수 짚을}</t>
  </si>
  <si>
    <t>노랑 옥시기</t>
  </si>
  <si>
    <t>옥쑤수/옥씨기지.</t>
  </si>
  <si>
    <t>옥씨기</t>
  </si>
  <si>
    <t>강내~이(+다)/옥촉쑤/옥촉쑤가 아뇨?</t>
  </si>
  <si>
    <t>가 강내~이/옥씨기두/옥쑤수</t>
  </si>
  <si>
    <t>20413-1</t>
  </si>
  <si>
    <t>찰옥수수</t>
  </si>
  <si>
    <t>차록씨기 {찰옥수수}</t>
  </si>
  <si>
    <t>차록쑤수</t>
  </si>
  <si>
    <t>차록씨기는/차록씨기야</t>
  </si>
  <si>
    <t>찰강내~이라고 하고도(+다)/차록쑤수</t>
  </si>
  <si>
    <t>20413-2</t>
  </si>
  <si>
    <t>메옥수수</t>
  </si>
  <si>
    <t>메옥시기</t>
  </si>
  <si>
    <t>메옥쑤수</t>
  </si>
  <si>
    <t>메독씨기지/메독씨기고</t>
  </si>
  <si>
    <t>메강내~이나(+다)/메옥쑤수가 이꼬</t>
  </si>
  <si>
    <t>귀리</t>
  </si>
  <si>
    <t>귀위＇리 청귀리</t>
  </si>
  <si>
    <t>귀:링가/귀:리여 귀리</t>
  </si>
  <si>
    <t>귀:리</t>
  </si>
  <si>
    <t>건 귀링게다</t>
  </si>
  <si>
    <t>귀:린데/귀:리라고</t>
  </si>
  <si>
    <t>메밀</t>
  </si>
  <si>
    <t>메물＇</t>
  </si>
  <si>
    <t>메물</t>
  </si>
  <si>
    <t>메무리야 메물</t>
  </si>
  <si>
    <t>아 메물</t>
  </si>
  <si>
    <t>콩</t>
  </si>
  <si>
    <t>콩/쾽이여 {콩이야}/이건 콩인데</t>
  </si>
  <si>
    <t>콩에서 나오능거</t>
  </si>
  <si>
    <t>콩이라/콩두</t>
  </si>
  <si>
    <t>콩이</t>
  </si>
  <si>
    <t>콩깍지</t>
  </si>
  <si>
    <t>콩꼬＇질</t>
  </si>
  <si>
    <t>콩깍째~이/콩깍:찌</t>
  </si>
  <si>
    <t>콩깍찌</t>
  </si>
  <si>
    <t>콩깍찌라 구랜다구</t>
  </si>
  <si>
    <t>콩껍찌</t>
  </si>
  <si>
    <t>메주</t>
  </si>
  <si>
    <t>메＇주</t>
  </si>
  <si>
    <t>메:주 쑤지</t>
  </si>
  <si>
    <t>메주를/메주 메주지 뭐</t>
  </si>
  <si>
    <t>메주/메주루 {메주를}</t>
  </si>
  <si>
    <t>메주쑨다 메주</t>
  </si>
  <si>
    <t>매달다</t>
  </si>
  <si>
    <t>매＇애단다＇/메＇주 단다＇</t>
  </si>
  <si>
    <t>매다라 노쿠/꼬추도 매다라짜나/조구 함마리 매:다라 노쿠</t>
  </si>
  <si>
    <t>야 메주 다라매자/다라매지/메주 다라맨:다</t>
  </si>
  <si>
    <t>아버지가 매다러따/매:단다구래지/이런데다 매다르니까/다라맨다구</t>
  </si>
  <si>
    <t>쫑 내 매다라논는다/쫑 내단다고요</t>
  </si>
  <si>
    <t>거 매:단사람도 이꾸/메주 매:단다구</t>
  </si>
  <si>
    <t>띄우다</t>
  </si>
  <si>
    <t>메＇주 띠＇운다</t>
  </si>
  <si>
    <t>메주 띠운다 그래</t>
  </si>
  <si>
    <t>띠워/띠운다/메주를 띠우지</t>
  </si>
  <si>
    <t>띠운대능게/메줄 띠워얘지</t>
  </si>
  <si>
    <t>잘 띠워라/띠운다고</t>
  </si>
  <si>
    <t>메줄 띠워요.</t>
  </si>
  <si>
    <t>곰팡이</t>
  </si>
  <si>
    <t>예엔＇날 아주 사투리가 꼼사＇구(+구, 요즘의 ＇곰팡이＇를 ＇꼼사구라고는 하지 않음.)/매가＇ 핀다(+신, 요즘의 ＇곰팡이＇도 ＇매＇라고 한다.)</t>
  </si>
  <si>
    <t>곰:패~이/곰:패~이가 뽀야케 피여/곰:파구/곰:파구 펴/씨구 곰:팡이 피구</t>
  </si>
  <si>
    <t>곰파~이라 그래(메주)</t>
  </si>
  <si>
    <t>이건 강낭콩이야/곰:팽이 하야케 펴야돼/메주곰:파~이</t>
  </si>
  <si>
    <t>고:마구 페:따.(+＇고마구＇는 일반적인 ＇곰팡이＇를 말함)/오시라능건 메주 부:니라는게 마찌요/메주부:니 핀다/메주 오스 잘리버따(+머)</t>
  </si>
  <si>
    <t>곰:패~이라그래지요.(+＇곰팡이＇의 의미로도 사용함.)</t>
  </si>
  <si>
    <t>강낭콩</t>
  </si>
  <si>
    <t>강낭콩도</t>
  </si>
  <si>
    <t>이게 감자바콩이로구나/감:자바콩</t>
  </si>
  <si>
    <t>이건 강낭콩 가튼데</t>
  </si>
  <si>
    <t>강낭콩이 아뇨?/강낭콩가튼데</t>
  </si>
  <si>
    <t>콩기름</t>
  </si>
  <si>
    <t>콩 지＇름</t>
  </si>
  <si>
    <t>콩지름</t>
  </si>
  <si>
    <t>깨</t>
  </si>
  <si>
    <t>깨라＇ 하＇고</t>
  </si>
  <si>
    <t>깨럴 짜먼 지르미라 그래/깨넌</t>
  </si>
  <si>
    <t>깨라고 허지요./보통 깨</t>
  </si>
  <si>
    <t>20424-1</t>
  </si>
  <si>
    <t>참깨</t>
  </si>
  <si>
    <t>참깨＇</t>
  </si>
  <si>
    <t>창깨는</t>
  </si>
  <si>
    <t>창깨가 제이리지</t>
  </si>
  <si>
    <t>창깨가/참깨가</t>
  </si>
  <si>
    <t>참깨도 꼬시구/창깨도 이꼬</t>
  </si>
  <si>
    <t>창깨들:깨</t>
  </si>
  <si>
    <t>20424-2</t>
  </si>
  <si>
    <t>들깨</t>
  </si>
  <si>
    <t>드을＇깨</t>
  </si>
  <si>
    <t>들깨는</t>
  </si>
  <si>
    <t>들:깨</t>
  </si>
  <si>
    <t>들깨가/들찌르믄 들깨</t>
  </si>
  <si>
    <t>고소하다</t>
  </si>
  <si>
    <t>꼬소::하다＇라/꼬소::하＇다</t>
  </si>
  <si>
    <t>구수행 게/아주 고소해요</t>
  </si>
  <si>
    <t>고소하지/워낙 고소하구/지도카게 고수워유/고수해/고숩찌</t>
  </si>
  <si>
    <t>아주 고소해지</t>
  </si>
  <si>
    <t>꼬시조/창깨가 꼬시다/꼬세요</t>
  </si>
  <si>
    <t>꼬소허다/고소헝거 창깨기르미에요./꼬소허다그래조./고소허니까 마니머거따/고:소허다</t>
  </si>
  <si>
    <t>채소</t>
  </si>
  <si>
    <t>채＇수</t>
  </si>
  <si>
    <t>채:수지 머/채:수라구 그저</t>
  </si>
  <si>
    <t>채:마라 그래유/채:소 채소도 이꾸</t>
  </si>
  <si>
    <t>채:수라구래지</t>
  </si>
  <si>
    <t>채:소는 다 포아미 {채소는 다 포함이}/채:소 이래머는</t>
  </si>
  <si>
    <t>채:수</t>
  </si>
  <si>
    <t>나물</t>
  </si>
  <si>
    <t>드름나물＇ 참나물＇ 곤드＇레 드＇릅또</t>
  </si>
  <si>
    <t>나무리라 머(+통칭, 밭, 들, 산에 나는 나물을 통칭함)</t>
  </si>
  <si>
    <t>합처가주 나무리라그래지 나물</t>
  </si>
  <si>
    <t>기냥 나무리지요./나무른 나무린대</t>
  </si>
  <si>
    <t>20502-1</t>
  </si>
  <si>
    <t>나물(밭)_재료</t>
  </si>
  <si>
    <t>반나무리지</t>
  </si>
  <si>
    <t>재:배나무리라고(+밭에서 재배하는 나물)</t>
  </si>
  <si>
    <t>20502-2</t>
  </si>
  <si>
    <t>나물(밭)_반찬</t>
  </si>
  <si>
    <t>나물반차니라고</t>
  </si>
  <si>
    <t>20502-3</t>
  </si>
  <si>
    <t>나물(들)_재료</t>
  </si>
  <si>
    <t>재:배나무리조(+들에서 나는 것}</t>
  </si>
  <si>
    <t>20502-4</t>
  </si>
  <si>
    <t>나물(들)_반찬</t>
  </si>
  <si>
    <t>재:배핸 나무리라고</t>
  </si>
  <si>
    <t>20502-5</t>
  </si>
  <si>
    <t>나물(산)_재료</t>
  </si>
  <si>
    <t>산나무＇리고</t>
  </si>
  <si>
    <t>산나무리라</t>
  </si>
  <si>
    <t>사네서 나능거 산나무리라그래고</t>
  </si>
  <si>
    <t>산나물</t>
  </si>
  <si>
    <t>20502-6</t>
  </si>
  <si>
    <t>나물(산)_반찬</t>
  </si>
  <si>
    <t>예, 문친나물＇</t>
  </si>
  <si>
    <t>자연새~이라고</t>
  </si>
  <si>
    <t>산나물 반차니라고그러조.</t>
  </si>
  <si>
    <t>푸성귀</t>
  </si>
  <si>
    <t>푸성구라 그래기두 하구</t>
  </si>
  <si>
    <t>푸성기 그렁 건 처:민데</t>
  </si>
  <si>
    <t>푸성구라구래지</t>
  </si>
  <si>
    <t>푸성그(+머}</t>
  </si>
  <si>
    <t>푸성구</t>
  </si>
  <si>
    <t>다듬다</t>
  </si>
  <si>
    <t>무꾸＇를 따＇듬어따/따드마따/따듬＇는다/따듬＇꾸 이따</t>
  </si>
  <si>
    <t>따드머야 먹께 대지 머 {다듬어야 먹게 되지 뭐}</t>
  </si>
  <si>
    <t>잘 다드머라/다듬능게 나찌/다듬는다구두 하구</t>
  </si>
  <si>
    <t>다듬는다/잘 다드머라/다드무라구</t>
  </si>
  <si>
    <t>잘 따드머가주(+머)</t>
  </si>
  <si>
    <t>다드머라/다듬는다</t>
  </si>
  <si>
    <t>반찬</t>
  </si>
  <si>
    <t>반＇찬</t>
  </si>
  <si>
    <t>반:찬</t>
  </si>
  <si>
    <t>그건 반차니라구래자너</t>
  </si>
  <si>
    <t>반찬해가주 머꼬 그저(+머)</t>
  </si>
  <si>
    <t>무</t>
  </si>
  <si>
    <t>무꾸＇/무꾸 장지＇/무꾸 너비＇기</t>
  </si>
  <si>
    <t>무수 머/무수여</t>
  </si>
  <si>
    <t>옌:나레는 무:지</t>
  </si>
  <si>
    <t>무:가 마시따</t>
  </si>
  <si>
    <t>무우라(+머)/무꾸접씨/무:르(+머)/총:강무</t>
  </si>
  <si>
    <t>썰다</t>
  </si>
  <si>
    <t>싸＇안다/무꾸를 싸＇아라/싸＇아고 이따</t>
  </si>
  <si>
    <t>채:루 쓴:다/쓰:러서 {썰어서}</t>
  </si>
  <si>
    <t>쏠:구</t>
  </si>
  <si>
    <t>채를 쓴다/채:수 즘 쓰러라/쓸구이따/쓴:다</t>
  </si>
  <si>
    <t>깍뛰기르 쓰:러가주(+머)/쓰:러서</t>
  </si>
  <si>
    <t>쏜:다고그래조./채 쏜:다구/채 쏜:다그래요/채 쏘:라라그래조./소메기 쏘:라라</t>
  </si>
  <si>
    <t>무청</t>
  </si>
  <si>
    <t>무꾸입싸구</t>
  </si>
  <si>
    <t>그게 무순데 요건 씨레기</t>
  </si>
  <si>
    <t>무:입싸구/무:입싸구라구두 하구</t>
  </si>
  <si>
    <t>씨레기/씨래기라구래(+＇무청＇과 ＇씨래기＇의 구별이 없음)</t>
  </si>
  <si>
    <t>열무줄기라(?제?, 머)</t>
  </si>
  <si>
    <t>요거 생거는 월래 무:청이라그래지요./무: 청이라고도허구그래요</t>
  </si>
  <si>
    <t>시래기</t>
  </si>
  <si>
    <t>건추＇/마릉＇거슨 건추＇라 함미다 건추＇/무우입싸＇구도 말＇랑거 건추＇ {무 잎사귀도 말린 것 건추}</t>
  </si>
  <si>
    <t>씨레기/씨레기라구</t>
  </si>
  <si>
    <t>무:쓰레기/옌나레는 건추라 그래지(+구)/씨래기라구두 하구 건추라구두 하구/말렝거 시래기(+신)/무:씨레기</t>
  </si>
  <si>
    <t>무씨래기</t>
  </si>
  <si>
    <t>건:추씨레기/씨레기라고(+머)</t>
  </si>
  <si>
    <t>무: 씨래기라고/무: 씨래기라고 여기선 그래요/씨래기(+말린 것)</t>
  </si>
  <si>
    <t>무말랭이</t>
  </si>
  <si>
    <t>무꾸너베＇기</t>
  </si>
  <si>
    <t>무:말래~이</t>
  </si>
  <si>
    <t>무:말래~이야 거</t>
  </si>
  <si>
    <t>고자리</t>
  </si>
  <si>
    <t>우거리(+머)</t>
  </si>
  <si>
    <t>무:말리기/무:말리기(+할머니)</t>
  </si>
  <si>
    <t>장다리무</t>
  </si>
  <si>
    <t>무숟짱다리가 서야 거기서 꼬치 펴가주구/장다리무수</t>
  </si>
  <si>
    <t>장:다리여 무:장다리</t>
  </si>
  <si>
    <t>장다리라구래지</t>
  </si>
  <si>
    <t>종다리(+머)/무:종다리(+머)</t>
  </si>
  <si>
    <t>무:장다리</t>
  </si>
  <si>
    <t>배추</t>
  </si>
  <si>
    <t>배애＇추(+신)/배애＇차(+구)</t>
  </si>
  <si>
    <t>배:차</t>
  </si>
  <si>
    <t>배:추</t>
  </si>
  <si>
    <t>배:차를 핸다/배:차구/배:차가 드러가지</t>
  </si>
  <si>
    <t>배:추두/배:차 백포기 한접/배:추(+머)</t>
  </si>
  <si>
    <t>배:차두/여기는 배:차라그래요.</t>
  </si>
  <si>
    <t>고갱이</t>
  </si>
  <si>
    <t>알배＇기</t>
  </si>
  <si>
    <t>꼬개~이/고개~이</t>
  </si>
  <si>
    <t>속:꼬개~이</t>
  </si>
  <si>
    <t>고개이</t>
  </si>
  <si>
    <t>속꼬개~이소:기지(+머)/배:추꼬개~이소:기라(+머)</t>
  </si>
  <si>
    <t>소:꼬게~이</t>
  </si>
  <si>
    <t>오이</t>
  </si>
  <si>
    <t>이건 꽁 무뢰를 물짜를/물 외＇</t>
  </si>
  <si>
    <t>외/무뢰</t>
  </si>
  <si>
    <t>무뢰고(+머)</t>
  </si>
  <si>
    <t>무레</t>
  </si>
  <si>
    <t>오이지</t>
  </si>
  <si>
    <t>외 지이＇/외 지이＇가</t>
  </si>
  <si>
    <t>물외소굼절굼/오이소금저름</t>
  </si>
  <si>
    <t>거찌르미야</t>
  </si>
  <si>
    <t>외:짠지(+머)</t>
  </si>
  <si>
    <t>오이김치라그래지요.</t>
  </si>
  <si>
    <t>오이소박이</t>
  </si>
  <si>
    <t>외짐＇치</t>
  </si>
  <si>
    <t>외만지래는 거지/오만지</t>
  </si>
  <si>
    <t>무뢰무침</t>
  </si>
  <si>
    <t>오이지라구/외:지래능게/오이속:빼기/*</t>
  </si>
  <si>
    <t>외:짐치 속:빼기해 넌는다(+머)</t>
  </si>
  <si>
    <t>오이소:배기(+할머니)</t>
  </si>
  <si>
    <t>가지</t>
  </si>
  <si>
    <t>아, 가지＇</t>
  </si>
  <si>
    <t>이건 가지지</t>
  </si>
  <si>
    <t>가지구만</t>
  </si>
  <si>
    <t>가:지(+머)</t>
  </si>
  <si>
    <t>호박</t>
  </si>
  <si>
    <t>호오＇바기 덤불＇째 도론다 {호박이 넝쿨째 들어온다.}</t>
  </si>
  <si>
    <t>호:박/쩌멍넌 호박</t>
  </si>
  <si>
    <t>호:바기구만</t>
  </si>
  <si>
    <t>호:바긴데</t>
  </si>
  <si>
    <t>호:바기조(+머)/호:바글 이러 가머/호:박또/호:바기(+머)</t>
  </si>
  <si>
    <t>호:바긴데 호:박</t>
  </si>
  <si>
    <t>고구마</t>
  </si>
  <si>
    <t>고오＇구매</t>
  </si>
  <si>
    <t>고구마덩굴</t>
  </si>
  <si>
    <t>이기 고구마나/감재라구두 해(+다)</t>
  </si>
  <si>
    <t>고:구마(+머)</t>
  </si>
  <si>
    <t>감자</t>
  </si>
  <si>
    <t>감재＇르 쩨가주 멍는다/피감재(+감자의 껍질을 벗기지 않고 물을 씻어서 삶아 먹는 감자를 뜻함.)</t>
  </si>
  <si>
    <t>잘다 그래지유/감자래요/감자가 잴다</t>
  </si>
  <si>
    <t>감자/옌날 깜자는/신감자/자지감자(껍질이 벌거수름하다, 싹눈이 움푹 들어감)</t>
  </si>
  <si>
    <t>감재에두/감자/이기 감잰데(+다)</t>
  </si>
  <si>
    <t>감잔데/감자</t>
  </si>
  <si>
    <t>우엉</t>
  </si>
  <si>
    <t>우어~이 이따니/우어~이라능기 이싸요</t>
  </si>
  <si>
    <t>파</t>
  </si>
  <si>
    <t>파＇/파가＇ 마안＇타라</t>
  </si>
  <si>
    <t>파/팓쭐기/파뿌리</t>
  </si>
  <si>
    <t>파라문 {파-라면}</t>
  </si>
  <si>
    <t>파지 파</t>
  </si>
  <si>
    <t>곤 파이아뇨?</t>
  </si>
  <si>
    <t>파:가 만타</t>
  </si>
  <si>
    <t>고추</t>
  </si>
  <si>
    <t>꼬치＇</t>
  </si>
  <si>
    <t>꼬추 꼬추 이:뿌다</t>
  </si>
  <si>
    <t>꼬추</t>
  </si>
  <si>
    <t>꼬치(+구)/꼬추(+신)</t>
  </si>
  <si>
    <t>빨건 이근고추/푸꼬추라그래고 이건/이건 이근 고추고</t>
  </si>
  <si>
    <t>꼬추/고추</t>
  </si>
  <si>
    <t>시금치</t>
  </si>
  <si>
    <t>시금＇추</t>
  </si>
  <si>
    <t>싱검추 아녀/후:련수래구두 하구/후:련수 거틍 거/시금치</t>
  </si>
  <si>
    <t>시금치/이게 시금치라구요</t>
  </si>
  <si>
    <t>씨개~이(+머)</t>
  </si>
  <si>
    <t>미나리</t>
  </si>
  <si>
    <t>메나＇리</t>
  </si>
  <si>
    <t>메나리 이렁 거 다/이건 메나리여/미나리 거튼데</t>
  </si>
  <si>
    <t>메나리</t>
  </si>
  <si>
    <t>메나리(+머)</t>
  </si>
  <si>
    <t>메나리(+할머니)/미나리</t>
  </si>
  <si>
    <t>부추</t>
  </si>
  <si>
    <t>여＇어 말로 부운＇추</t>
  </si>
  <si>
    <t>분:추여 분:추</t>
  </si>
  <si>
    <t>분:추</t>
  </si>
  <si>
    <t>부:춘데 부:추라구</t>
  </si>
  <si>
    <t>이기 분:추나?(+머)</t>
  </si>
  <si>
    <t>부:추</t>
  </si>
  <si>
    <t>상추</t>
  </si>
  <si>
    <t>불＇기/불＇기쌈</t>
  </si>
  <si>
    <t>상추/생추라구두 해구 상추라구두 해</t>
  </si>
  <si>
    <t>불기마저 이게</t>
  </si>
  <si>
    <t>생추</t>
  </si>
  <si>
    <t>이건 불긴데(+머)/불기라고(+머)</t>
  </si>
  <si>
    <t>마늘</t>
  </si>
  <si>
    <t>생강＇마알＇고 마＇늘</t>
  </si>
  <si>
    <t>마날도 한 저비 배깨 {마늘도 한 접이 백 개}/마날 조:타</t>
  </si>
  <si>
    <t>마늘쪽/마느리 진짜지</t>
  </si>
  <si>
    <t>마날/마나리구</t>
  </si>
  <si>
    <t>요건 마눌쪼가리(+머)/마누리조(+머)</t>
  </si>
  <si>
    <t>건 마누린데</t>
  </si>
  <si>
    <t>생강</t>
  </si>
  <si>
    <t>생강＇</t>
  </si>
  <si>
    <t>생가~인데(+머)</t>
  </si>
  <si>
    <t>냉이</t>
  </si>
  <si>
    <t>나시~이</t>
  </si>
  <si>
    <t>나:새~이/나샌:데 {냉이인데}/나:새~인데</t>
  </si>
  <si>
    <t>나새~이</t>
  </si>
  <si>
    <t>나:새~이</t>
  </si>
  <si>
    <t>이게 나새~이구만 나새~이마저(+머)</t>
  </si>
  <si>
    <t>나새~이라그래요/나:새~이</t>
  </si>
  <si>
    <t>달래</t>
  </si>
  <si>
    <t>달＇루</t>
  </si>
  <si>
    <t>달롱아녀/요건 달롱</t>
  </si>
  <si>
    <t>달래/달래가 이찌</t>
  </si>
  <si>
    <t>달릉도</t>
  </si>
  <si>
    <t>달루(+머)</t>
  </si>
  <si>
    <t>도라지</t>
  </si>
  <si>
    <t>도라＇지</t>
  </si>
  <si>
    <t>이게 도라지가 아~여</t>
  </si>
  <si>
    <t>도라지고(+머)/도라지 이건 더덕(+머)</t>
  </si>
  <si>
    <t>더덕</t>
  </si>
  <si>
    <t>더디＇기</t>
  </si>
  <si>
    <t>더더기라 더덕 까튼데</t>
  </si>
  <si>
    <t>더덕/더더기야</t>
  </si>
  <si>
    <t>더덕(+머)</t>
  </si>
  <si>
    <t>더더기요</t>
  </si>
  <si>
    <t>쌀밥</t>
  </si>
  <si>
    <t>이＇밥</t>
  </si>
  <si>
    <t>이배비라 그래찌 {이밥이라고 그랬지}/힌배비라고두 하구/쌀배비라고두 하고/하::얀 이밥/쌀바비라 그래지</t>
  </si>
  <si>
    <t>바비지 머/거 모싸는지비 이밥멍능거고 {못 사는 집이 이밥을 먹는 것이고}</t>
  </si>
  <si>
    <t>이바비라구래지</t>
  </si>
  <si>
    <t>쌀바파고/이바비라(+머)/쌀밥 이밥(+머)</t>
  </si>
  <si>
    <t>이건 쌀바비라그래고</t>
  </si>
  <si>
    <t>찬밥</t>
  </si>
  <si>
    <t>시＇근밥/차구＇운 밥/시＇근바븐</t>
  </si>
  <si>
    <t>참밥/시근밥</t>
  </si>
  <si>
    <t>시금밥</t>
  </si>
  <si>
    <t>참바비라구래지</t>
  </si>
  <si>
    <t>씨근밥(+머)</t>
  </si>
  <si>
    <t>20602-1</t>
  </si>
  <si>
    <t>더운밥</t>
  </si>
  <si>
    <t>뜨신＇밥 뜨신＇밥</t>
  </si>
  <si>
    <t>더움밥</t>
  </si>
  <si>
    <t>더움바비라 그래요</t>
  </si>
  <si>
    <t>더움바비라구지</t>
  </si>
  <si>
    <t>뜨신바비라그래먼</t>
  </si>
  <si>
    <t>건 더운바비라그래지요.</t>
  </si>
  <si>
    <t>조밥</t>
  </si>
  <si>
    <t>조＇밥</t>
  </si>
  <si>
    <t>조이 조밥</t>
  </si>
  <si>
    <t>조바비지/차조밤메조밥</t>
  </si>
  <si>
    <t>조 조밥</t>
  </si>
  <si>
    <t>누룽지</t>
  </si>
  <si>
    <t>소디＇끼</t>
  </si>
  <si>
    <t>누링기/누링기여 그게</t>
  </si>
  <si>
    <t>누룽지/누룽기라고도 하고(+신) 소쩨~이라고도 하고(+구)/소째~이/거 소쩨~이니(+구)</t>
  </si>
  <si>
    <t>소꼴기(+구)/게 누룽지가 마찌/소꼴기라고 누룽기라고</t>
  </si>
  <si>
    <t>건 누룽지</t>
  </si>
  <si>
    <t>눌은밥</t>
  </si>
  <si>
    <t>누룽＇밥</t>
  </si>
  <si>
    <t>끄링 거는 누룽밥/아이 누른바번/누름밥 끄링 거라 그래</t>
  </si>
  <si>
    <t>누릉밥/누룽바비지</t>
  </si>
  <si>
    <t>누름바비라구</t>
  </si>
  <si>
    <t>누룬지바비라하지(+머)</t>
  </si>
  <si>
    <t>누룬바비 되는데/누룬바블 해멍능거</t>
  </si>
  <si>
    <t>숭늉</t>
  </si>
  <si>
    <t>수웅＇녕</t>
  </si>
  <si>
    <t>숭늉/숭눔/숭니미구</t>
  </si>
  <si>
    <t>여기 옌나리나 지끄미나 숭융이여</t>
  </si>
  <si>
    <t>숭눙이라구</t>
  </si>
  <si>
    <t>숭녕/숭녀~이라고</t>
  </si>
  <si>
    <t>숭님무리라그래요.</t>
  </si>
  <si>
    <t>뜨물</t>
  </si>
  <si>
    <t>뜸물＇/뜬물＇</t>
  </si>
  <si>
    <t>뜸물</t>
  </si>
  <si>
    <t>쌀뜸물</t>
  </si>
  <si>
    <t>쌀뜨물</t>
  </si>
  <si>
    <t>뜸무리라(+머)/뜸물(+머)</t>
  </si>
  <si>
    <t>쌀뜨무리라그래요.</t>
  </si>
  <si>
    <t>김(蒸氣)</t>
  </si>
  <si>
    <t>지이＇미 난다＇/지임＇</t>
  </si>
  <si>
    <t>짐: 올러온다</t>
  </si>
  <si>
    <t>밥 찌:미지 그기/바 낌 {밥 김}</t>
  </si>
  <si>
    <t>지:미라구래지</t>
  </si>
  <si>
    <t>지:미 올러온다고/짐:</t>
  </si>
  <si>
    <t>기:미 나온다/여기 김:나온다</t>
  </si>
  <si>
    <t>갱죽(羹粥)</t>
  </si>
  <si>
    <t>꾹＇쭉(반드시 장이 들어가야 함)</t>
  </si>
  <si>
    <t>힌죽</t>
  </si>
  <si>
    <t>그거또 다 주기여(+?조)/씨래기주기라 그래지 죽(+?조)</t>
  </si>
  <si>
    <t>씨래기주기구/짠지주기라구/국쭉 쑤능거 마링가/국쭉(+장, 나물을 넣고 끓인 죽)</t>
  </si>
  <si>
    <t>국쭈그 국쭈근/씨레기구기라그래고/씨레기꾹</t>
  </si>
  <si>
    <t>국쭈기라그래지요 국쭉</t>
  </si>
  <si>
    <t>싱겁다</t>
  </si>
  <si>
    <t>싱구＇웅 거/싱굽＇따</t>
  </si>
  <si>
    <t>싱겁찌 머/싱거워서</t>
  </si>
  <si>
    <t>싱거움 머글마시 읍써/싱겁찌/싱거우먼/싱겁찌요/싱거워서</t>
  </si>
  <si>
    <t>싱구워서/싱굽따</t>
  </si>
  <si>
    <t>싱겁쪼/너머 싱거워서/싱겁따니</t>
  </si>
  <si>
    <t>싱거워서/싱겁따/소구만너먼 싱겁따 그래지요.</t>
  </si>
  <si>
    <t>국수</t>
  </si>
  <si>
    <t>국＇씨</t>
  </si>
  <si>
    <t>국씨</t>
  </si>
  <si>
    <t>그래 국쑤/메물국쑤 물:르지</t>
  </si>
  <si>
    <t>국씨가/국씨 맹그능거</t>
  </si>
  <si>
    <t>국쑤지 머(+머)</t>
  </si>
  <si>
    <t>국쑤를 마:니</t>
  </si>
  <si>
    <t>칼국수</t>
  </si>
  <si>
    <t>칼국＇씨</t>
  </si>
  <si>
    <t>칼국씨</t>
  </si>
  <si>
    <t>칼국쑤</t>
  </si>
  <si>
    <t>칼국쑤/칼국씨</t>
  </si>
  <si>
    <t>칼국씨이래/칼국쑤</t>
  </si>
  <si>
    <t>칼국쑤라그래요</t>
  </si>
  <si>
    <t>20612-1</t>
  </si>
  <si>
    <t>기계국수/틀국수</t>
  </si>
  <si>
    <t>틀국＇씨</t>
  </si>
  <si>
    <t>기게국쑤</t>
  </si>
  <si>
    <t>거 메물국쑤 {틀에 눌러서 만든 국수}</t>
  </si>
  <si>
    <t>장칼국씨라/누른국쑤(+분틀에다가 눌러서 뽑아낸 국수)</t>
  </si>
  <si>
    <t>똥그런국씨</t>
  </si>
  <si>
    <t>허면국쑤라그래요</t>
  </si>
  <si>
    <t>건더기</t>
  </si>
  <si>
    <t>껀디＇기</t>
  </si>
  <si>
    <t>건데기/국껀데기</t>
  </si>
  <si>
    <t>건더기 건저 멍는다 그래지</t>
  </si>
  <si>
    <t>건데기 건저 멍는다</t>
  </si>
  <si>
    <t>껀데기 머/짐치껀데기도</t>
  </si>
  <si>
    <t>건:디기</t>
  </si>
  <si>
    <t>20613-1</t>
  </si>
  <si>
    <t>국물</t>
  </si>
  <si>
    <t>꿍＇물</t>
  </si>
  <si>
    <t>국씨꿍물 낭께찌 {국수 국물 남겠지}</t>
  </si>
  <si>
    <t>궁물</t>
  </si>
  <si>
    <t>구꿍물</t>
  </si>
  <si>
    <t>구꿍무리고/구꿍물(+머)</t>
  </si>
  <si>
    <t>고명</t>
  </si>
  <si>
    <t>꾀미＇</t>
  </si>
  <si>
    <t>꾸미/꾸미라 그래</t>
  </si>
  <si>
    <t>꾀미</t>
  </si>
  <si>
    <t>괴미라구래덩가</t>
  </si>
  <si>
    <t>꾀:미라 하지</t>
  </si>
  <si>
    <t>조:차/고기조차에다/조차라 그래요</t>
  </si>
  <si>
    <t>꾸미</t>
  </si>
  <si>
    <t>고미라구래</t>
  </si>
  <si>
    <t>꾀미 마카 꾀미래요(+＇고명＇과 ＇꾸미＇의 구별이 없음)/꾀미르 먼 야채가따 꾀미라 하나?</t>
  </si>
  <si>
    <t>꾀미라그래요</t>
  </si>
  <si>
    <t>미역</t>
  </si>
  <si>
    <t>미＇이꾹</t>
  </si>
  <si>
    <t>미역꾹</t>
  </si>
  <si>
    <t>미역꾸기지 머/미여그로 만들지</t>
  </si>
  <si>
    <t>미여기지</t>
  </si>
  <si>
    <t>미여꾹/이기 쇠미여기야</t>
  </si>
  <si>
    <t>김(海苔)</t>
  </si>
  <si>
    <t>지이＇미 마~::이 나떠라/지임＇</t>
  </si>
  <si>
    <t>짐:</t>
  </si>
  <si>
    <t>짐:/짐: 기:메다 바블 싸먹지/지:미(+다)</t>
  </si>
  <si>
    <t>짐:바비라/기:믄</t>
  </si>
  <si>
    <t>짐:/지:미 마시따</t>
  </si>
  <si>
    <t>기:믈</t>
  </si>
  <si>
    <t>수제비</t>
  </si>
  <si>
    <t>수제＇비</t>
  </si>
  <si>
    <t>뜨데기</t>
  </si>
  <si>
    <t>뜨데기구기라니</t>
  </si>
  <si>
    <t>뜨덕꾸기라그래요</t>
  </si>
  <si>
    <t>끼니</t>
  </si>
  <si>
    <t>때르＇ 불민＇ 불민＇해따(끼니를 걸렀다)/때르＇(때-를)</t>
  </si>
  <si>
    <t>끼니/끄니라 구래</t>
  </si>
  <si>
    <t>끄니도 이꾸/때를 걸러따</t>
  </si>
  <si>
    <t>끄네기라</t>
  </si>
  <si>
    <t>끼니를 그네 뛔:따/끼니라구래자나</t>
  </si>
  <si>
    <t>끄니라구두허구</t>
  </si>
  <si>
    <t>미음</t>
  </si>
  <si>
    <t>미임＇</t>
  </si>
  <si>
    <t>밈: 밈/아푼 사람 밈:</t>
  </si>
  <si>
    <t>므ㅡㅁ:</t>
  </si>
  <si>
    <t>미우믈 쑤구 이따/미우미라구래</t>
  </si>
  <si>
    <t>미우믄(+머)/미움</t>
  </si>
  <si>
    <t>미우믈/미움미우미라그래요</t>
  </si>
  <si>
    <t>20620-1</t>
  </si>
  <si>
    <t>(미음을)끓이다/쑤다/삶다</t>
  </si>
  <si>
    <t>미임＇ 때＇렌나?</t>
  </si>
  <si>
    <t>끄려가지구선 수깔로 팍팍 뭉게가주 {끓여서는 숟가락으로 팍팍 뭉게서}</t>
  </si>
  <si>
    <t>끄레야지(미음을)</t>
  </si>
  <si>
    <t>쑤어따/미우믈 쑤구 이따</t>
  </si>
  <si>
    <t>힌주글 끄린다</t>
  </si>
  <si>
    <t>미우믈 긍까 쒀:야조./여기선 미움 쑨다</t>
  </si>
  <si>
    <t>엿기름</t>
  </si>
  <si>
    <t>여찔금＇</t>
  </si>
  <si>
    <t>질금/버리질금/여찔기미라구두 하구/질굼/질구므로 새켜가주구서 {질금으로 삭혀서}/여찔꿈</t>
  </si>
  <si>
    <t>질금녇/질그미 인제 드러가야 되는데/길그미 드러가야 되니까</t>
  </si>
  <si>
    <t>질구미라구래/질구미라구 질굼</t>
  </si>
  <si>
    <t>보리질금/보리질그미라그래/질금냉기 머라</t>
  </si>
  <si>
    <t>질금</t>
  </si>
  <si>
    <t>식혜(食醯)</t>
  </si>
  <si>
    <t>감＇주</t>
  </si>
  <si>
    <t>시케(+소)/감주(+다)/단술</t>
  </si>
  <si>
    <t>감주</t>
  </si>
  <si>
    <t>감주/단수리라구 시케라구</t>
  </si>
  <si>
    <t>감주고</t>
  </si>
  <si>
    <t>단술</t>
  </si>
  <si>
    <t>식해</t>
  </si>
  <si>
    <t>시캐＇</t>
  </si>
  <si>
    <t>시캐라 그러는데 머</t>
  </si>
  <si>
    <t>그게 시캐가 되지/시캐라고 이제 바다</t>
  </si>
  <si>
    <t>바다시캐(+머)</t>
  </si>
  <si>
    <t>달다(甘)</t>
  </si>
  <si>
    <t>꿀 머＇가 보＇~이 참 다대＇애/꾸리＇ 다＇다/다＇라사/다＇고/다다::하더＇라/다＇니</t>
  </si>
  <si>
    <t>달지 머</t>
  </si>
  <si>
    <t>달다/다러서/다니까 잘먹지/달지</t>
  </si>
  <si>
    <t>달다/설탕은 달지</t>
  </si>
  <si>
    <t>달조/다러요</t>
  </si>
  <si>
    <t>게 너머 다러서 몸머께따/더 달고</t>
  </si>
  <si>
    <t>가루</t>
  </si>
  <si>
    <t>가루＇/갈＇기#/가리＇#</t>
  </si>
  <si>
    <t>가루가 되지</t>
  </si>
  <si>
    <t>갈기가 되지/갈기라구두/가루 가루가 되지/쟁거는 갈기치능 거 {잔 것은 가루 치는 것}/가루가 만:타</t>
  </si>
  <si>
    <t>가루라구래/콩까루/가루지</t>
  </si>
  <si>
    <t>가루/쌀까루/갈기라 그래지</t>
  </si>
  <si>
    <t>그 가루가 만:타</t>
  </si>
  <si>
    <t>20625-0-1</t>
  </si>
  <si>
    <t>갈＇개다가 무르＇ 버＇어라</t>
  </si>
  <si>
    <t>갈루다 {가루에다}/빤: 가루에다가 물 부꾸 {빻은 가루에다가 물 붓고}</t>
  </si>
  <si>
    <t>가루에다 무를 붜야지</t>
  </si>
  <si>
    <t>가루에다/콩까루에 무체따</t>
  </si>
  <si>
    <t>갈게다</t>
  </si>
  <si>
    <t>가루에다</t>
  </si>
  <si>
    <t>20625-0-2</t>
  </si>
  <si>
    <t>갈＇기라고도/갈＇글 반주캐라 (가루를 반죽해라)/갈글 (가루를)</t>
  </si>
  <si>
    <t>갈길 가주나라/갈기를 빼고 그래는 체</t>
  </si>
  <si>
    <t>가루를 가지구/가루를 핼라먼/갈를(+여)/갈를 (+여)</t>
  </si>
  <si>
    <t>갈그 빼가주/갈글 가따가</t>
  </si>
  <si>
    <t>가룰 맨진다</t>
  </si>
  <si>
    <t>20625-0-3</t>
  </si>
  <si>
    <t>가르＇도 가주오나라/갈＇기도 이따</t>
  </si>
  <si>
    <t>빠어쓰이까 갈기배께 더 되나요/가루래야지</t>
  </si>
  <si>
    <t>가루배께</t>
  </si>
  <si>
    <t>가루도 만타</t>
  </si>
  <si>
    <t>가루지요.</t>
  </si>
  <si>
    <t>밀가루</t>
  </si>
  <si>
    <t>밀까＇리</t>
  </si>
  <si>
    <t>밀까루</t>
  </si>
  <si>
    <t>밀가루/밀깔낀 안 느:</t>
  </si>
  <si>
    <t>밀까루라</t>
  </si>
  <si>
    <t>갈기 돼 밀까루 되고/밀까루라그래고/밀깔게다</t>
  </si>
  <si>
    <t>그밀까루즘 가주와라</t>
  </si>
  <si>
    <t>밀기울</t>
  </si>
  <si>
    <t>밀찌＇울</t>
  </si>
  <si>
    <t>밀찌울</t>
  </si>
  <si>
    <t>밀찌우리라그래</t>
  </si>
  <si>
    <t>밀찌우리라그래요/밀찌울기라그래</t>
  </si>
  <si>
    <t>미숫가루</t>
  </si>
  <si>
    <t>미수까＇리</t>
  </si>
  <si>
    <t>미:수깔루</t>
  </si>
  <si>
    <t>미수까루 맨드렁기</t>
  </si>
  <si>
    <t>미수까루</t>
  </si>
  <si>
    <t>미스까루</t>
  </si>
  <si>
    <t>미스까루라그래</t>
  </si>
  <si>
    <t>간장</t>
  </si>
  <si>
    <t>자앙＇물</t>
  </si>
  <si>
    <t>간장/조선깐장</t>
  </si>
  <si>
    <t>간장/간자~이지(통칭)/지령이랑건(+소, 제사 때 사용)/예 지렁(제사가 사용)/간장 가주오라 그래지(+다)</t>
  </si>
  <si>
    <t>간장/장:물두 당구구/간장이라(+다)</t>
  </si>
  <si>
    <t>간자~이조 {+머}</t>
  </si>
  <si>
    <t>간장/간자~이라그래요</t>
  </si>
  <si>
    <t>된장</t>
  </si>
  <si>
    <t>튀장＇ 막＇짱</t>
  </si>
  <si>
    <t>된:장에두 찌거 머거 {된장에도 찍어 먹어}</t>
  </si>
  <si>
    <t>된:장</t>
  </si>
  <si>
    <t>메장에다/된장 지저멍는거</t>
  </si>
  <si>
    <t>된:자~으는 어떠하고</t>
  </si>
  <si>
    <t>된:장여기는</t>
  </si>
  <si>
    <t>고춧가루</t>
  </si>
  <si>
    <t>꼬치까리＇</t>
  </si>
  <si>
    <t>고추가루</t>
  </si>
  <si>
    <t>꼬추까루</t>
  </si>
  <si>
    <t>고치까루를/고치까루두/고치깔루가</t>
  </si>
  <si>
    <t>고치까루</t>
  </si>
  <si>
    <t>고치까루 머/고추까루</t>
  </si>
  <si>
    <t>고추장</t>
  </si>
  <si>
    <t>꼬치＇장</t>
  </si>
  <si>
    <t>꼬치장</t>
  </si>
  <si>
    <t>고치장두/꼬치장에두/꼬치장으로 드러가고/고치장이라구</t>
  </si>
  <si>
    <t>고치장/고치자~에다</t>
  </si>
  <si>
    <t>고치장에 고치장</t>
  </si>
  <si>
    <t>소금</t>
  </si>
  <si>
    <t>소구＇메 제＇린다/소곰＇</t>
  </si>
  <si>
    <t>소구메/소굼꺼정 거기 인네.</t>
  </si>
  <si>
    <t>소굼</t>
  </si>
  <si>
    <t>소구믄</t>
  </si>
  <si>
    <t>소금/소구메더가</t>
  </si>
  <si>
    <t>소구메다 저리지.</t>
  </si>
  <si>
    <t>김치</t>
  </si>
  <si>
    <t>짐＇치</t>
  </si>
  <si>
    <t>김치/겨울김치/짠지라 그래지 짠지(+구)</t>
  </si>
  <si>
    <t>짐치는 인제/김치 당군다그래지</t>
  </si>
  <si>
    <t>짠지래능게/짐치/짐치(+국물이 있음)/김치라구두 하구 짠지라구두 하구/짠지라구래지</t>
  </si>
  <si>
    <t>배추짐치/백찜치 해:너:끼때미러 {백김치 해넣었기 때문에}/짠지한다/짐치르</t>
  </si>
  <si>
    <t>김치 당궈따구</t>
  </si>
  <si>
    <t>김장</t>
  </si>
  <si>
    <t>짐장＇</t>
  </si>
  <si>
    <t>짠지한다고도 그래구/김장한다고도 그래구</t>
  </si>
  <si>
    <t>야 짐장 무짜 그래구</t>
  </si>
  <si>
    <t>짐장을</t>
  </si>
  <si>
    <t>짐장한다</t>
  </si>
  <si>
    <t>김장한다구러구</t>
  </si>
  <si>
    <t>깍두기</t>
  </si>
  <si>
    <t>깍띠＇기</t>
  </si>
  <si>
    <t>깍뚜기/깍뛰기 노코</t>
  </si>
  <si>
    <t>깍뚜기두 이꾸</t>
  </si>
  <si>
    <t>깍뚜기라구래지</t>
  </si>
  <si>
    <t>깍:떼기야</t>
  </si>
  <si>
    <t>깍뛰기라고허고</t>
  </si>
  <si>
    <t>나박김치</t>
  </si>
  <si>
    <t>양념 다아 너＇어 하능 기 나막김치조./나막짐＇치</t>
  </si>
  <si>
    <t>나박낌치</t>
  </si>
  <si>
    <t>나막김치라곤 얘긴들어써요/나막찜치/*</t>
  </si>
  <si>
    <t>나박찜치/나박찜치라능거</t>
  </si>
  <si>
    <t>나박찜치(+머)/궁물짐치라해요</t>
  </si>
  <si>
    <t>물김치</t>
  </si>
  <si>
    <t>담그다</t>
  </si>
  <si>
    <t>짐장＇을 당군＇다</t>
  </si>
  <si>
    <t>당군다 그래지 김치 당군다 그래지/장:언 당군다</t>
  </si>
  <si>
    <t>장:은 당군다그래지</t>
  </si>
  <si>
    <t>빨리 당군다</t>
  </si>
  <si>
    <t>당구고/동:지미 당군다고</t>
  </si>
  <si>
    <t>20710-0-1</t>
  </si>
  <si>
    <t>당구＇고 이따</t>
  </si>
  <si>
    <t>당구능 거</t>
  </si>
  <si>
    <t>당구구</t>
  </si>
  <si>
    <t>당구자구래지</t>
  </si>
  <si>
    <t>당구능거</t>
  </si>
  <si>
    <t>당군다구/김치 당군다구</t>
  </si>
  <si>
    <t>20710-0-2</t>
  </si>
  <si>
    <t>당과＇라</t>
  </si>
  <si>
    <t>마시께 당궈라 이래지</t>
  </si>
  <si>
    <t>장 당궈라</t>
  </si>
  <si>
    <t>김치 당궈머꾸</t>
  </si>
  <si>
    <t>무레다 당궈 노:먼/그드카게 당궈나따가</t>
  </si>
  <si>
    <t>양념</t>
  </si>
  <si>
    <t>양님＇</t>
  </si>
  <si>
    <t>양념/양념 머</t>
  </si>
  <si>
    <t>양염</t>
  </si>
  <si>
    <t>양여미 드러가야/양너미/양념해서</t>
  </si>
  <si>
    <t>양님/양님해가주(+머)/양니미라고하지</t>
  </si>
  <si>
    <t>양염/양여믈 해자느니까 버무린다그래요 그걸/양녀마고 가치 {양념하고 같이}</t>
  </si>
  <si>
    <t>버무리다</t>
  </si>
  <si>
    <t>버무＇리능거슬</t>
  </si>
  <si>
    <t>버무려/물 우에다가 버무려</t>
  </si>
  <si>
    <t>버물른다/버무린다 그래지/잘 버무레라 그래지</t>
  </si>
  <si>
    <t>버무려/버무린다/어떠케 버무려라/버무리구 이따</t>
  </si>
  <si>
    <t>버무린다고/버무레해 노:먼/버무렌 그기/범더꺼린다</t>
  </si>
  <si>
    <t>김칠 버무레가주구</t>
  </si>
  <si>
    <t>버섯</t>
  </si>
  <si>
    <t>버＇서치/버＇서치 마~::니 달레떠라./버＇섣</t>
  </si>
  <si>
    <t>영지버섭/송이버섭/영기버섭</t>
  </si>
  <si>
    <t>영기버섭/이건 버섭</t>
  </si>
  <si>
    <t>버섭</t>
  </si>
  <si>
    <t>버섣</t>
  </si>
  <si>
    <t>표고버섭 가주와라</t>
  </si>
  <si>
    <t>20713-0-1</t>
  </si>
  <si>
    <t>버＇서슬 따와.</t>
  </si>
  <si>
    <t>버서피자너 그건</t>
  </si>
  <si>
    <t>버서피고/영기버서비 크다/그버서비고 {그 버섯이고}</t>
  </si>
  <si>
    <t>버서빈데</t>
  </si>
  <si>
    <t>버서시라그래고/버서시 아니요</t>
  </si>
  <si>
    <t>버서피라그래지요/버서페</t>
  </si>
  <si>
    <t>콩나물</t>
  </si>
  <si>
    <t>콩질금＇/질금＇ 물쫘라＇ {콩나물 물 줘라.}</t>
  </si>
  <si>
    <t>콩나물 질금낸다</t>
  </si>
  <si>
    <t>20714-1</t>
  </si>
  <si>
    <t>콩나물 놔＇아가주고 소굼하＇고(+할머니)</t>
  </si>
  <si>
    <t>콩나물 반찬하지</t>
  </si>
  <si>
    <t>콩나무린데</t>
  </si>
  <si>
    <t>질금/그냥 질그미라고/콩나무리</t>
  </si>
  <si>
    <t>콩나물반차니라</t>
  </si>
  <si>
    <t>20714-2</t>
  </si>
  <si>
    <t>숙주(나물)</t>
  </si>
  <si>
    <t>녹뚜＇질금</t>
  </si>
  <si>
    <t>녹뚜나물/숙뚜나물/숙쭈나무럴</t>
  </si>
  <si>
    <t>녹뚜나무리 더 보두럽찌</t>
  </si>
  <si>
    <t>숙뚜나물</t>
  </si>
  <si>
    <t>그건 녹뚜나무리라</t>
  </si>
  <si>
    <t>그건 녹뚜나물</t>
  </si>
  <si>
    <t>두부</t>
  </si>
  <si>
    <t>두우＇부/드으＇부</t>
  </si>
  <si>
    <t>두부/두분데/두부여</t>
  </si>
  <si>
    <t>두:부</t>
  </si>
  <si>
    <t>두부로구만/두부모/두부한다고</t>
  </si>
  <si>
    <t>두부가 마시따</t>
  </si>
  <si>
    <t>비지</t>
  </si>
  <si>
    <t>비＇지</t>
  </si>
  <si>
    <t>건 비지</t>
  </si>
  <si>
    <t>20716-1</t>
  </si>
  <si>
    <t>비지떡</t>
  </si>
  <si>
    <t>예, 비＇지떡</t>
  </si>
  <si>
    <t>쌍게 비지떠기다</t>
  </si>
  <si>
    <t>비지떠기라고</t>
  </si>
  <si>
    <t>근 비지떠기라그래지요</t>
  </si>
  <si>
    <t>달걀</t>
  </si>
  <si>
    <t>짐장＇을 당군＇다/달＇갈</t>
  </si>
  <si>
    <t>달기알/겨란/달걀</t>
  </si>
  <si>
    <t>달결/달갈/게라니여 이건</t>
  </si>
  <si>
    <t>달기알</t>
  </si>
  <si>
    <t>게랄</t>
  </si>
  <si>
    <t>겨란가튼데요(+신)/달기아리라그래지요(+구)</t>
  </si>
  <si>
    <t>가래떡</t>
  </si>
  <si>
    <t>가래＇떡</t>
  </si>
  <si>
    <t>가래떠깅가/가래떵 머/가래떠기여</t>
  </si>
  <si>
    <t>*/가래떡</t>
  </si>
  <si>
    <t>가래떠기라구</t>
  </si>
  <si>
    <t>가락떠기라 그래는데</t>
  </si>
  <si>
    <t>시루떡</t>
  </si>
  <si>
    <t>시일＇기떡/실＇기떡/시루＇떡또 머</t>
  </si>
  <si>
    <t>시루떡/시루떠기지</t>
  </si>
  <si>
    <t>시르떡/거 시르떠그 거 머이라</t>
  </si>
  <si>
    <t>송편</t>
  </si>
  <si>
    <t>소옹＇펜＇/소옹＇편</t>
  </si>
  <si>
    <t>쇵펴으루 할람/쇵편</t>
  </si>
  <si>
    <t>송펜</t>
  </si>
  <si>
    <t>쇵편</t>
  </si>
  <si>
    <t>쇵:편</t>
  </si>
  <si>
    <t>빚다</t>
  </si>
  <si>
    <t>빈는＇다/비＇저라/비＇저야</t>
  </si>
  <si>
    <t>송편 비꾸 이래능 거는 {송편 빚고 이러는 거는}/비저 요로케 요로케 {빚어 요렇게 요렇게}/비저가주 {빚어서}</t>
  </si>
  <si>
    <t>송편 비는다구/비꾸이따/비저</t>
  </si>
  <si>
    <t>비저라/빈넌다구</t>
  </si>
  <si>
    <t>빈능건 되고/비즈라고/빈는다</t>
  </si>
  <si>
    <t>쇵:편 빈는다/쇵펴늘 빨리 비저라/쇵편 빨리 비즈라구</t>
  </si>
  <si>
    <t>흰떡</t>
  </si>
  <si>
    <t>절편보＇고 힌떠기라 함미다</t>
  </si>
  <si>
    <t>힌떡/그게 인절미지/절편 힌떡</t>
  </si>
  <si>
    <t>신떠기지</t>
  </si>
  <si>
    <t>힌떠근 힌떠긴데/절펴니라그랜다고</t>
  </si>
  <si>
    <t>찰떡</t>
  </si>
  <si>
    <t>고물</t>
  </si>
  <si>
    <t>보시＇~이/콩보시~＇이라 해도 되고</t>
  </si>
  <si>
    <t>파꼬물/콩꼬물</t>
  </si>
  <si>
    <t>콩보새~이도 무치고</t>
  </si>
  <si>
    <t>콩꺼물/거무리라그래지요.</t>
  </si>
  <si>
    <t>팥죽</t>
  </si>
  <si>
    <t>동지＇파쭉＇</t>
  </si>
  <si>
    <t>파쭉</t>
  </si>
  <si>
    <t>동지파쭉</t>
  </si>
  <si>
    <t>새알심</t>
  </si>
  <si>
    <t>근＇데 우리말로 새:알＇/새애＇아리란 얘기를 쓰지요</t>
  </si>
  <si>
    <t>옹시미</t>
  </si>
  <si>
    <t>찹쌀 옹:새~이/옹:시미</t>
  </si>
  <si>
    <t>옹:시미</t>
  </si>
  <si>
    <t>옹시미/옹시미는</t>
  </si>
  <si>
    <t>백설기</t>
  </si>
  <si>
    <t>백실＇기</t>
  </si>
  <si>
    <t>힌무리(+신)/백썰기(+구)</t>
  </si>
  <si>
    <t>백썰기</t>
  </si>
  <si>
    <t>백썰기가</t>
  </si>
  <si>
    <t>튀밥</t>
  </si>
  <si>
    <t>튀비＇기</t>
  </si>
  <si>
    <t>튀바비라구두 해구/쌀광정/옥씨기광정</t>
  </si>
  <si>
    <t>옥쑤수광밥/입쌀광밥/광:밥</t>
  </si>
  <si>
    <t>쌀광재기/광재~이/옥씨기광재기</t>
  </si>
  <si>
    <t>광:밥</t>
  </si>
  <si>
    <t>강제~이 튀긴다그래지요/쌀강제~이먼 쌀강제~이</t>
  </si>
  <si>
    <t>술</t>
  </si>
  <si>
    <t>수＇를 마신다/술하＇고/술＇과 안＇주로 잘:: 머＇가따/파쭉＇</t>
  </si>
  <si>
    <t>술 빈는다 그래게찌 {술 빚는다 그러겠지}</t>
  </si>
  <si>
    <t>수리 인제 머/술</t>
  </si>
  <si>
    <t>수리 마시따</t>
  </si>
  <si>
    <t>수리조/술뚜 하고</t>
  </si>
  <si>
    <t>수리조.</t>
  </si>
  <si>
    <t>막걸리</t>
  </si>
  <si>
    <t>응 마껄＇리 그러치 마껄리</t>
  </si>
  <si>
    <t>막껄리/막껄리 잘 먹찌/막껄리 마시먼 막껄리</t>
  </si>
  <si>
    <t>보:통 막껄리지/청주소주막껄리</t>
  </si>
  <si>
    <t>막껄리</t>
  </si>
  <si>
    <t>마껄리</t>
  </si>
  <si>
    <t>소주</t>
  </si>
  <si>
    <t>소＇주</t>
  </si>
  <si>
    <t>쏘주</t>
  </si>
  <si>
    <t>쇠주/소주/쐬주 이꾸</t>
  </si>
  <si>
    <t>소주하고</t>
  </si>
  <si>
    <t>부침개</t>
  </si>
  <si>
    <t>저억＇/부치＇기</t>
  </si>
  <si>
    <t>부치기/저기라구 마:~이 해지 {적이라고 많이 하지}</t>
  </si>
  <si>
    <t>부치개하능거</t>
  </si>
  <si>
    <t>저기야 저게</t>
  </si>
  <si>
    <t>다 합처선 저기조</t>
  </si>
  <si>
    <t>부치개</t>
  </si>
  <si>
    <t>부뚜막</t>
  </si>
  <si>
    <t>부뚜막＇</t>
  </si>
  <si>
    <t>정지라 그래(+소)/붜어:키라고 마:~이 해지 부어케</t>
  </si>
  <si>
    <t>부뚜마기지/부뚜막</t>
  </si>
  <si>
    <t>요건 부뚜마기고</t>
  </si>
  <si>
    <t>부뚜막/부뚜마기라</t>
  </si>
  <si>
    <t>가마솥</t>
  </si>
  <si>
    <t>가＇매솓/인제 가매솓＇</t>
  </si>
  <si>
    <t>가마소칭가본데 {가마솥인가 본데}/가마 소테두</t>
  </si>
  <si>
    <t>가마지</t>
  </si>
  <si>
    <t>가매솓</t>
  </si>
  <si>
    <t>가매가 원체 크조/가매에다/가맨</t>
  </si>
  <si>
    <t>가매소뚜/가매솓</t>
  </si>
  <si>
    <t>20802-0-1</t>
  </si>
  <si>
    <t>가＇매르 가주와라/킁거＇슨 그＇냥 소＇치고/가＇매가 크다</t>
  </si>
  <si>
    <t>소친데 {솥인데}</t>
  </si>
  <si>
    <t>소치지 뭐</t>
  </si>
  <si>
    <t>가매소치라고</t>
  </si>
  <si>
    <t>가매소치 무겁따/소치라그래요</t>
  </si>
  <si>
    <t>20802-0-2</t>
  </si>
  <si>
    <t>가＇매다 건추＇를 쌀마라</t>
  </si>
  <si>
    <t>가마소테</t>
  </si>
  <si>
    <t>가마에다 끄리지</t>
  </si>
  <si>
    <t>소체다 해구</t>
  </si>
  <si>
    <t>이 소테다 바브 하조</t>
  </si>
  <si>
    <t>큰 가매소테다</t>
  </si>
  <si>
    <t>아궁이</t>
  </si>
  <si>
    <t>버억＇/버가궁＇지</t>
  </si>
  <si>
    <t>버강지/보강지</t>
  </si>
  <si>
    <t>아구~이</t>
  </si>
  <si>
    <t>아궁지라</t>
  </si>
  <si>
    <t>벅:아구리/벅:아구~이</t>
  </si>
  <si>
    <t>부강지</t>
  </si>
  <si>
    <t>20803-0-1</t>
  </si>
  <si>
    <t>버가궁＇지라고도 하고</t>
  </si>
  <si>
    <t>아구~이가 크다 그래/보강지 아구~이가 크다 그래지</t>
  </si>
  <si>
    <t>벅:아구리가 머</t>
  </si>
  <si>
    <t>부강지가 크다</t>
  </si>
  <si>
    <t>그을음</t>
  </si>
  <si>
    <t>끄시멍＇/끄시머＇~이 마제요 끄시멍＇</t>
  </si>
  <si>
    <t>끄으림/끄:으르미 올라 와따/끄:리미래</t>
  </si>
  <si>
    <t>끄으리미라 그래지</t>
  </si>
  <si>
    <t>끄:리미라/끄:림</t>
  </si>
  <si>
    <t>끄시러서 시커멍기 거멍/거머~이지 거멍</t>
  </si>
  <si>
    <t>끄으림 끄:름/끄으리미라그래요</t>
  </si>
  <si>
    <t>불쏘시개</t>
  </si>
  <si>
    <t>부살＇개</t>
  </si>
  <si>
    <t>불쑤시개/불쑤시개라고 하고 불각때기</t>
  </si>
  <si>
    <t>불쌀개넌능거요</t>
  </si>
  <si>
    <t>연기</t>
  </si>
  <si>
    <t>영＇개가/영＇개가 난다＇/여엉＇개가/영＇개가 나니</t>
  </si>
  <si>
    <t>옝기 옝기 나오지/영기가 나와 끄:러따 구래지</t>
  </si>
  <si>
    <t>영기지</t>
  </si>
  <si>
    <t>영:기지</t>
  </si>
  <si>
    <t>옝기가/옝:기가</t>
  </si>
  <si>
    <t>영기 나오지요 영기</t>
  </si>
  <si>
    <t>20806-1</t>
  </si>
  <si>
    <t>내(煙氣)</t>
  </si>
  <si>
    <t>가튼 여엉＇갠데</t>
  </si>
  <si>
    <t>매캐한 내가 난다고</t>
  </si>
  <si>
    <t>그을리다</t>
  </si>
  <si>
    <t>끄시＇는 지브는 {그으는 집은}/끄시＇다라 {그을더라}/끄신＇다 {그은다}/부레＇다 끄실리＇고 {불에 다 그을리고}/끄실례＇에따</t>
  </si>
  <si>
    <t>끄:러따구/끄을지 머</t>
  </si>
  <si>
    <t>에 끄시러/끄신다 그래지</t>
  </si>
  <si>
    <t>끄:러따</t>
  </si>
  <si>
    <t>끄시러따/끄실조/끄시러요/끄실고/끄슬머는</t>
  </si>
  <si>
    <t>마~:이 끄실러따허기도 허구머/끄실러저찌</t>
  </si>
  <si>
    <t>부지깽이</t>
  </si>
  <si>
    <t>부지끼＇~이</t>
  </si>
  <si>
    <t>부지깨~이는/부지께~이도</t>
  </si>
  <si>
    <t>마른 부지깨~이가 만능게지</t>
  </si>
  <si>
    <t>비지깨~이</t>
  </si>
  <si>
    <t>이기 부지끼~이로구만/부지께~이요</t>
  </si>
  <si>
    <t>비지깨~이/비지께~이루</t>
  </si>
  <si>
    <t>부삽</t>
  </si>
  <si>
    <t>불가＇래</t>
  </si>
  <si>
    <t>부댕가리/뷔댕가리</t>
  </si>
  <si>
    <t>비데~이</t>
  </si>
  <si>
    <t>불까래/비데~이라</t>
  </si>
  <si>
    <t>비대~이</t>
  </si>
  <si>
    <t>비:대~이</t>
  </si>
  <si>
    <t>냅다</t>
  </si>
  <si>
    <t>누~이＇ 시＇굽따.(+눈에 들어갔을 때)/그 영＇기 내＇굽따.(+코에 들어갔을 때)</t>
  </si>
  <si>
    <t>누니 맵따 그래지 {눈이 맵다 그러지}/매워서</t>
  </si>
  <si>
    <t>매워서 모뜬다그래지/맵따구래지</t>
  </si>
  <si>
    <t>누니 시굽따/영기가 안나서 맵따/내굽따</t>
  </si>
  <si>
    <t>내그워서/내급따그랜다고/내굽쪼</t>
  </si>
  <si>
    <t>영기 마시먼 시구꾸/시굽따</t>
  </si>
  <si>
    <t>냄비</t>
  </si>
  <si>
    <t>냄비＇</t>
  </si>
  <si>
    <t>냄비먼/남비</t>
  </si>
  <si>
    <t>냄비아니요</t>
  </si>
  <si>
    <t>냄:비/냄비요</t>
  </si>
  <si>
    <t>그릇</t>
  </si>
  <si>
    <t>글＇씨만/글＇씨 {그릇}</t>
  </si>
  <si>
    <t>그륵 씽능 게 수세미여</t>
  </si>
  <si>
    <t>그르시/그륻</t>
  </si>
  <si>
    <t>박끄르세/바끄륻</t>
  </si>
  <si>
    <t>그르시로구만/바끄르시요/자시끄리고 {자싯그릇이고}/자시끄레다 다머라/자시끌 {자릿그릇}/그르 쎄서 {그릇 씻어서}</t>
  </si>
  <si>
    <t>반찬끄륻</t>
  </si>
  <si>
    <t>20812-0-1</t>
  </si>
  <si>
    <t>니 여＇페 인는 글＇쓰 내인데가주 오나라/글＇쓰 내인＇대 가주 오나＇라</t>
  </si>
  <si>
    <t>그륵 씽는다구/그르글 맨드러 씨구 가주구 놀:지/질그르슨/고 그르근 (그 그릇은}</t>
  </si>
  <si>
    <t>그르슬/그르슨 항군데다 합치먼</t>
  </si>
  <si>
    <t>그르시지/그르슨</t>
  </si>
  <si>
    <t>그르스 쎄:서</t>
  </si>
  <si>
    <t>그륻 그르시 만타</t>
  </si>
  <si>
    <t>뚜껑</t>
  </si>
  <si>
    <t>뚜끼＇~이</t>
  </si>
  <si>
    <t>뚜께 덤능 거</t>
  </si>
  <si>
    <t>그거뚜 따껑/이 위에껀 따꿍</t>
  </si>
  <si>
    <t>뚜껑이라구래구</t>
  </si>
  <si>
    <t>뚜꺼~이라/이 따까리마리요/뚜꼉/냄비따까리</t>
  </si>
  <si>
    <t>뚜껑/밥뚜꺼~이라그래지요</t>
  </si>
  <si>
    <t>주발 뚜껑</t>
  </si>
  <si>
    <t>개우＇(+대갓집에서 씀. 일반집에서는 ＇복찌깨＇를 씀.)/뽁찌＇깨</t>
  </si>
  <si>
    <t>복찌께/쎄키구</t>
  </si>
  <si>
    <t>복찌개/보깨라 그래지 보깨</t>
  </si>
  <si>
    <t>복쭈깨</t>
  </si>
  <si>
    <t>뚜꼉/녹씨끼뚜껴~이고/녹씨끼뚜껴~이지요</t>
  </si>
  <si>
    <t>복찌깨</t>
  </si>
  <si>
    <t>사발 뚜껑</t>
  </si>
  <si>
    <t>*(+사용하지 않음.)/개우＇라지요 개우＇</t>
  </si>
  <si>
    <t>숭긴다 구래지/사발뚜께/숭기능 거</t>
  </si>
  <si>
    <t>보깨</t>
  </si>
  <si>
    <t>따까리라고도 부루고 뚜껴~이라고도 부루고</t>
  </si>
  <si>
    <t>사기복찌깨라 그래지요</t>
  </si>
  <si>
    <t>솥뚜껑</t>
  </si>
  <si>
    <t>소두＇베(+다)/소두＇베라고도 하고 소뚜기~(+소)이라고도</t>
  </si>
  <si>
    <t>소당 소당</t>
  </si>
  <si>
    <t>소데~이(=소)/소뚜껑(+다)</t>
  </si>
  <si>
    <t>소뚜껑</t>
  </si>
  <si>
    <t>소뚜껴~이</t>
  </si>
  <si>
    <t>쇠당</t>
  </si>
  <si>
    <t>밥주걱</t>
  </si>
  <si>
    <t>빡쭉＇</t>
  </si>
  <si>
    <t>거긴네 밥쭈게기/쇠주겅 나무주걱</t>
  </si>
  <si>
    <t>박쭉 둘다</t>
  </si>
  <si>
    <t>주거기야요/밥푸는 주걱</t>
  </si>
  <si>
    <t>밥쭈걱</t>
  </si>
  <si>
    <t>밥쭈걱/건 주거긴데요</t>
  </si>
  <si>
    <t>숟가락</t>
  </si>
  <si>
    <t>마제. 수꾸락/수꾸락＇</t>
  </si>
  <si>
    <t>수깔</t>
  </si>
  <si>
    <t>이 수까락</t>
  </si>
  <si>
    <t>수까리자너/수깔</t>
  </si>
  <si>
    <t>수까라기 아니요/수까락</t>
  </si>
  <si>
    <t>젓가락</t>
  </si>
  <si>
    <t>저끄락＇/절끄락＇</t>
  </si>
  <si>
    <t>저깔/수깔 한 벌</t>
  </si>
  <si>
    <t>절</t>
  </si>
  <si>
    <t>절깔</t>
  </si>
  <si>
    <t>절까락</t>
  </si>
  <si>
    <t>종지</t>
  </si>
  <si>
    <t>종지＇ 일명 종지＇기</t>
  </si>
  <si>
    <t>종지/종지가 이꾸</t>
  </si>
  <si>
    <t>그건 종지라 그랜다고/종지라고</t>
  </si>
  <si>
    <t>간장 종지/간장쫑지두 이꾸</t>
  </si>
  <si>
    <t>보시기</t>
  </si>
  <si>
    <t>타앙＇깨</t>
  </si>
  <si>
    <t>탱끼/김치탱끼/탕:끼</t>
  </si>
  <si>
    <t>탱끼</t>
  </si>
  <si>
    <t>중바리라 그래고</t>
  </si>
  <si>
    <t>탕:끼</t>
  </si>
  <si>
    <t>뚝배기</t>
  </si>
  <si>
    <t>장뚜가＇리</t>
  </si>
  <si>
    <t>뚝빼기 거기다 담꼬 {뚝배기 거기다 담고}</t>
  </si>
  <si>
    <t>이건 뚝빼기</t>
  </si>
  <si>
    <t>장투가리</t>
  </si>
  <si>
    <t>따까리가 이씸 장뚜가리라고 하겐는데</t>
  </si>
  <si>
    <t>뚝빼기</t>
  </si>
  <si>
    <t>접시</t>
  </si>
  <si>
    <t>기푸고 접쎄기는/이거＇얼 보고 접쎄＇기라 하지요.</t>
  </si>
  <si>
    <t>접씨이래지/접쎄기/접씨(+신)/접쎄기는 옌:날 마리구/접쎄기(+구)</t>
  </si>
  <si>
    <t>접씨두 이꾸</t>
  </si>
  <si>
    <t>접씨</t>
  </si>
  <si>
    <t>접씨고</t>
  </si>
  <si>
    <t>사라/접씨</t>
  </si>
  <si>
    <t>조리</t>
  </si>
  <si>
    <t>쪼＇구리</t>
  </si>
  <si>
    <t>조:리/조:래~이여 인:나레두 {조리야 옛날에도}</t>
  </si>
  <si>
    <t>조:리</t>
  </si>
  <si>
    <t>조래~이</t>
  </si>
  <si>
    <t>요고 조:리요</t>
  </si>
  <si>
    <t>이남박</t>
  </si>
  <si>
    <t>쌀박＇/쌀루바＇기라고(+할머니)</t>
  </si>
  <si>
    <t>남박/남바기래</t>
  </si>
  <si>
    <t>쌀람바기라/남바기라구</t>
  </si>
  <si>
    <t>쌀르바기야</t>
  </si>
  <si>
    <t>남박</t>
  </si>
  <si>
    <t>바가지</t>
  </si>
  <si>
    <t>쪽뻬＇기/고지바가찌라고/바가＇찌</t>
  </si>
  <si>
    <t>바가지 박빠가지</t>
  </si>
  <si>
    <t>바가지구/바가치에다(+여)</t>
  </si>
  <si>
    <t>이건 바가지</t>
  </si>
  <si>
    <t>바긴데요 바가지</t>
  </si>
  <si>
    <t>행주</t>
  </si>
  <si>
    <t>행＇주</t>
  </si>
  <si>
    <t>헹주</t>
  </si>
  <si>
    <t>행주/헹주라구래자너</t>
  </si>
  <si>
    <t>행주라구</t>
  </si>
  <si>
    <t>헹구다</t>
  </si>
  <si>
    <t>헹＇군다</t>
  </si>
  <si>
    <t>헹군대능 거</t>
  </si>
  <si>
    <t>헹궈라/말근무레 헹구니까 그러케 대지/헹군다</t>
  </si>
  <si>
    <t>빠러서 헹궈라/헹군다구</t>
  </si>
  <si>
    <t>여:는 헹군다/여러번 헹:구능거</t>
  </si>
  <si>
    <t>빨래를 빨리 헹궈라/헹군다구</t>
  </si>
  <si>
    <t>설거지</t>
  </si>
  <si>
    <t>설거＇지</t>
  </si>
  <si>
    <t>설거지라고 하지</t>
  </si>
  <si>
    <t>설거지야</t>
  </si>
  <si>
    <t>빨리 설거지 해:라</t>
  </si>
  <si>
    <t>개숫물</t>
  </si>
  <si>
    <t>자신＇물</t>
  </si>
  <si>
    <t>자심물</t>
  </si>
  <si>
    <t>설거짐물/설거짐무리라 그래는데/설거지물</t>
  </si>
  <si>
    <t>자심무리라고 하지</t>
  </si>
  <si>
    <t>자신무리 즉:따/그 설거지물</t>
  </si>
  <si>
    <t>찌꺼기</t>
  </si>
  <si>
    <t>찌끄리＇기</t>
  </si>
  <si>
    <t>찌꺼지</t>
  </si>
  <si>
    <t>찌께기</t>
  </si>
  <si>
    <t>찌끄레기래야/물찌그레기</t>
  </si>
  <si>
    <t>찌꺼지기무를/찌꺼레기</t>
  </si>
  <si>
    <t>화로</t>
  </si>
  <si>
    <t>화아＇리</t>
  </si>
  <si>
    <t>화:리로군 그래 화:리</t>
  </si>
  <si>
    <t>화:로</t>
  </si>
  <si>
    <t>이건 화린데</t>
  </si>
  <si>
    <t>화:리조</t>
  </si>
  <si>
    <t>화:루</t>
  </si>
  <si>
    <t>화롯불</t>
  </si>
  <si>
    <t>화아＇리뿔</t>
  </si>
  <si>
    <t>화:리뿔</t>
  </si>
  <si>
    <t>화:로뿔</t>
  </si>
  <si>
    <t>화리뿌리라</t>
  </si>
  <si>
    <t>화:리뿌리라고</t>
  </si>
  <si>
    <t>화:루뿔</t>
  </si>
  <si>
    <t>부젓가락</t>
  </si>
  <si>
    <t>부절까지/부절까＇지라고</t>
  </si>
  <si>
    <t>부저깔</t>
  </si>
  <si>
    <t>불찌깨/부절까지</t>
  </si>
  <si>
    <t>찌깨야 불찌깨</t>
  </si>
  <si>
    <t>쩌깨/불떠깨야(+머)/불쩌깨</t>
  </si>
  <si>
    <t>불찌깨</t>
  </si>
  <si>
    <t>20834-0-1</t>
  </si>
  <si>
    <t>부절까＇지가 지이＇다</t>
  </si>
  <si>
    <t>부저까리 기:러</t>
  </si>
  <si>
    <t>그기 불찌깬데</t>
  </si>
  <si>
    <t>찌깨마 이씸 되거던</t>
  </si>
  <si>
    <t>쩌깬데</t>
  </si>
  <si>
    <t>불찌깨가 이따</t>
  </si>
  <si>
    <t>다리쇠</t>
  </si>
  <si>
    <t>아리＇쇠(+＇쇠＇의 ＇ㅅ＇이 치경구개음으로 발음됨.)</t>
  </si>
  <si>
    <t>구멍세/구멍세가 아니구 저</t>
  </si>
  <si>
    <t>다리쐬/다리쐬두 그러쿠/*</t>
  </si>
  <si>
    <t>구멍세/구멍쇠</t>
  </si>
  <si>
    <t>구멍쇠/구멍쇠가</t>
  </si>
  <si>
    <t>석쇠</t>
  </si>
  <si>
    <t>적쐬＇/고＇기 꿈는 모＇태</t>
  </si>
  <si>
    <t>설쐬</t>
  </si>
  <si>
    <t>척쐬</t>
  </si>
  <si>
    <t>설쎄</t>
  </si>
  <si>
    <t>모태/떵모태/고기모태고/고기 꾼는 모태/적쐬야(+머)</t>
  </si>
  <si>
    <t>도시락</t>
  </si>
  <si>
    <t>도시라＇근 요새 그을＇래 마리거등뇨./벤＇또(+구)</t>
  </si>
  <si>
    <t>도방구리(+작은 것)/도방구리는 똥그라치 쬐끄망 게/버들모재비/시방이 도방구리지 킁 건 모재비여/모재비여 이거(+큰 것)</t>
  </si>
  <si>
    <t>고리채야 고리채라</t>
  </si>
  <si>
    <t>지그믄 도시라기라고(+신)/변:또(+구)</t>
  </si>
  <si>
    <t>바구니</t>
  </si>
  <si>
    <t>다리＇끼</t>
  </si>
  <si>
    <t>대보구니/이건 바구니 거튼데</t>
  </si>
  <si>
    <t>바구니지</t>
  </si>
  <si>
    <t>이거또 바구니 해다~이 돼요?</t>
  </si>
  <si>
    <t>바구미</t>
  </si>
  <si>
    <t>뒤주</t>
  </si>
  <si>
    <t>뒤지＇</t>
  </si>
  <si>
    <t>뒤지/쌀뛰지로군/두지</t>
  </si>
  <si>
    <t>이걸 두지</t>
  </si>
  <si>
    <t>쌀뚜지 두지</t>
  </si>
  <si>
    <t>두지조(+머)</t>
  </si>
  <si>
    <t>두지 쌀 두지</t>
  </si>
  <si>
    <t>찬합</t>
  </si>
  <si>
    <t>차아＇납</t>
  </si>
  <si>
    <t>차:납</t>
  </si>
  <si>
    <t>차납</t>
  </si>
  <si>
    <t>차나비라그래게찌</t>
  </si>
  <si>
    <t>차나비조</t>
  </si>
  <si>
    <t>차나븐(+할머니)</t>
  </si>
  <si>
    <t>강판</t>
  </si>
  <si>
    <t>강＇판</t>
  </si>
  <si>
    <t>간:다구 간판</t>
  </si>
  <si>
    <t>간파니라고</t>
  </si>
  <si>
    <t>간판</t>
  </si>
  <si>
    <t>개다리소반</t>
  </si>
  <si>
    <t>개다리상</t>
  </si>
  <si>
    <t>개:다리상</t>
  </si>
  <si>
    <t>쪽쌍</t>
  </si>
  <si>
    <t>소반/소바네/소바니라그래는데</t>
  </si>
  <si>
    <t>안방</t>
  </si>
  <si>
    <t>암빵＇</t>
  </si>
  <si>
    <t>암빵</t>
  </si>
  <si>
    <t>암빠~이 널따/안빵</t>
  </si>
  <si>
    <t>안빵</t>
  </si>
  <si>
    <t>암빠~이라</t>
  </si>
  <si>
    <t>벽</t>
  </si>
  <si>
    <t>베름빠＇기라 하거든뇨/베기＇라고도 하＇고/벡/벽썩＇</t>
  </si>
  <si>
    <t>베룸짝/베룸빠기라구두 하구/베룸짜기라구두 하구/베룸빡</t>
  </si>
  <si>
    <t>이건 벼름빠기 마저 이게 벼름빡/벼기지/벽</t>
  </si>
  <si>
    <t>바름뻬게/바람짜기라구래/벽</t>
  </si>
  <si>
    <t>벼기라고/벽</t>
  </si>
  <si>
    <t>벼기 다다나다</t>
  </si>
  <si>
    <t>다락</t>
  </si>
  <si>
    <t>다락＇</t>
  </si>
  <si>
    <t>다라기야</t>
  </si>
  <si>
    <t>다라기라그래더라구</t>
  </si>
  <si>
    <t>벽장</t>
  </si>
  <si>
    <t>벡짱＇</t>
  </si>
  <si>
    <t>벽짱/벡짱 벡짱</t>
  </si>
  <si>
    <t>벽짱/벽짱에</t>
  </si>
  <si>
    <t>오시래라</t>
  </si>
  <si>
    <t>벽짱/벽짜~이라그래</t>
  </si>
  <si>
    <t>벽짱두 이꾸</t>
  </si>
  <si>
    <t>감추다</t>
  </si>
  <si>
    <t>감촤＇아 논는다/올＇라간다/감촤＇아라</t>
  </si>
  <si>
    <t>감추능 거지/감춰따 그래</t>
  </si>
  <si>
    <t>감춘다/도장에다가 감추지/잘 감춰라/감춰따/감추고 이따/감춰야 된다/감추능기지</t>
  </si>
  <si>
    <t>감친다/감처라</t>
  </si>
  <si>
    <t>감췬다/잘 감췌따/감췬다고도하조</t>
  </si>
  <si>
    <t>감췌따/감춘다/감췌라/감췬다/감취다그래지요/감췬다그래지요</t>
  </si>
  <si>
    <t>흠</t>
  </si>
  <si>
    <t>흐으미 숭＇터</t>
  </si>
  <si>
    <t>흐:미 생겨찌 {흠이 생겼다}</t>
  </si>
  <si>
    <t>흠:지비 그기 마즐꺼야/흐이미나 {흠이나}/흐:미 생게따</t>
  </si>
  <si>
    <t>흐미 나따/흠:낭건</t>
  </si>
  <si>
    <t>흐:미 생게따/흠:지비</t>
  </si>
  <si>
    <t>험:짐나따/흔지비 나서</t>
  </si>
  <si>
    <t>돌쩌귀</t>
  </si>
  <si>
    <t>도올＇쪽</t>
  </si>
  <si>
    <t>돌쩌구/돌:쩌구</t>
  </si>
  <si>
    <t>돌:쩌구</t>
  </si>
  <si>
    <t>돌:쪼구라</t>
  </si>
  <si>
    <t>돌:쪽/돌:쪼기라</t>
  </si>
  <si>
    <t>돌:쪼구요</t>
  </si>
  <si>
    <t>20907-1</t>
  </si>
  <si>
    <t>암짝</t>
  </si>
  <si>
    <t>암돌＇쪽</t>
  </si>
  <si>
    <t>여근 암똘쩌구</t>
  </si>
  <si>
    <t>암똘쩌구</t>
  </si>
  <si>
    <t>안늠</t>
  </si>
  <si>
    <t>암똘쪼기고/암똘쪽</t>
  </si>
  <si>
    <t>돌:쪼구라그래요</t>
  </si>
  <si>
    <t>20907-2</t>
  </si>
  <si>
    <t>수짝</t>
  </si>
  <si>
    <t>저, 수돌＇쪽</t>
  </si>
  <si>
    <t>수똘쩌구</t>
  </si>
  <si>
    <t>순노믄 수똘쩌구</t>
  </si>
  <si>
    <t>수꺼라구/순누미야</t>
  </si>
  <si>
    <t>수똘쪽/수똘쪼기고</t>
  </si>
  <si>
    <t>미닫이</t>
  </si>
  <si>
    <t>아, 미일＇창은 항＇개만 여라/저 미일＇창 이＇꼬 거＇태 왜/마따＇지</t>
  </si>
  <si>
    <t>밀짱지/암빵무는 밀짱지라 그래</t>
  </si>
  <si>
    <t>쌍다지가 이꾸/미다지가 이꾸</t>
  </si>
  <si>
    <t>미다지</t>
  </si>
  <si>
    <t>밀차~이라그래조</t>
  </si>
  <si>
    <t>미:능건 미다지라그래요 여기선</t>
  </si>
  <si>
    <t>여닫이</t>
  </si>
  <si>
    <t>그＇냥 무니고</t>
  </si>
  <si>
    <t>쌍바라지문</t>
  </si>
  <si>
    <t>기양 무니야</t>
  </si>
  <si>
    <t>무니라구래지</t>
  </si>
  <si>
    <t>기양 무니라그래</t>
  </si>
  <si>
    <t>무니라그러고</t>
  </si>
  <si>
    <t>덧문</t>
  </si>
  <si>
    <t>던문＇ 던문＇</t>
  </si>
  <si>
    <t>던문 다꾸 {덧문 닫고}</t>
  </si>
  <si>
    <t>쌍다지문(＇덧문＇은 모름)/이:중무니라고</t>
  </si>
  <si>
    <t>던무는 여러놔라/던문</t>
  </si>
  <si>
    <t>열다</t>
  </si>
  <si>
    <t>느은＇다 는다/문 너＇라라</t>
  </si>
  <si>
    <t>열:구/그게 드러가니까 으ㅡ:니까느</t>
  </si>
  <si>
    <t>연:다/열:게 하능거</t>
  </si>
  <si>
    <t>창무늘 여러라/무늘 열:질 말라/으ㅡㄴ:다구 으ㅡㄹ:쐬/무늘 열:구드러간다/여르면</t>
  </si>
  <si>
    <t>여러라/열:고/연:다</t>
  </si>
  <si>
    <t>무늘 열:고 드러와따/여러야 드러가지요</t>
  </si>
  <si>
    <t>문고리</t>
  </si>
  <si>
    <t>뭉꼬＇리</t>
  </si>
  <si>
    <t>뭉꼬리/뭉꼬리도 아니구</t>
  </si>
  <si>
    <t>뭉꼬리</t>
  </si>
  <si>
    <t>고리 뭉꼬리</t>
  </si>
  <si>
    <t>이 뭉꼬리</t>
  </si>
  <si>
    <t>자물쇠</t>
  </si>
  <si>
    <t>문＇통</t>
  </si>
  <si>
    <t>자물통</t>
  </si>
  <si>
    <t>자물쐬는</t>
  </si>
  <si>
    <t>쇠때루 장군다/쇠때야/자물쎄 장구능거지</t>
  </si>
  <si>
    <t>자물쐬 장군다구</t>
  </si>
  <si>
    <t>갇히다</t>
  </si>
  <si>
    <t>가두키＇이고/가두킹＇게 아~이＇고 {갇힌 것이 아니고}/가두케＇에따/가처＇ 이따/가두케＇에따 가돠＇아따</t>
  </si>
  <si>
    <t>가두케야지 머</t>
  </si>
  <si>
    <t>가두킨다/가두케따</t>
  </si>
  <si>
    <t>가처따</t>
  </si>
  <si>
    <t>꼭 가두키능기지/가뒤킨다고/가체/가두케</t>
  </si>
  <si>
    <t>가두키능거조 머.</t>
  </si>
  <si>
    <t>열쇠</t>
  </si>
  <si>
    <t>으ㅡ을＇쎄/으ㅡㄹ＇쐬</t>
  </si>
  <si>
    <t>쇠때 챙구능 거지</t>
  </si>
  <si>
    <t>열:쐬</t>
  </si>
  <si>
    <t>으ㅡㄹ:쐬라</t>
  </si>
  <si>
    <t>쇠때고</t>
  </si>
  <si>
    <t>열:쐬/으ㅡㄹ:쐬</t>
  </si>
  <si>
    <t>잠그다</t>
  </si>
  <si>
    <t>장과＇ 나＇아라/문＇통을 장구＇고 가자</t>
  </si>
  <si>
    <t>그게 자물통 챙구능 거지./챙구구래능 거는 {잠그고 그러는 것은}/쟁궈야지</t>
  </si>
  <si>
    <t>무늘 채워라/채운다</t>
  </si>
  <si>
    <t>장궈라/장구능건</t>
  </si>
  <si>
    <t>잘 장궈라이래/장군다</t>
  </si>
  <si>
    <t>장궈따구/장군다구</t>
  </si>
  <si>
    <t>구멍</t>
  </si>
  <si>
    <t>구머＇~어 끌＇꼬/구여＇~이/이미＇트르 이제 구머＇~이 뚜러저이꺼든뇨. {이 밑으로 이제 구멍이 뚫어져 있거든요.}</t>
  </si>
  <si>
    <t>그거 가운테 구녕 뚤러징 거/뭉꾸녕/문 구멍 뚤러 논는다</t>
  </si>
  <si>
    <t>뭉꾸영을 뚜른다/구영</t>
  </si>
  <si>
    <t>구녀~이/구녕이/구멍이라/구넝뚜러징걸/구멍을 뚤룬다</t>
  </si>
  <si>
    <t>구녀~이 뚤거저 샌다/뭉꾸녀~이 크다/구녕</t>
  </si>
  <si>
    <t>문꾸녕 뚤룬다/구녀~이찌요/구녀~이 뚤러저따</t>
  </si>
  <si>
    <t>20917-1</t>
  </si>
  <si>
    <t>쥐구멍</t>
  </si>
  <si>
    <t>쥐구영＇</t>
  </si>
  <si>
    <t>쥐구녕이지</t>
  </si>
  <si>
    <t>쥐구영</t>
  </si>
  <si>
    <t>쥐구녕</t>
  </si>
  <si>
    <t>쥐구멍으로 쥐가/쥐구멍이지</t>
  </si>
  <si>
    <t>찢다</t>
  </si>
  <si>
    <t>째갠＇다/갈기갈기 째갠다</t>
  </si>
  <si>
    <t>찌저놔야</t>
  </si>
  <si>
    <t>조이를 찐는다/찌저라/찌즈머 안대지</t>
  </si>
  <si>
    <t>찌저라/찐넌다</t>
  </si>
  <si>
    <t>조:~로 찌저놔따/찐능거</t>
  </si>
  <si>
    <t>종일 찌저서/찌즈믄/찌찌마러라/찌저버려야</t>
  </si>
  <si>
    <t>구들</t>
  </si>
  <si>
    <t>구두＇레서 잔다＇/구들＇뻬/구둘＇</t>
  </si>
  <si>
    <t>정개짱</t>
  </si>
  <si>
    <t>구들짱</t>
  </si>
  <si>
    <t>구둘짱을/구둘짱이래능게</t>
  </si>
  <si>
    <t>구둘짱 논는다</t>
  </si>
  <si>
    <t>구둘짱</t>
  </si>
  <si>
    <t>흙받기</t>
  </si>
  <si>
    <t>흘바＇지(+구)/흘＇ 바＇지 흘/흑빠＇지(+신)</t>
  </si>
  <si>
    <t>흑빼끼</t>
  </si>
  <si>
    <t>흑판/흑파으로 골:러야지/옌:나레는 흑파네다가</t>
  </si>
  <si>
    <t>흑빠지</t>
  </si>
  <si>
    <t>흑파니라그래조/바치미라고</t>
  </si>
  <si>
    <t>흙손</t>
  </si>
  <si>
    <t>흘＇쏜(+다)/벡쏜＇</t>
  </si>
  <si>
    <t>흐칼(+나무로 보통 만든다, 나무나 쇠나 이름은 모두 같다)</t>
  </si>
  <si>
    <t>주거기야</t>
  </si>
  <si>
    <t>이거또 벼카리래요</t>
  </si>
  <si>
    <t>흙칼</t>
  </si>
  <si>
    <t>베칼＇ 베칼＇</t>
  </si>
  <si>
    <t>흐칼(+쇠나 나무 모두 흙칼이라 함)/흑칼로 이러케 썩썩 발라 이러케</t>
  </si>
  <si>
    <t>그거또 흐칼 종뉴여</t>
  </si>
  <si>
    <t>흐카리라(+나무로 만든 것이나 쇠로 만든 것이나 모두 ＇흙칼＇이라고 함.)/흐칼로</t>
  </si>
  <si>
    <t>벼칼</t>
  </si>
  <si>
    <t>이게 흐카리에요</t>
  </si>
  <si>
    <t>20922-1</t>
  </si>
  <si>
    <t>흙칼(나무로 만든 것)</t>
  </si>
  <si>
    <t>벼칼/모카리＇라고 하나(+제?)/베칼＇</t>
  </si>
  <si>
    <t>나무칼로</t>
  </si>
  <si>
    <t>그거또 흐카리라그래는데</t>
  </si>
  <si>
    <t>20922-2</t>
  </si>
  <si>
    <t>흙칼(쇠로 만든 것)</t>
  </si>
  <si>
    <t>생김새가 되욍＇건 베카림미다./그냥 베카리＇래요.</t>
  </si>
  <si>
    <t>이건 벼카리고 {＇쇠＇로 만는 것}</t>
  </si>
  <si>
    <t>흐카리라그래요</t>
  </si>
  <si>
    <t>바르다</t>
  </si>
  <si>
    <t>발＇라라/바른＇다</t>
  </si>
  <si>
    <t>잘 바르는 사라믄 머 아주/베름짝 발른다/발르고</t>
  </si>
  <si>
    <t>빨리빨리 발러라/벼글 발른다</t>
  </si>
  <si>
    <t>빨리 발러라/발른다</t>
  </si>
  <si>
    <t>바른다/바른다고/바르고/잘 발러라</t>
  </si>
  <si>
    <t>바른다그래지요/잘 바른다/빨리즘 발러라</t>
  </si>
  <si>
    <t>장판</t>
  </si>
  <si>
    <t>장＇판</t>
  </si>
  <si>
    <t>장파니지마는</t>
  </si>
  <si>
    <t>이거 장판</t>
  </si>
  <si>
    <t>장파니지</t>
  </si>
  <si>
    <t>장파느는/그기 장파니고</t>
  </si>
  <si>
    <t>지그믄 장파는</t>
  </si>
  <si>
    <t>종이</t>
  </si>
  <si>
    <t>조＇~오</t>
  </si>
  <si>
    <t>종이긴 종인데/조~이라구</t>
  </si>
  <si>
    <t>종이라구</t>
  </si>
  <si>
    <t>조~이/조~오/조:~로 찌저놔따</t>
  </si>
  <si>
    <t>종이루/종이지요</t>
  </si>
  <si>
    <t>도배</t>
  </si>
  <si>
    <t>도배＇ 도배＇</t>
  </si>
  <si>
    <t>되배지</t>
  </si>
  <si>
    <t>되밸 바른다/되배</t>
  </si>
  <si>
    <t>도배핸다</t>
  </si>
  <si>
    <t>되배 되배</t>
  </si>
  <si>
    <t>구석</t>
  </si>
  <si>
    <t>구서＇기라고 함미다/구석＇</t>
  </si>
  <si>
    <t>구서키라 그래구/구서케/저 구서키라 그래구</t>
  </si>
  <si>
    <t>방뀌(상향이중모음 ＇위＇)/귀사리/귀사리라 그래지</t>
  </si>
  <si>
    <t>한쪽 구테~이 안저라/구석 구서끼라구두 해구</t>
  </si>
  <si>
    <t>구서끼라구/구석/구서끼라고그래요/저 구서께 가 이써라</t>
  </si>
  <si>
    <t>구석 지꾸석</t>
  </si>
  <si>
    <t>굽도리</t>
  </si>
  <si>
    <t>굽또＇리 굽도리/*</t>
  </si>
  <si>
    <t>굽뚜지/굽뚜지 바른다</t>
  </si>
  <si>
    <t>굽뚜지</t>
  </si>
  <si>
    <t>굽또리</t>
  </si>
  <si>
    <t>깨끗하다</t>
  </si>
  <si>
    <t>깨까타＇다</t>
  </si>
  <si>
    <t>깨끄태네/깨끄태구/깨끄태지</t>
  </si>
  <si>
    <t>깨끋해진다/깨끄대지지</t>
  </si>
  <si>
    <t>깨끄태다</t>
  </si>
  <si>
    <t>깨끄타다/깨끄태지게찌</t>
  </si>
  <si>
    <t>깨끄터니까/깨끄태저따</t>
  </si>
  <si>
    <t>문지방</t>
  </si>
  <si>
    <t>문찌방＇</t>
  </si>
  <si>
    <t>문찌방</t>
  </si>
  <si>
    <t>문쭈방이라구/우린 그저 문쭈방</t>
  </si>
  <si>
    <t>문찌방/문찌바~이라고/문쭈방/이건 문쭈바~이라 그래고</t>
  </si>
  <si>
    <t>20930-0-1</t>
  </si>
  <si>
    <t>문찌바~＇아 올라가지 말라</t>
  </si>
  <si>
    <t>문찌방에 올라가지 마라</t>
  </si>
  <si>
    <t>문쭈방에 올라시지 말라 그래자너 애덜</t>
  </si>
  <si>
    <t>문찌바~아 안찌 마러라</t>
  </si>
  <si>
    <t>문찌바~이 너머 넙따</t>
  </si>
  <si>
    <t>틈</t>
  </si>
  <si>
    <t>문틈＇/틈새＇애가 너르＇다/문＇트미거 버러저따＇ {문틈이 벌어졌다.}</t>
  </si>
  <si>
    <t>문트미 버러저가지고</t>
  </si>
  <si>
    <t>문틈/트미 나니까</t>
  </si>
  <si>
    <t>트므로/트무로 드러온다</t>
  </si>
  <si>
    <t>문풍지새가느로 바라미 드러온다/문틈/트미 버러저따/트무로</t>
  </si>
  <si>
    <t>트미지/트미 너므/문틈</t>
  </si>
  <si>
    <t>가장자리</t>
  </si>
  <si>
    <t>끄트마＇리</t>
  </si>
  <si>
    <t>가:는 저짝 {가는 저 쪽}/가:상사리/가상사리</t>
  </si>
  <si>
    <t>가:새~이(+소)/가장자리(+다)</t>
  </si>
  <si>
    <t>가운데</t>
  </si>
  <si>
    <t>가운＇대/복파＇네</t>
  </si>
  <si>
    <t>복파네/가문치라구두 해 {가운데라고도 해}/가문테다 인제 {가운데다 인제}/가문테라고두 해구/가문테 {가운데}</t>
  </si>
  <si>
    <t>가무테서/가무테라 긴데/복판두/가무테 오거등 {가운데 오거든}</t>
  </si>
  <si>
    <t>가문테는 복파니지</t>
  </si>
  <si>
    <t>복장/방 가운치다/항가운치라하기도하고 한복짜~이라하기도하고</t>
  </si>
  <si>
    <t>가운테라고도허고 복파니라고도 허고(+＇복판＇을 많이 사용함.)/복파니라그래는데요(+다)</t>
  </si>
  <si>
    <t>시렁</t>
  </si>
  <si>
    <t>실광＇/실과＇~아 물겨＇느 올＇레 나＇아라</t>
  </si>
  <si>
    <t>실궝(+부엌, 방 모두 실궝)/실겅/실겅은</t>
  </si>
  <si>
    <t>실겅</t>
  </si>
  <si>
    <t>실궝에다/실궝이라</t>
  </si>
  <si>
    <t>실:궝/실궈~이라그래고 섬바니라그래고</t>
  </si>
  <si>
    <t>언저두능건 시렁이라구/시렁이라그래요(+집안에 있는 것)/언능건 다 시렁이라그래요(+바깥에 있는 것)</t>
  </si>
  <si>
    <t>살강</t>
  </si>
  <si>
    <t>선＇반</t>
  </si>
  <si>
    <t>실겅은/실궝</t>
  </si>
  <si>
    <t>벅:씰거~이지</t>
  </si>
  <si>
    <t>살광이라</t>
  </si>
  <si>
    <t>실:궈~이</t>
  </si>
  <si>
    <t>부어게는 시렁을 맨다그래지</t>
  </si>
  <si>
    <t>선반</t>
  </si>
  <si>
    <t>그게 진＇짜 실과~＇이래요. 널빤지로/선＇반</t>
  </si>
  <si>
    <t>그거또 실겅(+구)/선반(+신)</t>
  </si>
  <si>
    <t>선반/선바니라(+＇선반＇의 ＇어＇는 저설모음이다)</t>
  </si>
  <si>
    <t>물겨넌는 선바니/섬반/선반</t>
  </si>
  <si>
    <t>시렁/선바니라구두허구/시렁을 매구/널빤지로 농:거는 시렁을 매능거지.</t>
  </si>
  <si>
    <t>서랍</t>
  </si>
  <si>
    <t>빼다＇지(+구)/서랍(+신)</t>
  </si>
  <si>
    <t>빼다지(+구)/서라비라 그래기두 하구(+다)</t>
  </si>
  <si>
    <t>책쌍서람 녀러바라/서랍</t>
  </si>
  <si>
    <t>서라비라구래자너</t>
  </si>
  <si>
    <t>서라비라그래요</t>
  </si>
  <si>
    <t>경대</t>
  </si>
  <si>
    <t>겨엉＇대</t>
  </si>
  <si>
    <t>경:대/증:대라구래든데</t>
  </si>
  <si>
    <t>체겨~이라 그래지(+신)/새꼉(+구)/화장대/체경이라 체경</t>
  </si>
  <si>
    <t>화장실</t>
  </si>
  <si>
    <t>체겨~이라고/체겨~이 아니요</t>
  </si>
  <si>
    <t>경:대</t>
  </si>
  <si>
    <t>거울</t>
  </si>
  <si>
    <t>미잉＇경</t>
  </si>
  <si>
    <t>거울/색꼉이로군 그래/송꺼우리지 머/송꺼울</t>
  </si>
  <si>
    <t>거우를</t>
  </si>
  <si>
    <t>거울/거우리구</t>
  </si>
  <si>
    <t>밍:경 디더보고</t>
  </si>
  <si>
    <t>걸다</t>
  </si>
  <si>
    <t>걸＇아라/그은＇다(+＇으＇가 좀더 저설모음으로 들림)</t>
  </si>
  <si>
    <t>걸:지/모 껄구 {못 걸고}</t>
  </si>
  <si>
    <t>거러라/벼게다 건:다</t>
  </si>
  <si>
    <t>건:다/거러라</t>
  </si>
  <si>
    <t>오슬 거러라/건:다그래</t>
  </si>
  <si>
    <t>걸:지요/거러라</t>
  </si>
  <si>
    <t>호롱</t>
  </si>
  <si>
    <t>호롱＇</t>
  </si>
  <si>
    <t>등잔/남포/코쿨/호야</t>
  </si>
  <si>
    <t>코쿨/등잔/남포/호야남포라구래/등잔뿌리구</t>
  </si>
  <si>
    <t>요건 등잔</t>
  </si>
  <si>
    <t>호롱뿌리라/등장이라고도허구/호롱뿌리구만</t>
  </si>
  <si>
    <t>지붕</t>
  </si>
  <si>
    <t>지붕＇크로 던＇지고</t>
  </si>
  <si>
    <t>지벙 꼭때기다가</t>
  </si>
  <si>
    <t>지붕두 넙따/지붕기 위/지붕 위에/지부~이 노퍼도 어데/지붕버텀 올라가라/지붕을 바:라/지부~이 놉따</t>
  </si>
  <si>
    <t>지붕/지붕이라</t>
  </si>
  <si>
    <t>지붕키</t>
  </si>
  <si>
    <t>지붕이 너무 놉따</t>
  </si>
  <si>
    <t>21001-0-1</t>
  </si>
  <si>
    <t>지붕＇게 하든 부어＇케 하든 그근 관게 으읍＇씨</t>
  </si>
  <si>
    <t>지벙에 던저/지붕에다 언짜너</t>
  </si>
  <si>
    <t>지붕에 올라가지 마라/지부~에다 던제요/지붕게다 인제 이를</t>
  </si>
  <si>
    <t>지붕에서</t>
  </si>
  <si>
    <t>지붕키라그랜다구</t>
  </si>
  <si>
    <t>지붕에 올라가지마라</t>
  </si>
  <si>
    <t>기와</t>
  </si>
  <si>
    <t>기와＇</t>
  </si>
  <si>
    <t>인:날 끼와 가틍 게 움써 {옛날 기와 같은 게 없어}</t>
  </si>
  <si>
    <t>기왈 구워써유/기와짱이래니깐</t>
  </si>
  <si>
    <t>기와인는데</t>
  </si>
  <si>
    <t>기와구만</t>
  </si>
  <si>
    <t>기와집</t>
  </si>
  <si>
    <t>기와집＇(+할머니)/재집＇</t>
  </si>
  <si>
    <t>기와지빈데 머/기와지비라 그래기는</t>
  </si>
  <si>
    <t>기아지비지</t>
  </si>
  <si>
    <t>재:지비라고/기와재:지베/기와지비라고</t>
  </si>
  <si>
    <t>수키와</t>
  </si>
  <si>
    <t>암끼＇와 수끼＇와</t>
  </si>
  <si>
    <t>수끼와</t>
  </si>
  <si>
    <t>기와에도 암끼와 수끼와 인제</t>
  </si>
  <si>
    <t>기낭 기와짜~이라고</t>
  </si>
  <si>
    <t>암키와</t>
  </si>
  <si>
    <t>암끼와라 구래</t>
  </si>
  <si>
    <t>대들보</t>
  </si>
  <si>
    <t>대들뽀＇</t>
  </si>
  <si>
    <t>대들뽀는/추너서까래라 이래</t>
  </si>
  <si>
    <t>대들뽀</t>
  </si>
  <si>
    <t>대:들뽀지</t>
  </si>
  <si>
    <t>대들뽀라고</t>
  </si>
  <si>
    <t>서까래</t>
  </si>
  <si>
    <t>세까＇레</t>
  </si>
  <si>
    <t>전체르 세까락</t>
  </si>
  <si>
    <t>추녀</t>
  </si>
  <si>
    <t>추＇~에</t>
  </si>
  <si>
    <t>초마미친 거 {처마 밑인 거}/초매미테</t>
  </si>
  <si>
    <t>추녀/추녀때</t>
  </si>
  <si>
    <t>충에라구래는데</t>
  </si>
  <si>
    <t>추~에라그랜다고/세까락끄테~이지</t>
  </si>
  <si>
    <t>충에</t>
  </si>
  <si>
    <t>처마</t>
  </si>
  <si>
    <t>처망＇</t>
  </si>
  <si>
    <t>초마 초매</t>
  </si>
  <si>
    <t>처마끋/처마끄치라그래지</t>
  </si>
  <si>
    <t>초마끄테 떠러진다</t>
  </si>
  <si>
    <t>근 처마이고/처마라 그래 처마</t>
  </si>
  <si>
    <t>처매 서까래는</t>
  </si>
  <si>
    <t>오두막</t>
  </si>
  <si>
    <t>오두＇막</t>
  </si>
  <si>
    <t>오막싸리</t>
  </si>
  <si>
    <t>웅찌비라고 하는/웅찝</t>
  </si>
  <si>
    <t>막싸리라그래요/막싸리지비라고</t>
  </si>
  <si>
    <t>초가집</t>
  </si>
  <si>
    <t>초양＇찝</t>
  </si>
  <si>
    <t>그건 초가지비지</t>
  </si>
  <si>
    <t>초가지비지</t>
  </si>
  <si>
    <t>초가지비 아니고/초가집</t>
  </si>
  <si>
    <t>거 초가지비라그래지요</t>
  </si>
  <si>
    <t>이엉</t>
  </si>
  <si>
    <t>이영＇/이양＇</t>
  </si>
  <si>
    <t>영:을 역짜너</t>
  </si>
  <si>
    <t>이영을 인제</t>
  </si>
  <si>
    <t>으ㅡㅇ:이라 영:이라</t>
  </si>
  <si>
    <t>이:영</t>
  </si>
  <si>
    <t>21012-0-1</t>
  </si>
  <si>
    <t>이양 영는다그램미다</t>
  </si>
  <si>
    <t>으ㅡㅇ:이지 으ㅡㅇ:(+＇으＇보다는 약간 낮은소리)</t>
  </si>
  <si>
    <t>이어~이 질:다</t>
  </si>
  <si>
    <t>이영을 여꺼야</t>
  </si>
  <si>
    <t>용마름</t>
  </si>
  <si>
    <t>용마람＇</t>
  </si>
  <si>
    <t>용마루에다가 해노쿠/용말루/그건 용마레</t>
  </si>
  <si>
    <t>맨 용말게 틍거는/용말기구/용마루/용말기 트는데도 부터야 되니까</t>
  </si>
  <si>
    <t>용구새라구 이써/지붕 초스레미서 물 떠러지는 얘기요</t>
  </si>
  <si>
    <t>용마람</t>
  </si>
  <si>
    <t>용마루는</t>
  </si>
  <si>
    <t>기스락</t>
  </si>
  <si>
    <t>추~＇에끋</t>
  </si>
  <si>
    <t>지붕초시래</t>
  </si>
  <si>
    <t>초스래미/초새미/지붕초스래미에서 달린다/초새미 그래</t>
  </si>
  <si>
    <t>처마끄테~이</t>
  </si>
  <si>
    <t>지붕초시레미</t>
  </si>
  <si>
    <t>낙숫물</t>
  </si>
  <si>
    <t>낙순＇물</t>
  </si>
  <si>
    <t>지시랑무린데/새다리/지시랑무리라 그래는데 지시랑물</t>
  </si>
  <si>
    <t>지시랑무리 떠러저서/낙쑴물</t>
  </si>
  <si>
    <t>낙숨물 떠러지능거</t>
  </si>
  <si>
    <t>지시랑무리라고/낙쑴물/낙쑴무리라</t>
  </si>
  <si>
    <t>낙쑨물</t>
  </si>
  <si>
    <t>21015-1</t>
  </si>
  <si>
    <t>기스락물</t>
  </si>
  <si>
    <t>지시랑＇물/대애＇네 떠러지는 그기 지시랑＇물</t>
  </si>
  <si>
    <t>지벙에서 누:렁 거 나오는 거또 지시랑무리라 그래</t>
  </si>
  <si>
    <t>이시랑무리(+다)/지시랑물(+소)</t>
  </si>
  <si>
    <t>지시랑무리라</t>
  </si>
  <si>
    <t>써그새물</t>
  </si>
  <si>
    <t>지시랑무리라고</t>
  </si>
  <si>
    <t>사닥다리</t>
  </si>
  <si>
    <t>새다＇리</t>
  </si>
  <si>
    <t>사다리</t>
  </si>
  <si>
    <t>사다리/이건 사다리여</t>
  </si>
  <si>
    <t>새다리</t>
  </si>
  <si>
    <t>용마루</t>
  </si>
  <si>
    <t>곱쌔만 언즈믄/곱쌔라그래고/기와 용마루아니예요</t>
  </si>
  <si>
    <t>토방</t>
  </si>
  <si>
    <t>디딜빵＇/디딤＇똘</t>
  </si>
  <si>
    <t>봉당 옌:나레는</t>
  </si>
  <si>
    <t>봉당이라그래지</t>
  </si>
  <si>
    <t>댓돌</t>
  </si>
  <si>
    <t>*/디딜빵＇(+문 앞에 돌이나 흙을 갖다 놓는데,흙을 갖다 놓은 다져 놓은 곳.)</t>
  </si>
  <si>
    <t>봉당에서두</t>
  </si>
  <si>
    <t>신발 돌</t>
  </si>
  <si>
    <t>대또리라</t>
  </si>
  <si>
    <t>대뜰</t>
  </si>
  <si>
    <t>21019-1</t>
  </si>
  <si>
    <t>섬돌</t>
  </si>
  <si>
    <t>디딤＇똘</t>
  </si>
  <si>
    <t>섬똘</t>
  </si>
  <si>
    <t>마루</t>
  </si>
  <si>
    <t>그＇냥 마루고＇/그＇냥 마루는 아＇래</t>
  </si>
  <si>
    <t>마룬데/마루가 이꾸/거 마루 아닝가</t>
  </si>
  <si>
    <t>마루가 크다</t>
  </si>
  <si>
    <t>마룽/마룽이라 그래자너</t>
  </si>
  <si>
    <t>마룽/마룽마리요</t>
  </si>
  <si>
    <t>마:루</t>
  </si>
  <si>
    <t>21020-0-1</t>
  </si>
  <si>
    <t>마리＇가 널＇따/마레＇에 올라가지 마라/마루＇에</t>
  </si>
  <si>
    <t>마루에럴/마루에 신 무든</t>
  </si>
  <si>
    <t>마루에</t>
  </si>
  <si>
    <t>마룽에</t>
  </si>
  <si>
    <t>마루~이 널따</t>
  </si>
  <si>
    <t>툇마루</t>
  </si>
  <si>
    <t>퇸마루＇</t>
  </si>
  <si>
    <t>툄마루</t>
  </si>
  <si>
    <t>퇸:마루</t>
  </si>
  <si>
    <t>퇸마룽</t>
  </si>
  <si>
    <t>기둥</t>
  </si>
  <si>
    <t>지둥＇</t>
  </si>
  <si>
    <t>지둥할 쩌게/지둥 상지둥</t>
  </si>
  <si>
    <t>지둥</t>
  </si>
  <si>
    <t>지두~이라 지둥</t>
  </si>
  <si>
    <t>기둥 세워요</t>
  </si>
  <si>
    <t>주춧돌</t>
  </si>
  <si>
    <t>주치＇똘/주추＇ 도올＇/주＇추 주추＇</t>
  </si>
  <si>
    <t>주추똘/지추똘</t>
  </si>
  <si>
    <t>주추</t>
  </si>
  <si>
    <t>주치똘</t>
  </si>
  <si>
    <t>주추똘</t>
  </si>
  <si>
    <t>21023-0-1</t>
  </si>
  <si>
    <t>주치＇또리 참 킁거 가따나떠라하고 {주춧돌을 참 큰 것을 갖다 놨더라 하고}</t>
  </si>
  <si>
    <t>주추또를 놔:라</t>
  </si>
  <si>
    <t>주추또리라</t>
  </si>
  <si>
    <t>주치또리라</t>
  </si>
  <si>
    <t>주추또를 가주와라</t>
  </si>
  <si>
    <t>굴뚝</t>
  </si>
  <si>
    <t>꾸울＇뚜기 매케꺼나</t>
  </si>
  <si>
    <t>굴뚝뚜/굴:뚝</t>
  </si>
  <si>
    <t>굴:뚝</t>
  </si>
  <si>
    <t>굴:뚜근</t>
  </si>
  <si>
    <t>뜰</t>
  </si>
  <si>
    <t>뜨＇리라 하거든뇨(+마당 이외에 마당 밑으로 낮은 곳을 ＇뜰＇이라고 함.)</t>
  </si>
  <si>
    <t>올러 오는 데가 뜰:/뜨:런 이러케 올라서능 게 뜨리여/뜨런 (뜰은}</t>
  </si>
  <si>
    <t>오랍뜨리는 버뮈가 크지/오랍뜨린데</t>
  </si>
  <si>
    <t>오랍뜨리라그래거등/오라뜰</t>
  </si>
  <si>
    <t>오랍뜰</t>
  </si>
  <si>
    <t>오랍뜨리라고그래요/오랍뜰/가까운데꺼 오랍뜨리라그래지요</t>
  </si>
  <si>
    <t>마당</t>
  </si>
  <si>
    <t>방에사 마다＇~아 나오는/마당＇/마다＇~으르 나오는</t>
  </si>
  <si>
    <t>마다~이 널러</t>
  </si>
  <si>
    <t>마당에다가</t>
  </si>
  <si>
    <t>마다~아다가 {마당에다가}/마다~이 널따 마다~이 쫍따</t>
  </si>
  <si>
    <t>마당/안마당에서</t>
  </si>
  <si>
    <t>넓다</t>
  </si>
  <si>
    <t>널＇따/너르＇다/널＇브이까</t>
  </si>
  <si>
    <t>얼구리 널따 그래게찌/꽤 널른 지번 {꽤 넓은 집은}/널른 이픈/들:파니 널르다구/운동장이 엄청 널따 이래지/널께 해얘지</t>
  </si>
  <si>
    <t>널찌 안타라/널따</t>
  </si>
  <si>
    <t>우리 마당이 널따</t>
  </si>
  <si>
    <t>너르다</t>
  </si>
  <si>
    <t>널따</t>
  </si>
  <si>
    <t>21103-0-1</t>
  </si>
  <si>
    <t>너무 널＇바 노＇오니까</t>
  </si>
  <si>
    <t>널러서</t>
  </si>
  <si>
    <t>마다~이 널러/마다~이 널버 조켄네 머 이래지/널버서</t>
  </si>
  <si>
    <t>널버서</t>
  </si>
  <si>
    <t>널러서/마다~이 널러서 조타</t>
  </si>
  <si>
    <t>마당이 널부니까 우리/널버서 조:타/널부믄 널따/널꾸</t>
  </si>
  <si>
    <t>넓히다</t>
  </si>
  <si>
    <t>아아 마당＇ 널＇페노오~이 마당＇ 너르＇다/널핀＇다</t>
  </si>
  <si>
    <t>널펴야지</t>
  </si>
  <si>
    <t>널핀다/널페라</t>
  </si>
  <si>
    <t>널핀다/마당을 늘쿤다/늘킨다</t>
  </si>
  <si>
    <t>널핀다/널피문 조케따/널군다</t>
  </si>
  <si>
    <t>널펴야조./널핀다</t>
  </si>
  <si>
    <t>곳간</t>
  </si>
  <si>
    <t>고까＇~이고</t>
  </si>
  <si>
    <t>고깐</t>
  </si>
  <si>
    <t>고깐/고까니 크다/고까니라구두</t>
  </si>
  <si>
    <t>고까니라/고깐</t>
  </si>
  <si>
    <t>고간</t>
  </si>
  <si>
    <t>곡씩넌는거 곡깐</t>
  </si>
  <si>
    <t>외양간</t>
  </si>
  <si>
    <t>마아＇구/오양깐＇</t>
  </si>
  <si>
    <t>소 메기는 오양까네서 나오는 게 {소 먹이는 외양간에서 나오는 것이}/오양깐/오양 치능 거</t>
  </si>
  <si>
    <t>오양까니라구두 하구</t>
  </si>
  <si>
    <t>마:구깐(+사나 말이나 모두 ＇마굿간＇에서 잔다.)</t>
  </si>
  <si>
    <t>마:구</t>
  </si>
  <si>
    <t>마:구깐/소마구깐</t>
  </si>
  <si>
    <t>마구간</t>
  </si>
  <si>
    <t>마아＇장</t>
  </si>
  <si>
    <t>마구찌비게찌/마꾸까니여</t>
  </si>
  <si>
    <t>말마구/마:구 (소가 자는 곳)</t>
  </si>
  <si>
    <t>마:구까니자너</t>
  </si>
  <si>
    <t>마:구까니요</t>
  </si>
  <si>
    <t>광</t>
  </si>
  <si>
    <t>고방＇</t>
  </si>
  <si>
    <t>광이여/쌀꽝/광:</t>
  </si>
  <si>
    <t>고바~이라능거뚜/고방두 이꾸</t>
  </si>
  <si>
    <t>광:/광:에다</t>
  </si>
  <si>
    <t>고까니라고(+제?)</t>
  </si>
  <si>
    <t>광:</t>
  </si>
  <si>
    <t>헛간</t>
  </si>
  <si>
    <t>허까＇는별또로</t>
  </si>
  <si>
    <t>허깐 헤깐</t>
  </si>
  <si>
    <t>허깐/허깐뚜 쓰구</t>
  </si>
  <si>
    <t>회깐/회까니야</t>
  </si>
  <si>
    <t>허깐/허까니라고</t>
  </si>
  <si>
    <t>허까네다</t>
  </si>
  <si>
    <t>쓰레기</t>
  </si>
  <si>
    <t>씨레＇기 씨리기통</t>
  </si>
  <si>
    <t>씨레기</t>
  </si>
  <si>
    <t>쓰레기 머</t>
  </si>
  <si>
    <t>이러케 허먼 쓰레기버리능거빼께</t>
  </si>
  <si>
    <t>장독대</t>
  </si>
  <si>
    <t>장:뚜까니라 그래 장:뚜깐/장:똑때/장똑때</t>
  </si>
  <si>
    <t>장똑때</t>
  </si>
  <si>
    <t>장두깐</t>
  </si>
  <si>
    <t>장:똑때</t>
  </si>
  <si>
    <t>장독 뚜껑</t>
  </si>
  <si>
    <t>자앙＇똑 뚜껴＇~이</t>
  </si>
  <si>
    <t>소래기/장똑 소래기/장: 소래기</t>
  </si>
  <si>
    <t>장똑따껑</t>
  </si>
  <si>
    <t>항아리뚜껑이거덩/뚜껑이야</t>
  </si>
  <si>
    <t>장똑뚜꼉</t>
  </si>
  <si>
    <t>장똑 뚜껑아냐(+신)/소래기가 마자요(+구)</t>
  </si>
  <si>
    <t>변소</t>
  </si>
  <si>
    <t>뒤깐＇/정낭＇/통시＇</t>
  </si>
  <si>
    <t>두깐</t>
  </si>
  <si>
    <t>뒤까니라그래지 뒤깐</t>
  </si>
  <si>
    <t>재:깐</t>
  </si>
  <si>
    <t>주로 정나~이라그래따니</t>
  </si>
  <si>
    <t>21113-1</t>
  </si>
  <si>
    <t>똥장군</t>
  </si>
  <si>
    <t>똥짱＇구니 똥짱＇구~이/똥짱＇구~이를</t>
  </si>
  <si>
    <t>이거또 똥짱구닌데 다:/이건 장구니고 이건/다: 장구니여</t>
  </si>
  <si>
    <t>망우통/똥토~이라구해</t>
  </si>
  <si>
    <t>장구통/똥장구</t>
  </si>
  <si>
    <t>똥장부아녀/똥짱부</t>
  </si>
  <si>
    <t>똥짱구니라그래찌요/마우짱군/똥짱구니라허고/마우통</t>
  </si>
  <si>
    <t>울타리</t>
  </si>
  <si>
    <t>울타＇리/뚜겨＇~이</t>
  </si>
  <si>
    <t>울타리가 놉따</t>
  </si>
  <si>
    <t>울타리르</t>
  </si>
  <si>
    <t>담</t>
  </si>
  <si>
    <t>도올＇땀(+할머니)/다암＇장</t>
  </si>
  <si>
    <t>담 넘찌 말라구</t>
  </si>
  <si>
    <t>다:미 놉따/담:</t>
  </si>
  <si>
    <t>담친다</t>
  </si>
  <si>
    <t>담장/담친다</t>
  </si>
  <si>
    <t>21115-0-1</t>
  </si>
  <si>
    <t>그집 다미 노＇파/다아미＇ 놉＇따/그집다미＇ 노푸니</t>
  </si>
  <si>
    <t>다:멀 너머오자너</t>
  </si>
  <si>
    <t>다미넙다</t>
  </si>
  <si>
    <t>다:메 올라가지 말라</t>
  </si>
  <si>
    <t>다메 올라가지마라/다미 넙따</t>
  </si>
  <si>
    <t>다미게찌요</t>
  </si>
  <si>
    <t>21115-0-2</t>
  </si>
  <si>
    <t>담도＇ 놉＇따</t>
  </si>
  <si>
    <t>담녀푸루</t>
  </si>
  <si>
    <t>돌:땀또 노푸니까</t>
  </si>
  <si>
    <t>담:도 넘어간다</t>
  </si>
  <si>
    <t>담도 무너저따</t>
  </si>
  <si>
    <t>담장이 놉따</t>
  </si>
  <si>
    <t>사립문</t>
  </si>
  <si>
    <t>싸리문＇</t>
  </si>
  <si>
    <t>싸리대문 해구</t>
  </si>
  <si>
    <t>싸리무니라그래지/싸립무~이든지</t>
  </si>
  <si>
    <t>싸리문</t>
  </si>
  <si>
    <t>싸리무니라고도 하고</t>
  </si>
  <si>
    <t>뒤꼍</t>
  </si>
  <si>
    <t>돼앤＇/예, 여＇어사 돼애＇니라하지요.</t>
  </si>
  <si>
    <t>돼:네 마당/됀:마당</t>
  </si>
  <si>
    <t>돼:는(+안채 뒤가 됀)</t>
  </si>
  <si>
    <t>두란</t>
  </si>
  <si>
    <t>돼:니조 됀:</t>
  </si>
  <si>
    <t>됀:</t>
  </si>
  <si>
    <t>21117-0-1</t>
  </si>
  <si>
    <t>돼애＇네 가지 마아＇라</t>
  </si>
  <si>
    <t>돼네두</t>
  </si>
  <si>
    <t>두라네서 놀지 말라</t>
  </si>
  <si>
    <t>돼:니라</t>
  </si>
  <si>
    <t>됀: 돼:니라그래요</t>
  </si>
  <si>
    <t>바깥</t>
  </si>
  <si>
    <t>집빠까테라구래지 집빠까테</t>
  </si>
  <si>
    <t>배깓/바까뚜 널따/배까치라 그래지</t>
  </si>
  <si>
    <t>바까치라구/바까치 훤해다</t>
  </si>
  <si>
    <t>바까튼 발따</t>
  </si>
  <si>
    <t>바깓/바깐마당/바께</t>
  </si>
  <si>
    <t>21118-0-1</t>
  </si>
  <si>
    <t>바끄＇테</t>
  </si>
  <si>
    <t>배까테 오시 시꺼머니/배까테 나가노러라/집 바까테서/집빼까테서 놀든지</t>
  </si>
  <si>
    <t>바까테/바까테 나가놀라</t>
  </si>
  <si>
    <t>바까테 나가</t>
  </si>
  <si>
    <t>바까테가 노라라/바까치 굉장~이 추웅가부다</t>
  </si>
  <si>
    <t>모퉁이</t>
  </si>
  <si>
    <t>모티＇~이/무테＇~이</t>
  </si>
  <si>
    <t>모텡이 담모테~이/담모테~이 잘 가러라 이랠꺼야</t>
  </si>
  <si>
    <t>언: 모투~이 {어느 모퉁이}</t>
  </si>
  <si>
    <t>모테~이</t>
  </si>
  <si>
    <t>그 모테~이로 해서 도러가라</t>
  </si>
  <si>
    <t>짐모테~이</t>
  </si>
  <si>
    <t>모서리</t>
  </si>
  <si>
    <t>모서리가</t>
  </si>
  <si>
    <t>모술가리/모솔기/모술가리여/자리모솔기</t>
  </si>
  <si>
    <t>모사리</t>
  </si>
  <si>
    <t>모시리</t>
  </si>
  <si>
    <t>모실개</t>
  </si>
  <si>
    <t>마을</t>
  </si>
  <si>
    <t>마시＇리 널따</t>
  </si>
  <si>
    <t>아랜마을/한 마으레</t>
  </si>
  <si>
    <t>마시리 포시럽다/마으리 포시 포시럽다</t>
  </si>
  <si>
    <t>마을/마으리</t>
  </si>
  <si>
    <t>마으리라/그기 마을보더/마으리 크다</t>
  </si>
  <si>
    <t>마으를 이루조.</t>
  </si>
  <si>
    <t>윗마을</t>
  </si>
  <si>
    <t>우＇엔 마실＇</t>
  </si>
  <si>
    <t>운마을</t>
  </si>
  <si>
    <t>움말</t>
  </si>
  <si>
    <t>윈마른/운마리라 그래고</t>
  </si>
  <si>
    <t>운마을 아랜마을이라/우똥네 아래똥네</t>
  </si>
  <si>
    <t>운말/운말 아랜말</t>
  </si>
  <si>
    <t>이웃</t>
  </si>
  <si>
    <t>이우사아＇춘/이＇욷</t>
  </si>
  <si>
    <t>이우싸촌</t>
  </si>
  <si>
    <t>이우싸춘</t>
  </si>
  <si>
    <t>이우시라고</t>
  </si>
  <si>
    <t>이욷</t>
  </si>
  <si>
    <t>21203-0-1</t>
  </si>
  <si>
    <t>이＇우지 개깝＇따</t>
  </si>
  <si>
    <t>이우시 가꺼우니까(+다)/이우지 만타(+소)</t>
  </si>
  <si>
    <t>이우지라구래지</t>
  </si>
  <si>
    <t>이우지 모두</t>
  </si>
  <si>
    <t>이우지 조:타이래지요</t>
  </si>
  <si>
    <t>21203-0-2</t>
  </si>
  <si>
    <t>이＇우제 노올＇러 간다＇</t>
  </si>
  <si>
    <t>이우제 놀러 간다</t>
  </si>
  <si>
    <t>이우제서/이우세 간다/이우제 놀:러간다</t>
  </si>
  <si>
    <t>우리 이우제 산다</t>
  </si>
  <si>
    <t>이우제 놀:러간다</t>
  </si>
  <si>
    <t>우리 이우제 가치 친저라게</t>
  </si>
  <si>
    <t>마을가다</t>
  </si>
  <si>
    <t>마시＇레 노올＇러 가따온다</t>
  </si>
  <si>
    <t>제녕마실간다구래 {저녁 마실간다 그래}</t>
  </si>
  <si>
    <t>이운마으레두간다그래구/이운마시레간다 그래기두하구</t>
  </si>
  <si>
    <t>마실간다구래지/마을간다</t>
  </si>
  <si>
    <t>마실간다고도 하고</t>
  </si>
  <si>
    <t>마실간다그래지요</t>
  </si>
  <si>
    <t>우물</t>
  </si>
  <si>
    <t>웅굴＇물</t>
  </si>
  <si>
    <t>움물</t>
  </si>
  <si>
    <t>우무레가서 물떠오나라/옌:날말로 웅구리지(+구)/웅굴/우무리지(+신)/야 웅구레가서 물떠와라</t>
  </si>
  <si>
    <t>드레움물</t>
  </si>
  <si>
    <t>드레웅굴가주</t>
  </si>
  <si>
    <t>움물(+소)/움물 드렘물/드레물(+다)</t>
  </si>
  <si>
    <t>두레박</t>
  </si>
  <si>
    <t>마제 뜨레박＇</t>
  </si>
  <si>
    <t>두레박/두레바기로구나</t>
  </si>
  <si>
    <t>드레바기라구래</t>
  </si>
  <si>
    <t>드레바가지</t>
  </si>
  <si>
    <t>드래박</t>
  </si>
  <si>
    <t>샘(泉)</t>
  </si>
  <si>
    <t>새애＇미#/새애＇미도 집＇따</t>
  </si>
  <si>
    <t>그거 새:미라 그래</t>
  </si>
  <si>
    <t>섀:미 나온다그래지 섐:무리</t>
  </si>
  <si>
    <t>새:미 난다해서/샘:물</t>
  </si>
  <si>
    <t>새:미 손는다/샘:</t>
  </si>
  <si>
    <t>새:미라그래요</t>
  </si>
  <si>
    <t>가(邊)</t>
  </si>
  <si>
    <t>가아＇는 여＇기저기 다아＇ 해당되고</t>
  </si>
  <si>
    <t>바 까새~이라 그래구 {밭가라고 그러고}/가:새~이는 가:새~이라 그래</t>
  </si>
  <si>
    <t>질까하구/질까두</t>
  </si>
  <si>
    <t>가:세라구/가세루 가라</t>
  </si>
  <si>
    <t>방까세~이/가:</t>
  </si>
  <si>
    <t>받 가:새~이 얼루 가라/바까새~이</t>
  </si>
  <si>
    <t>21208-0-1</t>
  </si>
  <si>
    <t>가아＇이란 얘기는 복판아닌＇/가아＇이라 하며는</t>
  </si>
  <si>
    <t>가:새~이라구는 하는데</t>
  </si>
  <si>
    <t>질까라고 대개 마:~이 그래지</t>
  </si>
  <si>
    <t>가우루 가라/받 가우로 가라/바 까이라 그래지/개울가이라고</t>
  </si>
  <si>
    <t>가:세루 가라</t>
  </si>
  <si>
    <t>21208-0-2</t>
  </si>
  <si>
    <t>젬＇부가 바까＇이고 {전부가 밭 가이고}</t>
  </si>
  <si>
    <t>질까에</t>
  </si>
  <si>
    <t>가:세라구해기두</t>
  </si>
  <si>
    <t>가:에 가라</t>
  </si>
  <si>
    <t>가:새~이가서 봐:두 알구</t>
  </si>
  <si>
    <t>물지게</t>
  </si>
  <si>
    <t>무지＇개</t>
  </si>
  <si>
    <t>지게 자:래 놔따 {지게 잘 해 놨따}/물찌게</t>
  </si>
  <si>
    <t>물찌게</t>
  </si>
  <si>
    <t>물찌게라구래</t>
  </si>
  <si>
    <t>물찌게라구래요</t>
  </si>
  <si>
    <t>가게</t>
  </si>
  <si>
    <t>상점＇(+구)/가아＇게라는 얘긴 표준＇마리고</t>
  </si>
  <si>
    <t>가게 본다</t>
  </si>
  <si>
    <t>그저넨 가게빠~이라 그래지 가게</t>
  </si>
  <si>
    <t>가개라구래는데</t>
  </si>
  <si>
    <t>가:게 주로 가:게라고그래지</t>
  </si>
  <si>
    <t>가:개빵</t>
  </si>
  <si>
    <t>싸다</t>
  </si>
  <si>
    <t>헐타＇라 허르＇니/뭉청 헐타＇라/물건 깝씨＇ 허라＇사 마＇니 사따/허르＇~이</t>
  </si>
  <si>
    <t>싸게 사따</t>
  </si>
  <si>
    <t>싸니까 살쑤이따/싸다 그래지/좀 쌍거가태/갑씨 좀 싸유</t>
  </si>
  <si>
    <t>싸더라/싸다/싸서</t>
  </si>
  <si>
    <t>허라더라/싸더라/싸다</t>
  </si>
  <si>
    <t>비싸다</t>
  </si>
  <si>
    <t>비＇싸/너무＇ 마:이 바다 비＇싸사 그거 모오＇싸개게떠라 {너무 많이 받아 비싸서 못사겠더라.}</t>
  </si>
  <si>
    <t>비싸니까 까꺼 줘 이래지/도:널 더 줌 비싸게 사따 그래구</t>
  </si>
  <si>
    <t>비싸서 모싼다/비싸다 그래지</t>
  </si>
  <si>
    <t>비싸서 모싸따/비싸더라/비싸다</t>
  </si>
  <si>
    <t>비싸더라</t>
  </si>
  <si>
    <t>흥정</t>
  </si>
  <si>
    <t>흥정＇/흥저＇~어 부＇체라</t>
  </si>
  <si>
    <t>흥정 부친다 그래지/죽쩨~이/사능 거야 머 흥정이여/흥정하능 건데</t>
  </si>
  <si>
    <t>흥정/그걸 흥저~이라 그래지</t>
  </si>
  <si>
    <t>흥정을 부친다</t>
  </si>
  <si>
    <t>거간꾼(중매인)</t>
  </si>
  <si>
    <t>중매＇/중매인＇</t>
  </si>
  <si>
    <t>흥정꾸니라구</t>
  </si>
  <si>
    <t>중매인/중매이니라 그래지</t>
  </si>
  <si>
    <t>흥정재~이라구/흥정꾸니라구</t>
  </si>
  <si>
    <t>중개라고그랜다고</t>
  </si>
  <si>
    <t>흥정꾼</t>
  </si>
  <si>
    <t>잔돈</t>
  </si>
  <si>
    <t>머 잔＇돈 바다야지</t>
  </si>
  <si>
    <t>잔저느루 바꿔 달라구/잔전</t>
  </si>
  <si>
    <t>잰저느로 바꿔달라고그래지/난 잰저늘 주시유 그래지/잰전</t>
  </si>
  <si>
    <t>잔도느로</t>
  </si>
  <si>
    <t>잔도니라그래기도하고</t>
  </si>
  <si>
    <t>잔전</t>
  </si>
  <si>
    <t>에누리</t>
  </si>
  <si>
    <t>에누＇리</t>
  </si>
  <si>
    <t>에누리가 웁따 그래지/에누리가 웁짜누</t>
  </si>
  <si>
    <t>에누리해 다와</t>
  </si>
  <si>
    <t>에누릴 너무 마:~이/에누릴 너머 줜네요</t>
  </si>
  <si>
    <t>거스름돈</t>
  </si>
  <si>
    <t>거스＇름</t>
  </si>
  <si>
    <t>거스름똔/거슬름똔/거시름또니라구</t>
  </si>
  <si>
    <t>거스름또니지/거시름똔/거스름똔</t>
  </si>
  <si>
    <t>거시름똔</t>
  </si>
  <si>
    <t>거시른돈/거시름/거시름또니라고</t>
  </si>
  <si>
    <t>거스르다</t>
  </si>
  <si>
    <t>거슬＇러 바＇꼬/거슬＇러 바다야 된단 얘기는/거슬＇러준다는 얘애＇기는/거스＇른다는 얘:기는 아나고</t>
  </si>
  <si>
    <t>거실러 달라구</t>
  </si>
  <si>
    <t>거실러 주시유/거실러주 잰저느루</t>
  </si>
  <si>
    <t>거실러따</t>
  </si>
  <si>
    <t>거실러줌 기양 반능거지/*</t>
  </si>
  <si>
    <t>거실러 다:과</t>
  </si>
  <si>
    <t>꾸다(借)</t>
  </si>
  <si>
    <t>꾸고＇이따</t>
  </si>
  <si>
    <t>지끔는 빌레달라그래구(+신)/꾼는다 그래두/쵀:다와 {빌려다오}/쵀능건 옌:날마리구(+구)/쵄:다 그래지 쵀:(+구)</t>
  </si>
  <si>
    <t>꾼다구두</t>
  </si>
  <si>
    <t>꾼다/취앤다</t>
  </si>
  <si>
    <t>꾼다구요</t>
  </si>
  <si>
    <t>21219-0-1</t>
  </si>
  <si>
    <t>꿔＇줘/꿔가주 와야 된다/꾸운＇다</t>
  </si>
  <si>
    <t>꿔:</t>
  </si>
  <si>
    <t>꾸어두 되구/꿔:가주간다/꾸어달라구두 하구</t>
  </si>
  <si>
    <t>꿔:따</t>
  </si>
  <si>
    <t>쫌 취애다:와/꿔:다와</t>
  </si>
  <si>
    <t>꿔:와따/꿔:달라구</t>
  </si>
  <si>
    <t>구두쇠</t>
  </si>
  <si>
    <t>구두＇쇠/꾸＇다리</t>
  </si>
  <si>
    <t>재랑꼽쩨기라 그래구(안 먹고 안 쓰는 사람)/구두셍이/구두쇠~이 마:~이 써 {구두쇠를 많이 써}/구두쇠~이가/재랑꼽쩨기니 머/구두세~이라구 그래/구두쇠~이니</t>
  </si>
  <si>
    <t>구더배기(+자린고비)/지도칸 노래~이라 그래요</t>
  </si>
  <si>
    <t>구두새라구래지</t>
  </si>
  <si>
    <t>꾸덕쐬라고</t>
  </si>
  <si>
    <t>구더배기</t>
  </si>
  <si>
    <t>맡기다</t>
  </si>
  <si>
    <t>매＇께 노＇코</t>
  </si>
  <si>
    <t>나한테 다:: 매끼능구나 {나한테 다 맡기는구나}/장깐 매끼지 머</t>
  </si>
  <si>
    <t>매낀다그래지/매끼지/매께라</t>
  </si>
  <si>
    <t>매껴따/매낀다구</t>
  </si>
  <si>
    <t>마끼더라/매끼민서 바:다와/매낀다</t>
  </si>
  <si>
    <t>매끼능거지/매낀다구</t>
  </si>
  <si>
    <t>나머지</t>
  </si>
  <si>
    <t>인제 나머＇지 도니니까 거스르미라고도 하거든뇨</t>
  </si>
  <si>
    <t>냉기지똔/그럼 나머지또니라 그러지</t>
  </si>
  <si>
    <t>나머지는</t>
  </si>
  <si>
    <t>나문지/나문지는</t>
  </si>
  <si>
    <t>나머지라고</t>
  </si>
  <si>
    <t>나머지지</t>
  </si>
  <si>
    <t>덤</t>
  </si>
  <si>
    <t>우우＇수</t>
  </si>
  <si>
    <t>더움</t>
  </si>
  <si>
    <t>더우믈/더움</t>
  </si>
  <si>
    <t>몫</t>
  </si>
  <si>
    <t>내 목＇씨</t>
  </si>
  <si>
    <t>내 모거치 내가 가징게게찌</t>
  </si>
  <si>
    <t>모이기지 목 {몫이지 몫}/당신 목씨 하나/이건 내 목씨 하나/목씨지 목</t>
  </si>
  <si>
    <t>내 목</t>
  </si>
  <si>
    <t>도라오는 목씨도/목씨라고/내 아페 도라오는 목씨</t>
  </si>
  <si>
    <t>목/내 모거치 내가 챙게따</t>
  </si>
  <si>
    <t>21224-0-1</t>
  </si>
  <si>
    <t>내 목＇씨가 마안＇타</t>
  </si>
  <si>
    <t>하나 목쓴 웁짜너</t>
  </si>
  <si>
    <t>내 목쓸 내가 챙게따</t>
  </si>
  <si>
    <t>내 목쓸 달라/내 목씨를 달라</t>
  </si>
  <si>
    <t>목씨르</t>
  </si>
  <si>
    <t>내 모거치는 즘 만:타</t>
  </si>
  <si>
    <t>빚</t>
  </si>
  <si>
    <t>비＇슬 저따 비쩌따＇ 비시 아~이＇고/나＇는 비＇지가 마안＇타(+체언말이 폐음절인 경우, 주격조사 ＇-이가＇가 붙는 경우가 많음.)/비＇지 마안＇타</t>
  </si>
  <si>
    <t>그래 비지 만타/비지니까</t>
  </si>
  <si>
    <t>부몬니메 비지가 만타/비지가 만:타</t>
  </si>
  <si>
    <t>빋쩌따그래지요</t>
  </si>
  <si>
    <t>21225-0-1</t>
  </si>
  <si>
    <t>비＇슬 저따 비쩌따＇ 비시 아~이＇고/비＇들 저따＇ 비들＇</t>
  </si>
  <si>
    <t>비절 지능 거지 {빚을 지는 거지}</t>
  </si>
  <si>
    <t>비즐 가퍼따</t>
  </si>
  <si>
    <t>비설 가퍼따</t>
  </si>
  <si>
    <t>비즐/비지르 저노코 가따</t>
  </si>
  <si>
    <t>비즐 마:~이 저따</t>
  </si>
  <si>
    <t>21225-0-2</t>
  </si>
  <si>
    <t>비세/비세 쪼들리＇인다</t>
  </si>
  <si>
    <t>비지 만:타</t>
  </si>
  <si>
    <t>비세 쪼들려다</t>
  </si>
  <si>
    <t>비제</t>
  </si>
  <si>
    <t>이자(利子)</t>
  </si>
  <si>
    <t>이＇이＇짜/이이＇자가 아니고 이이＇짜</t>
  </si>
  <si>
    <t>이:자럴 처줘야지</t>
  </si>
  <si>
    <t>이:자</t>
  </si>
  <si>
    <t>이자가/이자를</t>
  </si>
  <si>
    <t>이:짜</t>
  </si>
  <si>
    <t>심부름</t>
  </si>
  <si>
    <t>시임＇부룸</t>
  </si>
  <si>
    <t>심부름 좀 해라 이래 씨기고는</t>
  </si>
  <si>
    <t>심부르믈/심부르미</t>
  </si>
  <si>
    <t>심부룸씨긴다고</t>
  </si>
  <si>
    <t>담:배 심:부럼/심:부러미라그래지</t>
  </si>
  <si>
    <t>두름</t>
  </si>
  <si>
    <t>한 드름＇(20마리)</t>
  </si>
  <si>
    <t>한 두룸 (20마리)</t>
  </si>
  <si>
    <t>수무마리가 한두러미지/두러므로 나가지/한두럼씽 영는다</t>
  </si>
  <si>
    <t>한 주기라고</t>
  </si>
  <si>
    <t>두레미/한 두레미/한 두루미 수무마리아니요</t>
  </si>
  <si>
    <t>두럼/한 두럼</t>
  </si>
  <si>
    <t>21228-1</t>
  </si>
  <si>
    <t>축</t>
  </si>
  <si>
    <t>한 축＇</t>
  </si>
  <si>
    <t>수무마리 한 축</t>
  </si>
  <si>
    <t>수무마리 한축/한 축(오징어)/오징어는 한추기라그래지</t>
  </si>
  <si>
    <t>한 다발</t>
  </si>
  <si>
    <t>한추기라고</t>
  </si>
  <si>
    <t>한 축</t>
  </si>
  <si>
    <t>21228-2</t>
  </si>
  <si>
    <t>쾌</t>
  </si>
  <si>
    <t>쾌/쾌＇라이램＇미다</t>
  </si>
  <si>
    <t>수무마리 항 쾌</t>
  </si>
  <si>
    <t>부게도 수무마리 항쾌</t>
  </si>
  <si>
    <t>항 캐가 수무마리</t>
  </si>
  <si>
    <t>두레미(+북어)</t>
  </si>
  <si>
    <t>부거는 한 쾌</t>
  </si>
  <si>
    <t>21228-3</t>
  </si>
  <si>
    <t>접</t>
  </si>
  <si>
    <t>한＇접 (100개)</t>
  </si>
  <si>
    <t>배깨가 한 저비 {백 개가 한 접이}</t>
  </si>
  <si>
    <t>저비여 접/여기선 저브로 하지/백깨먼 한접</t>
  </si>
  <si>
    <t>한 저비다/저부로</t>
  </si>
  <si>
    <t>배깨가 한접/한 저비다</t>
  </si>
  <si>
    <t>한 접/과이른 저비지</t>
  </si>
  <si>
    <t>21228-4</t>
  </si>
  <si>
    <t>쌈</t>
  </si>
  <si>
    <t>쌔미＇/한＇쌔미 두＇쌔미</t>
  </si>
  <si>
    <t>싸미여 한 쌈(23, 25개 정도가 한 쌈)</t>
  </si>
  <si>
    <t>쌍/수무개가 한싸~이지/한쌍(바늘 20개)</t>
  </si>
  <si>
    <t>한 쌈 두 쌈</t>
  </si>
  <si>
    <t>한쌔미라그래요</t>
  </si>
  <si>
    <t>열깨 인제 한 쌈/싸미요.</t>
  </si>
  <si>
    <t>21228-5</t>
  </si>
  <si>
    <t>드르＇미고</t>
  </si>
  <si>
    <t>열 모심 무꺼 한 두룸/두루벌 여끙 게 한 두룸</t>
  </si>
  <si>
    <t>그거또 두럼(고사리, 고비 등)</t>
  </si>
  <si>
    <t>한 주기라구/한 줌</t>
  </si>
  <si>
    <t>그느루 한 근/한뭉테기가/한뭉치를 한뭉테기</t>
  </si>
  <si>
    <t>21228-6</t>
  </si>
  <si>
    <t>단/뭇</t>
  </si>
  <si>
    <t>한 묻(+10마리)/한＇무시란 얘기는 (10마리)</t>
  </si>
  <si>
    <t>한 단/이백까치는 한 강다리/다느로 해 무꺼 팔고(고사리 기다란 것)/낭구 항 강다리</t>
  </si>
  <si>
    <t>요거 한다네 얼매/한단(장작)</t>
  </si>
  <si>
    <t>항 깨피/항 강다리(+100개피)/항 강지</t>
  </si>
  <si>
    <t>열찜잡쪼(+1평은 10짐)/열찌미 한평으 잡찌/한짐지구가먼</t>
  </si>
  <si>
    <t>장자근 평으루 나가조.(+가로 세로 외자)</t>
  </si>
  <si>
    <t>21228-7</t>
  </si>
  <si>
    <t>한＇단/한 무끼＇미</t>
  </si>
  <si>
    <t>다:니지(무우)</t>
  </si>
  <si>
    <t>대가리/무우세대가리라 그래지/대가리로 치지</t>
  </si>
  <si>
    <t>무:두 한 저비라구(+100개를 한 접)</t>
  </si>
  <si>
    <t>한다바리지요 한다발/한다발(+무)</t>
  </si>
  <si>
    <t>21228-8</t>
  </si>
  <si>
    <t>톳</t>
  </si>
  <si>
    <t>한토＇시가 마제 백짱</t>
  </si>
  <si>
    <t>두 토시지 머 {두 톳이지 뭐}/백짱짜리 하나 한 톧</t>
  </si>
  <si>
    <t>백짜~이 한축(김)/김: 한축</t>
  </si>
  <si>
    <t>함 무꿈/한 무뀌미라 그래나(+제?)</t>
  </si>
  <si>
    <t>한 추기믄(+제?)</t>
  </si>
  <si>
    <t>21228-9</t>
  </si>
  <si>
    <t>모숨</t>
  </si>
  <si>
    <t>모＇숨/한 모＇숨</t>
  </si>
  <si>
    <t>씨레기 모심/짐 모심 {짚 모심}/함 모심씩/마나른 열 모시메 한 접</t>
  </si>
  <si>
    <t>모싱기때 한모숨 마:~이씨지/한모숨가주와 이리문/고렁건 한추미라고그래고(모를 한 단 묶은 것)</t>
  </si>
  <si>
    <t>한 줌/한 주먹(+머리카락)</t>
  </si>
  <si>
    <t>한 주:미라고</t>
  </si>
  <si>
    <t>한 모숨 빠저따</t>
  </si>
  <si>
    <t>켤레</t>
  </si>
  <si>
    <t>한 커＇리</t>
  </si>
  <si>
    <t>항 커리(신발)</t>
  </si>
  <si>
    <t>항컬레/건 두:컬레</t>
  </si>
  <si>
    <t>항 커리</t>
  </si>
  <si>
    <t>항컬레</t>
  </si>
  <si>
    <t>한 커리</t>
  </si>
  <si>
    <t>마지기</t>
  </si>
  <si>
    <t>한 마지＇기로</t>
  </si>
  <si>
    <t>한 여남 마지기 되는 게 엄청 크지</t>
  </si>
  <si>
    <t>바튼 한작/노니 한배미라고하지 킁거/그거뚜 한작 뚜작 세:작/함배미 두배미 세배미</t>
  </si>
  <si>
    <t>함 마지기</t>
  </si>
  <si>
    <t>노니 마지기/바튼 마지기로 아나고</t>
  </si>
  <si>
    <t>한마지기(+100평)</t>
  </si>
  <si>
    <t>21230-1</t>
  </si>
  <si>
    <t>한 마지기의 넓이</t>
  </si>
  <si>
    <t>여기만 하지 배고십평(+논은 150평)/인제 바＇트는 칠씨보＇평(+밭은 보리밭을 기준으로 75평)</t>
  </si>
  <si>
    <t>배고십평이 함 마지기(150평이 한 마지기)</t>
  </si>
  <si>
    <t>야 저거 쪼그망거 함배미 저 킁거 함배미/배:미(논은 크든 적든 배미)</t>
  </si>
  <si>
    <t>함 마지기야(+150평)</t>
  </si>
  <si>
    <t>일쩌~이고(밭은 3000평이 1정)/여:는 배기십펴~이 함마지기야</t>
  </si>
  <si>
    <t>함배미라그래요/바츤 평쑤로 하지요/이러케 함배미서/백평짜리믄(+밭은 ＇평＇이 단위임.)</t>
  </si>
  <si>
    <t>꾸러미</t>
  </si>
  <si>
    <t>꾸리＇미</t>
  </si>
  <si>
    <t>꾸레미 꾸레미</t>
  </si>
  <si>
    <t>건 한줄(계란)</t>
  </si>
  <si>
    <t>항 꾸리미야</t>
  </si>
  <si>
    <t>항꾸레미라 그래지/한줄</t>
  </si>
  <si>
    <t>항꾸레미(+구)/한줄(+신)</t>
  </si>
  <si>
    <t>그루</t>
  </si>
  <si>
    <t>한＇ 대 두우＇대</t>
  </si>
  <si>
    <t>글루루/낭구 항 글루/항 글루 두 글루 요로케</t>
  </si>
  <si>
    <t>항그루(나무)/그루루 나가구</t>
  </si>
  <si>
    <t>항 그루</t>
  </si>
  <si>
    <t>나무 항구루 두:구루/한대두대</t>
  </si>
  <si>
    <t>한그루 두:구루</t>
  </si>
  <si>
    <t>포기</t>
  </si>
  <si>
    <t>포＇기가 아니고 페＇기</t>
  </si>
  <si>
    <t>세: 포/함 포(배추 한 포기)</t>
  </si>
  <si>
    <t>세푀기 얼:매?(하향이중모음 ＇외＇)/포기루 나가구(배추)/세포기 무꺼서 고 한 단</t>
  </si>
  <si>
    <t>함 포거지</t>
  </si>
  <si>
    <t>함포기/백포기가 그기 한저비야</t>
  </si>
  <si>
    <t>한 포기</t>
  </si>
  <si>
    <t>저울</t>
  </si>
  <si>
    <t>저＇울</t>
  </si>
  <si>
    <t>저우린데/저울</t>
  </si>
  <si>
    <t>저우리지/저울</t>
  </si>
  <si>
    <t>저우리고 이게</t>
  </si>
  <si>
    <t>저우료</t>
  </si>
  <si>
    <t xml:space="preserve">자루(包袋) </t>
  </si>
  <si>
    <t>자르/자루＇만 가주와라/잘개/잘＇기</t>
  </si>
  <si>
    <t>잘루라구두 해구/잘루두 인는데/자루</t>
  </si>
  <si>
    <t>잘기라구두하구(+구)/잘기로/쌀짤기/쌀짜루즘 가주오나라/한자루두자루이리고/잘기는 실지 옌:날마리지(+구)/자루에다가 메:지(쌀)/자루(쌀)</t>
  </si>
  <si>
    <t>자루는/자루라구래지</t>
  </si>
  <si>
    <t>자루라그래/잘기라고도 하고/잘기가 만는지 자루가 만는지/푸대</t>
  </si>
  <si>
    <t>자루</t>
  </si>
  <si>
    <t>21235-0-1</t>
  </si>
  <si>
    <t>잘＇기 크다/잘＇그 가주 오나라/잘＇게 잘＇글</t>
  </si>
  <si>
    <t>잘루르/잘루가 다: 푸대여</t>
  </si>
  <si>
    <t>자루를(+신)/쌀짤기 좀 가주나라./잘기를 가주오나라./잘게다가 싸를</t>
  </si>
  <si>
    <t>자루가</t>
  </si>
  <si>
    <t>잘기르 가주와라</t>
  </si>
  <si>
    <t>자룰 맨드러찌요.</t>
  </si>
  <si>
    <t>21235-0-2</t>
  </si>
  <si>
    <t>그 잘＇개다 너＇어라</t>
  </si>
  <si>
    <t>쌀짤기예/잘기에다 담지</t>
  </si>
  <si>
    <t>자루에 담넌다</t>
  </si>
  <si>
    <t>자루에다 넌는다/자루에다 담는다그래 잘기에다 담는다그래</t>
  </si>
  <si>
    <t>자루에다 싸를</t>
  </si>
  <si>
    <t>하나</t>
  </si>
  <si>
    <t>하나＇/하나＇보다＇/거개꼭＇ 하나＇만</t>
  </si>
  <si>
    <t>되 하나에 하낙씩 올러가능 게 하나지</t>
  </si>
  <si>
    <t>하나/하나가 남짜너</t>
  </si>
  <si>
    <t>하나기 남는다/하나가</t>
  </si>
  <si>
    <t>21236-1</t>
  </si>
  <si>
    <t>한 개</t>
  </si>
  <si>
    <t>항＇개</t>
  </si>
  <si>
    <t>항개/한 되 한 홉</t>
  </si>
  <si>
    <t>세:개에서 두개빼먼 하나이 남지/항개</t>
  </si>
  <si>
    <t>항개</t>
  </si>
  <si>
    <t>한개</t>
  </si>
  <si>
    <t>21236-2</t>
  </si>
  <si>
    <t>한 되</t>
  </si>
  <si>
    <t>한＇되</t>
  </si>
  <si>
    <t>한되</t>
  </si>
  <si>
    <t>한:되</t>
  </si>
  <si>
    <t>21236-3</t>
  </si>
  <si>
    <t>한 말</t>
  </si>
  <si>
    <t>함＇말</t>
  </si>
  <si>
    <t>함말/마레는 다뙤 드러가능 거 함 마리고/함마리지</t>
  </si>
  <si>
    <t>함:말</t>
  </si>
  <si>
    <t>함말</t>
  </si>
  <si>
    <t>한말</t>
  </si>
  <si>
    <t xml:space="preserve">둘 </t>
  </si>
  <si>
    <t>두울＇/두울＇보다/두우＇리 나아＇따</t>
  </si>
  <si>
    <t>둘:</t>
  </si>
  <si>
    <t>21237-1</t>
  </si>
  <si>
    <t xml:space="preserve">두 개 </t>
  </si>
  <si>
    <t>두우＇개</t>
  </si>
  <si>
    <t>두:개</t>
  </si>
  <si>
    <t>21237-2</t>
  </si>
  <si>
    <t>두 되</t>
  </si>
  <si>
    <t>두우＇되</t>
  </si>
  <si>
    <t>두되</t>
  </si>
  <si>
    <t>두:되</t>
  </si>
  <si>
    <t>21237-3</t>
  </si>
  <si>
    <t>두 말</t>
  </si>
  <si>
    <t>두우＇말</t>
  </si>
  <si>
    <t>두 말 드러가는/두말</t>
  </si>
  <si>
    <t>두:말</t>
  </si>
  <si>
    <t>셋</t>
  </si>
  <si>
    <t>서어＇이</t>
  </si>
  <si>
    <t>그럼 스:이</t>
  </si>
  <si>
    <t>서:이</t>
  </si>
  <si>
    <t>섿:</t>
  </si>
  <si>
    <t>스:이/섿:</t>
  </si>
  <si>
    <t>21238-1</t>
  </si>
  <si>
    <t>세 개</t>
  </si>
  <si>
    <t>세에＇개</t>
  </si>
  <si>
    <t>세:개</t>
  </si>
  <si>
    <t>21238-2</t>
  </si>
  <si>
    <t>세 되</t>
  </si>
  <si>
    <t>서어＇되</t>
  </si>
  <si>
    <t>세:되/스:되/세되</t>
  </si>
  <si>
    <t>세:되</t>
  </si>
  <si>
    <t>슥:때</t>
  </si>
  <si>
    <t>스:데</t>
  </si>
  <si>
    <t>21238-3</t>
  </si>
  <si>
    <t>세 말</t>
  </si>
  <si>
    <t>서어＇말</t>
  </si>
  <si>
    <t>스말</t>
  </si>
  <si>
    <t>세:말</t>
  </si>
  <si>
    <t>스:말</t>
  </si>
  <si>
    <t>넷</t>
  </si>
  <si>
    <t>너어＇이</t>
  </si>
  <si>
    <t>하나 둘 스:이 느:이/느이</t>
  </si>
  <si>
    <t>느:이</t>
  </si>
  <si>
    <t>넫:</t>
  </si>
  <si>
    <t>너:이</t>
  </si>
  <si>
    <t>느:이/넫:</t>
  </si>
  <si>
    <t>21239-1</t>
  </si>
  <si>
    <t>네 개</t>
  </si>
  <si>
    <t>네에＇개</t>
  </si>
  <si>
    <t>네:개</t>
  </si>
  <si>
    <t>21239-2</t>
  </si>
  <si>
    <t>네 되</t>
  </si>
  <si>
    <t>느으＇되</t>
  </si>
  <si>
    <t>느:되</t>
  </si>
  <si>
    <t>네:되</t>
  </si>
  <si>
    <t>늑:때/늑:뙤를</t>
  </si>
  <si>
    <t>느:데</t>
  </si>
  <si>
    <t>21239-3</t>
  </si>
  <si>
    <t>네 말</t>
  </si>
  <si>
    <t>너어＇말</t>
  </si>
  <si>
    <t>느:말</t>
  </si>
  <si>
    <t>네:말</t>
  </si>
  <si>
    <t>다섯</t>
  </si>
  <si>
    <t>다＇서</t>
  </si>
  <si>
    <t>다섣</t>
  </si>
  <si>
    <t>다서시지</t>
  </si>
  <si>
    <t>다서시 남찌</t>
  </si>
  <si>
    <t>다서/다서시다</t>
  </si>
  <si>
    <t>다:썯/다섣</t>
  </si>
  <si>
    <t>21240-1</t>
  </si>
  <si>
    <t>다섯 개</t>
  </si>
  <si>
    <t>다＇서깨</t>
  </si>
  <si>
    <t>다서깨</t>
  </si>
  <si>
    <t>21240-2</t>
  </si>
  <si>
    <t>다섯 되</t>
  </si>
  <si>
    <t>다＇서뙤</t>
  </si>
  <si>
    <t>다뙤</t>
  </si>
  <si>
    <t>다:뙤</t>
  </si>
  <si>
    <t>다서때/다뙤가</t>
  </si>
  <si>
    <t>다서뙤/다뙤르 가떠가</t>
  </si>
  <si>
    <t>다:떼/닫:뙤</t>
  </si>
  <si>
    <t>21240-3</t>
  </si>
  <si>
    <t>다섯 말</t>
  </si>
  <si>
    <t>다＇섬말/열말＇</t>
  </si>
  <si>
    <t>단말</t>
  </si>
  <si>
    <t>담말</t>
  </si>
  <si>
    <t>다섬말</t>
  </si>
  <si>
    <t>여섯</t>
  </si>
  <si>
    <t>여＇서</t>
  </si>
  <si>
    <t>여섣</t>
  </si>
  <si>
    <t>여서</t>
  </si>
  <si>
    <t>여서/여서시다</t>
  </si>
  <si>
    <t>21241-1</t>
  </si>
  <si>
    <t>여섯 개</t>
  </si>
  <si>
    <t>여서깨</t>
  </si>
  <si>
    <t>여서깨 남찌</t>
  </si>
  <si>
    <t>21241-2</t>
  </si>
  <si>
    <t>여섯 되</t>
  </si>
  <si>
    <t>여＇서뙤</t>
  </si>
  <si>
    <t>여뙤</t>
  </si>
  <si>
    <t>여:뙤</t>
  </si>
  <si>
    <t>여서때</t>
  </si>
  <si>
    <t>여뙤라고/여서뙤</t>
  </si>
  <si>
    <t>엳:떼/여:떼</t>
  </si>
  <si>
    <t>21241-3</t>
  </si>
  <si>
    <t>여섯 말</t>
  </si>
  <si>
    <t>여＇섬말</t>
  </si>
  <si>
    <t>연말</t>
  </si>
  <si>
    <t>염말</t>
  </si>
  <si>
    <t>여섬말</t>
  </si>
  <si>
    <t>일곱</t>
  </si>
  <si>
    <t>일＇고</t>
  </si>
  <si>
    <t>일고비대지/일구</t>
  </si>
  <si>
    <t>일굽</t>
  </si>
  <si>
    <t>일구비다</t>
  </si>
  <si>
    <t>일구/일굽</t>
  </si>
  <si>
    <t>21242-1</t>
  </si>
  <si>
    <t>일곱 개</t>
  </si>
  <si>
    <t>일＇고깨</t>
  </si>
  <si>
    <t>일고깨니까</t>
  </si>
  <si>
    <t>일구깨</t>
  </si>
  <si>
    <t>일고깨</t>
  </si>
  <si>
    <t>21242-2</t>
  </si>
  <si>
    <t>일곱 되</t>
  </si>
  <si>
    <t>일＇곱뙤</t>
  </si>
  <si>
    <t>일곱뙤</t>
  </si>
  <si>
    <t>일굽뙤</t>
  </si>
  <si>
    <t>일굽때</t>
  </si>
  <si>
    <t>일굽떼</t>
  </si>
  <si>
    <t>21242-3</t>
  </si>
  <si>
    <t>일곱 말</t>
  </si>
  <si>
    <t>일＇곰말</t>
  </si>
  <si>
    <t>일곰말</t>
  </si>
  <si>
    <t>일굽말</t>
  </si>
  <si>
    <t>일굼말</t>
  </si>
  <si>
    <t>여덟</t>
  </si>
  <si>
    <t>여＇덜</t>
  </si>
  <si>
    <t>여덜</t>
  </si>
  <si>
    <t>여들/여들비되지</t>
  </si>
  <si>
    <t>여더리지 여덜</t>
  </si>
  <si>
    <t>여덜/여덜비다</t>
  </si>
  <si>
    <t>21243-1</t>
  </si>
  <si>
    <t>여덟 개</t>
  </si>
  <si>
    <t>여＇덜깨</t>
  </si>
  <si>
    <t>여덜깨</t>
  </si>
  <si>
    <t>여들깨</t>
  </si>
  <si>
    <t>21243-2</t>
  </si>
  <si>
    <t>여덟 되</t>
  </si>
  <si>
    <t>여＇덜뙤</t>
  </si>
  <si>
    <t>여덜뙤</t>
  </si>
  <si>
    <t>여들때</t>
  </si>
  <si>
    <t>여덜때</t>
  </si>
  <si>
    <t>여덜떼</t>
  </si>
  <si>
    <t>21243-3</t>
  </si>
  <si>
    <t>여덟 말</t>
  </si>
  <si>
    <t>여＇덜말</t>
  </si>
  <si>
    <t>여덜말</t>
  </si>
  <si>
    <t>여들말</t>
  </si>
  <si>
    <t>아홉</t>
  </si>
  <si>
    <t>아＇호</t>
  </si>
  <si>
    <t>아호</t>
  </si>
  <si>
    <t>아호/아호비다 야</t>
  </si>
  <si>
    <t>21244-1</t>
  </si>
  <si>
    <t>아홉 개</t>
  </si>
  <si>
    <t>아＇호깨</t>
  </si>
  <si>
    <t>아호깨</t>
  </si>
  <si>
    <t>21244-2</t>
  </si>
  <si>
    <t>아홉 되</t>
  </si>
  <si>
    <t>아＇홉뙤</t>
  </si>
  <si>
    <t>아홉뙤</t>
  </si>
  <si>
    <t>아홉때</t>
  </si>
  <si>
    <t>아홉떼</t>
  </si>
  <si>
    <t>21244-3</t>
  </si>
  <si>
    <t>아홉 말</t>
  </si>
  <si>
    <t>아＇홈말</t>
  </si>
  <si>
    <t>아홈말</t>
  </si>
  <si>
    <t>아홉말</t>
  </si>
  <si>
    <t>열</t>
  </si>
  <si>
    <t>여얼＇</t>
  </si>
  <si>
    <t>여린 줄 아니까느</t>
  </si>
  <si>
    <t>열:</t>
  </si>
  <si>
    <t>열/열:</t>
  </si>
  <si>
    <t>21245-1</t>
  </si>
  <si>
    <t>열 개</t>
  </si>
  <si>
    <t>열깨＇/열 깨</t>
  </si>
  <si>
    <t>열:깨</t>
  </si>
  <si>
    <t>열깨</t>
  </si>
  <si>
    <t>열:깨/열깨</t>
  </si>
  <si>
    <t>21245-2</t>
  </si>
  <si>
    <t>열 되</t>
  </si>
  <si>
    <t>열뙤＇</t>
  </si>
  <si>
    <t>열뙤래얘지</t>
  </si>
  <si>
    <t>열:뙤/열뙤</t>
  </si>
  <si>
    <t>열떼/열뙤/열:때</t>
  </si>
  <si>
    <t>열뙤</t>
  </si>
  <si>
    <t>열:뙤먼 한마리/열뙤</t>
  </si>
  <si>
    <t>21245-3</t>
  </si>
  <si>
    <t>열 말</t>
  </si>
  <si>
    <t>열말＇</t>
  </si>
  <si>
    <t>열말</t>
  </si>
  <si>
    <t>열:말</t>
  </si>
  <si>
    <t>열마리먼/열말/아홈말</t>
  </si>
  <si>
    <t>스물</t>
  </si>
  <si>
    <t>수물＇</t>
  </si>
  <si>
    <t>수물</t>
  </si>
  <si>
    <t>수무리 대지</t>
  </si>
  <si>
    <t>21246-1</t>
  </si>
  <si>
    <t>스무 개</t>
  </si>
  <si>
    <t>수무＇개</t>
  </si>
  <si>
    <t>스물개지</t>
  </si>
  <si>
    <t>수무개</t>
  </si>
  <si>
    <t>21246-2</t>
  </si>
  <si>
    <t>스무 되</t>
  </si>
  <si>
    <t>수무＇되</t>
  </si>
  <si>
    <t>수무되</t>
  </si>
  <si>
    <t>수무되지</t>
  </si>
  <si>
    <t>21246-3</t>
  </si>
  <si>
    <t>스무 말</t>
  </si>
  <si>
    <t>수무＇말</t>
  </si>
  <si>
    <t>스무마리리라 해야</t>
  </si>
  <si>
    <t>수무말</t>
  </si>
  <si>
    <t>서른</t>
  </si>
  <si>
    <t>서＇른</t>
  </si>
  <si>
    <t>21247-1</t>
  </si>
  <si>
    <t>서른 개</t>
  </si>
  <si>
    <t>서＇른개</t>
  </si>
  <si>
    <t>서릉개</t>
  </si>
  <si>
    <t>서른개/서릉개</t>
  </si>
  <si>
    <t>21247-2</t>
  </si>
  <si>
    <t>서른 되</t>
  </si>
  <si>
    <t>서＇른되</t>
  </si>
  <si>
    <t>서른되</t>
  </si>
  <si>
    <t>서른데</t>
  </si>
  <si>
    <t>21247-3</t>
  </si>
  <si>
    <t>서른 말</t>
  </si>
  <si>
    <t>서＇름말</t>
  </si>
  <si>
    <t>서른말</t>
  </si>
  <si>
    <t>서름말</t>
  </si>
  <si>
    <t>마흔</t>
  </si>
  <si>
    <t>마＇한</t>
  </si>
  <si>
    <t>21248-1</t>
  </si>
  <si>
    <t>마흔 개</t>
  </si>
  <si>
    <t>마＇항개</t>
  </si>
  <si>
    <t>사:식깨/마흥개라구</t>
  </si>
  <si>
    <t>마흥개</t>
  </si>
  <si>
    <t>21248-2</t>
  </si>
  <si>
    <t>마흔 되</t>
  </si>
  <si>
    <t>마＇한되</t>
  </si>
  <si>
    <t>마흔되</t>
  </si>
  <si>
    <t>마흔데</t>
  </si>
  <si>
    <t>21248-3</t>
  </si>
  <si>
    <t>마흔 말</t>
  </si>
  <si>
    <t>마＇한말</t>
  </si>
  <si>
    <t>마흔말</t>
  </si>
  <si>
    <t>마흠말</t>
  </si>
  <si>
    <t>쉰</t>
  </si>
  <si>
    <t>쉬인＇</t>
  </si>
  <si>
    <t>쉰:/오십/오:십</t>
  </si>
  <si>
    <t>쉰:</t>
  </si>
  <si>
    <t>21249-1</t>
  </si>
  <si>
    <t>쉰 개</t>
  </si>
  <si>
    <t>쉬잉＇개</t>
  </si>
  <si>
    <t>오:식깨/슁:개</t>
  </si>
  <si>
    <t>슁:개</t>
  </si>
  <si>
    <t>싱:개</t>
  </si>
  <si>
    <t>21249-2</t>
  </si>
  <si>
    <t>쉰 되</t>
  </si>
  <si>
    <t>쉬인＇되</t>
  </si>
  <si>
    <t>쉰:되</t>
  </si>
  <si>
    <t>쉰:데</t>
  </si>
  <si>
    <t>21249-3</t>
  </si>
  <si>
    <t>쉰 말</t>
  </si>
  <si>
    <t>쉬임＇말</t>
  </si>
  <si>
    <t>쉰:말</t>
  </si>
  <si>
    <t>쉼:말</t>
  </si>
  <si>
    <t>예순</t>
  </si>
  <si>
    <t>예＇쉰개</t>
  </si>
  <si>
    <t>예수느로 쓰지말고 육시브로 써야돼/육시비래야 마저</t>
  </si>
  <si>
    <t>육씹</t>
  </si>
  <si>
    <t>예쉰/예순</t>
  </si>
  <si>
    <t>21250-1</t>
  </si>
  <si>
    <t>예순 개</t>
  </si>
  <si>
    <t>여＇순개</t>
  </si>
  <si>
    <t>예숭개라 그래</t>
  </si>
  <si>
    <t>육씨깨</t>
  </si>
  <si>
    <t>육십깨</t>
  </si>
  <si>
    <t>예슁개</t>
  </si>
  <si>
    <t>육:씨깨</t>
  </si>
  <si>
    <t>21250-2</t>
  </si>
  <si>
    <t>예순 되</t>
  </si>
  <si>
    <t>쉬인＇되 예＇쉰되</t>
  </si>
  <si>
    <t>일흔되/예순되</t>
  </si>
  <si>
    <t>육:씹뙤</t>
  </si>
  <si>
    <t>육씹데</t>
  </si>
  <si>
    <t>예쉰되</t>
  </si>
  <si>
    <t>육씹뙤</t>
  </si>
  <si>
    <t>21250-3</t>
  </si>
  <si>
    <t>예순 말</t>
  </si>
  <si>
    <t>예＇쉼말</t>
  </si>
  <si>
    <t>예순말</t>
  </si>
  <si>
    <t>육:씸말</t>
  </si>
  <si>
    <t>육씸말</t>
  </si>
  <si>
    <t>예쉼말</t>
  </si>
  <si>
    <t>일흔</t>
  </si>
  <si>
    <t>이＇른</t>
  </si>
  <si>
    <t>칠씹</t>
  </si>
  <si>
    <t>21251-1</t>
  </si>
  <si>
    <t>일흔 개</t>
  </si>
  <si>
    <t>이＇릉개</t>
  </si>
  <si>
    <t>일흥개</t>
  </si>
  <si>
    <t>칠씨깨</t>
  </si>
  <si>
    <t>칠식깨</t>
  </si>
  <si>
    <t>이릉개</t>
  </si>
  <si>
    <t>21251-2</t>
  </si>
  <si>
    <t>일흔 되</t>
  </si>
  <si>
    <t>이＇른되</t>
  </si>
  <si>
    <t>칠씹뙤</t>
  </si>
  <si>
    <t>이른되</t>
  </si>
  <si>
    <t>21251-3</t>
  </si>
  <si>
    <t>일흔 말</t>
  </si>
  <si>
    <t>이＇른말</t>
  </si>
  <si>
    <t>일흔말</t>
  </si>
  <si>
    <t>칠씸말</t>
  </si>
  <si>
    <t>이른말</t>
  </si>
  <si>
    <t>여든</t>
  </si>
  <si>
    <t>여＇든</t>
  </si>
  <si>
    <t>팔씹</t>
  </si>
  <si>
    <t>21252-1</t>
  </si>
  <si>
    <t>여든 개</t>
  </si>
  <si>
    <t>여＇등개</t>
  </si>
  <si>
    <t>여등개</t>
  </si>
  <si>
    <t>팔씨깨</t>
  </si>
  <si>
    <t>21252-2</t>
  </si>
  <si>
    <t>여든 되</t>
  </si>
  <si>
    <t>여＇든되</t>
  </si>
  <si>
    <t>여든되</t>
  </si>
  <si>
    <t>팔씹뙤</t>
  </si>
  <si>
    <t>팔씹떼</t>
  </si>
  <si>
    <t>21252-3</t>
  </si>
  <si>
    <t>여든 말</t>
  </si>
  <si>
    <t>여＇든말</t>
  </si>
  <si>
    <t>여든말</t>
  </si>
  <si>
    <t>팔씸말</t>
  </si>
  <si>
    <t>아흔</t>
  </si>
  <si>
    <t>아＇흔</t>
  </si>
  <si>
    <t>구십</t>
  </si>
  <si>
    <t>구십/구시비라/아흔이라고도 하고</t>
  </si>
  <si>
    <t>21253-1</t>
  </si>
  <si>
    <t>아흔 개</t>
  </si>
  <si>
    <t>아＇흔개</t>
  </si>
  <si>
    <t>아흥개</t>
  </si>
  <si>
    <t>구식깨</t>
  </si>
  <si>
    <t>구시깨</t>
  </si>
  <si>
    <t>21253-2</t>
  </si>
  <si>
    <t>아흔 되</t>
  </si>
  <si>
    <t>아＇흔되</t>
  </si>
  <si>
    <t>아흔되</t>
  </si>
  <si>
    <t>구십뙤</t>
  </si>
  <si>
    <t>구십떼</t>
  </si>
  <si>
    <t>21253-3</t>
  </si>
  <si>
    <t>아흔 말</t>
  </si>
  <si>
    <t>아＇흔말</t>
  </si>
  <si>
    <t>아흔말</t>
  </si>
  <si>
    <t>구심말</t>
  </si>
  <si>
    <t>백</t>
  </si>
  <si>
    <t>그다음 백</t>
  </si>
  <si>
    <t>21254-1</t>
  </si>
  <si>
    <t>백 개</t>
  </si>
  <si>
    <t>백깨＇</t>
  </si>
  <si>
    <t>배깨</t>
  </si>
  <si>
    <t>백깨</t>
  </si>
  <si>
    <t>21254-2</t>
  </si>
  <si>
    <t>백 되</t>
  </si>
  <si>
    <t>백뙤＇</t>
  </si>
  <si>
    <t>백뙤라구</t>
  </si>
  <si>
    <t>백뙤</t>
  </si>
  <si>
    <t>백떼</t>
  </si>
  <si>
    <t>그다음 백뙤</t>
  </si>
  <si>
    <t>21254-3</t>
  </si>
  <si>
    <t>백 말</t>
  </si>
  <si>
    <t>뱅말＇</t>
  </si>
  <si>
    <t>뱅마리라</t>
  </si>
  <si>
    <t>뱅말</t>
  </si>
  <si>
    <t>이백</t>
  </si>
  <si>
    <t>이이＇백</t>
  </si>
  <si>
    <t>이:백</t>
  </si>
  <si>
    <t>한둘</t>
  </si>
  <si>
    <t>21256-1</t>
  </si>
  <si>
    <t>한두 개</t>
  </si>
  <si>
    <t>한＇두개</t>
  </si>
  <si>
    <t>한두개</t>
  </si>
  <si>
    <t>한두개가주 오나라 한두개</t>
  </si>
  <si>
    <t>한두개하머</t>
  </si>
  <si>
    <t>21256-2</t>
  </si>
  <si>
    <t>한두 되</t>
  </si>
  <si>
    <t>한＇두되</t>
  </si>
  <si>
    <t>한두되</t>
  </si>
  <si>
    <t>한두데</t>
  </si>
  <si>
    <t>21256-3</t>
  </si>
  <si>
    <t>한두 말</t>
  </si>
  <si>
    <t>한＇두말</t>
  </si>
  <si>
    <t>한두말</t>
  </si>
  <si>
    <t>한두마린지</t>
  </si>
  <si>
    <t>두셋</t>
  </si>
  <si>
    <t>21257-1</t>
  </si>
  <si>
    <t>두세 개</t>
  </si>
  <si>
    <t>두＇세개</t>
  </si>
  <si>
    <t>두세개</t>
  </si>
  <si>
    <t>두어개 가주와라/둬:개</t>
  </si>
  <si>
    <t>21257-2</t>
  </si>
  <si>
    <t>두세 되</t>
  </si>
  <si>
    <t>두＇세되</t>
  </si>
  <si>
    <t>두세되</t>
  </si>
  <si>
    <t>두세데</t>
  </si>
  <si>
    <t>두어데</t>
  </si>
  <si>
    <t>21257-3</t>
  </si>
  <si>
    <t>두세 말</t>
  </si>
  <si>
    <t>두서＇말</t>
  </si>
  <si>
    <t>두세말</t>
  </si>
  <si>
    <t>두서말</t>
  </si>
  <si>
    <t>두서넛</t>
  </si>
  <si>
    <t>21258-1</t>
  </si>
  <si>
    <t>두서너 개</t>
  </si>
  <si>
    <t>두서너＇개</t>
  </si>
  <si>
    <t>두서너개</t>
  </si>
  <si>
    <t>셰네개</t>
  </si>
  <si>
    <t>21258-2</t>
  </si>
  <si>
    <t>두서너 되</t>
  </si>
  <si>
    <t>두서너＇되</t>
  </si>
  <si>
    <t>두서너데</t>
  </si>
  <si>
    <t>세네되</t>
  </si>
  <si>
    <t>둬:서너데</t>
  </si>
  <si>
    <t>21258-3</t>
  </si>
  <si>
    <t>두서너 말</t>
  </si>
  <si>
    <t>두서너＇말</t>
  </si>
  <si>
    <t>두서너말</t>
  </si>
  <si>
    <t>서너말</t>
  </si>
  <si>
    <t>두서너마린데/두서너말</t>
  </si>
  <si>
    <t>서넛</t>
  </si>
  <si>
    <t>21259-1</t>
  </si>
  <si>
    <t>서너 개</t>
  </si>
  <si>
    <t>세＇네개</t>
  </si>
  <si>
    <t>서너개 가주 오너라 인제</t>
  </si>
  <si>
    <t>서너개가주 오나라/세네개</t>
  </si>
  <si>
    <t>서너개</t>
  </si>
  <si>
    <t>네다서깨</t>
  </si>
  <si>
    <t>서너개/세네개</t>
  </si>
  <si>
    <t>21259-2</t>
  </si>
  <si>
    <t>서너 되</t>
  </si>
  <si>
    <t>세＇네되</t>
  </si>
  <si>
    <t>서너개만 가주와/서너데야</t>
  </si>
  <si>
    <t>네다서뙤</t>
  </si>
  <si>
    <t>서너너더떼</t>
  </si>
  <si>
    <t>21259-3</t>
  </si>
  <si>
    <t>서너 말</t>
  </si>
  <si>
    <t>세＇네말</t>
  </si>
  <si>
    <t>너:말</t>
  </si>
  <si>
    <t>네댓</t>
  </si>
  <si>
    <t>네다섣</t>
  </si>
  <si>
    <t>21260-1</t>
  </si>
  <si>
    <t>네댓 개</t>
  </si>
  <si>
    <t>네다＇서깨</t>
  </si>
  <si>
    <t>너덛깨/네다서깨/네다서깨가주 오나라</t>
  </si>
  <si>
    <t>너더깨/네다서깨</t>
  </si>
  <si>
    <t>다서여서깨/대:여서깨</t>
  </si>
  <si>
    <t>너더깨</t>
  </si>
  <si>
    <t>21260-2</t>
  </si>
  <si>
    <t>네댓 되</t>
  </si>
  <si>
    <t>네다＇서뙤</t>
  </si>
  <si>
    <t>너더떼</t>
  </si>
  <si>
    <t>대:여뙤/다서여서뙤</t>
  </si>
  <si>
    <t>너더대:떼</t>
  </si>
  <si>
    <t>21260-3</t>
  </si>
  <si>
    <t>네댓 말</t>
  </si>
  <si>
    <t>네다＇선말</t>
  </si>
  <si>
    <t>네다섬말</t>
  </si>
  <si>
    <t>너덤말</t>
  </si>
  <si>
    <t>너던마린지</t>
  </si>
  <si>
    <t>대여섯</t>
  </si>
  <si>
    <t>21261-1</t>
  </si>
  <si>
    <t>대여섯 개</t>
  </si>
  <si>
    <t>대여＇서깨</t>
  </si>
  <si>
    <t>대여서깨가주 오나라/대:깨가주 오나라/한 대:깨</t>
  </si>
  <si>
    <t>대여서깨두</t>
  </si>
  <si>
    <t>여서일구깨</t>
  </si>
  <si>
    <t>대:깨/대여서깨</t>
  </si>
  <si>
    <t>21261-2</t>
  </si>
  <si>
    <t>대여섯 되</t>
  </si>
  <si>
    <t>대엳＇뙤/대여＇서뙤</t>
  </si>
  <si>
    <t>대여서뙤/대:뙤</t>
  </si>
  <si>
    <t>대여서떼</t>
  </si>
  <si>
    <t>여서일굽뙤/예일굽뙤</t>
  </si>
  <si>
    <t>여닐굽떼/대:여서떼</t>
  </si>
  <si>
    <t>21261-3</t>
  </si>
  <si>
    <t>대여섯 말</t>
  </si>
  <si>
    <t>대연＇말</t>
  </si>
  <si>
    <t>댄:말</t>
  </si>
  <si>
    <t>댐:말</t>
  </si>
  <si>
    <t>다서여섬말/대:염말</t>
  </si>
  <si>
    <t>대:연마리라그래/너더댄:말/너더댄:마린지</t>
  </si>
  <si>
    <t>예닐곱</t>
  </si>
  <si>
    <t>21262-1</t>
  </si>
  <si>
    <t>예닐곱 개</t>
  </si>
  <si>
    <t>여서일＇고깨/여일＇고깨</t>
  </si>
  <si>
    <t>여서일구깨가지구 예일구깨/예일구깨라 그래지 예일구깨/여서일구개</t>
  </si>
  <si>
    <t>여닐구깨</t>
  </si>
  <si>
    <t>일구여덜깨</t>
  </si>
  <si>
    <t>일구여덜깨/여닐구깨</t>
  </si>
  <si>
    <t>21262-2</t>
  </si>
  <si>
    <t>예닐곱 되</t>
  </si>
  <si>
    <t>여일＇곱뙤</t>
  </si>
  <si>
    <t>여니리굽떼</t>
  </si>
  <si>
    <t>일구여덜뙤</t>
  </si>
  <si>
    <t>21262-3</t>
  </si>
  <si>
    <t>예닐곱 말</t>
  </si>
  <si>
    <t>여일＇곰말</t>
  </si>
  <si>
    <t>여서일굼말</t>
  </si>
  <si>
    <t>여닐굼말</t>
  </si>
  <si>
    <t>예일굼말/여서일굼말</t>
  </si>
  <si>
    <t>일여덟</t>
  </si>
  <si>
    <t>일구여덜</t>
  </si>
  <si>
    <t>21263-1</t>
  </si>
  <si>
    <t>일여덟 개</t>
  </si>
  <si>
    <t>이려＇덜깨</t>
  </si>
  <si>
    <t>그 다으메 일구여덜깨가주 오나라</t>
  </si>
  <si>
    <t>여덜아호깨</t>
  </si>
  <si>
    <t>여더라호깨</t>
  </si>
  <si>
    <t>21263-2</t>
  </si>
  <si>
    <t>일여덟 되</t>
  </si>
  <si>
    <t>이려＇덜뙤/여나＇무되 남짇</t>
  </si>
  <si>
    <t>여덜아홉뙤</t>
  </si>
  <si>
    <t>일구여덜떼</t>
  </si>
  <si>
    <t>21263-3</t>
  </si>
  <si>
    <t>일여덟 말</t>
  </si>
  <si>
    <t>이려＇덜말</t>
  </si>
  <si>
    <t>일구여덜말</t>
  </si>
  <si>
    <t>이려덜말</t>
  </si>
  <si>
    <t>칠팔말/일고여덜말</t>
  </si>
  <si>
    <t>여덟아홉</t>
  </si>
  <si>
    <t>여더라호</t>
  </si>
  <si>
    <t>21264-1</t>
  </si>
  <si>
    <t>여덟아홉 개</t>
  </si>
  <si>
    <t>여덜깨아호깨는</t>
  </si>
  <si>
    <t>여닐구깨 가주와라</t>
  </si>
  <si>
    <t>21264-2</t>
  </si>
  <si>
    <t>여덟아홉 되</t>
  </si>
  <si>
    <t>여＇덜뙤나 아＇홉뙤</t>
  </si>
  <si>
    <t>여더라홉뙤</t>
  </si>
  <si>
    <t>여더라홉떼</t>
  </si>
  <si>
    <t>21264-3</t>
  </si>
  <si>
    <t>여덟아홉 말</t>
  </si>
  <si>
    <t>여덜말＇ 아＇홈말</t>
  </si>
  <si>
    <t>여덜아홈말</t>
  </si>
  <si>
    <t>여라옴말(+아홉말인지 열말인지 모를 때)</t>
  </si>
  <si>
    <t>여남은</t>
  </si>
  <si>
    <t>21265-1</t>
  </si>
  <si>
    <t>여남은 개</t>
  </si>
  <si>
    <t>여나＇무개</t>
  </si>
  <si>
    <t>한 여라무개</t>
  </si>
  <si>
    <t>여나무개 가주와라</t>
  </si>
  <si>
    <t>여나무개</t>
  </si>
  <si>
    <t>여라문개</t>
  </si>
  <si>
    <t>21265-2</t>
  </si>
  <si>
    <t>여남은 되</t>
  </si>
  <si>
    <t>여나＇무되</t>
  </si>
  <si>
    <t>여라무되 꼬가지머/한 여라무되/여라무되가주 오나라/한 여라무되먼 함마리거등</t>
  </si>
  <si>
    <t>여라문데</t>
  </si>
  <si>
    <t>여나무되</t>
  </si>
  <si>
    <t>여라문 되</t>
  </si>
  <si>
    <t>21265-3</t>
  </si>
  <si>
    <t>여남은 말</t>
  </si>
  <si>
    <t>여나＇무말</t>
  </si>
  <si>
    <t>여나무말</t>
  </si>
  <si>
    <t>여라문되</t>
  </si>
  <si>
    <t>치마</t>
  </si>
  <si>
    <t>치매＇</t>
  </si>
  <si>
    <t>치매가 여러가지지</t>
  </si>
  <si>
    <t>이건 치맨데</t>
  </si>
  <si>
    <t>치마라구</t>
  </si>
  <si>
    <t>치매/치매가 짜르다</t>
  </si>
  <si>
    <t>길이</t>
  </si>
  <si>
    <t>찌리＇기/찌럭＇찌(+신장)</t>
  </si>
  <si>
    <t>요건 기레기/지레기/치매기레기</t>
  </si>
  <si>
    <t>기리가 질:지/치매지레기라그래고</t>
  </si>
  <si>
    <t>기리</t>
  </si>
  <si>
    <t>치매 기리가 짜르다/지레기 이만하드라고</t>
  </si>
  <si>
    <t>치마 기리가 질:다</t>
  </si>
  <si>
    <t>저고리</t>
  </si>
  <si>
    <t>저구＇리</t>
  </si>
  <si>
    <t>조고리</t>
  </si>
  <si>
    <t>조고리라구</t>
  </si>
  <si>
    <t>저구리 저구리대로(+머)/우쩌고리/저고리</t>
  </si>
  <si>
    <t>색동저고리</t>
  </si>
  <si>
    <t>색똥＇저구리</t>
  </si>
  <si>
    <t>색똥조고리</t>
  </si>
  <si>
    <t>이건 섁똥저고리라 그래지</t>
  </si>
  <si>
    <t>꼬똥조고리</t>
  </si>
  <si>
    <t>색똥저고리라 하오?/서끈거 색똥저고리</t>
  </si>
  <si>
    <t>두렁이</t>
  </si>
  <si>
    <t>배두레~이라구</t>
  </si>
  <si>
    <t>투레~이</t>
  </si>
  <si>
    <t>두레~이라</t>
  </si>
  <si>
    <t>무늬</t>
  </si>
  <si>
    <t>무＇노</t>
  </si>
  <si>
    <t>무노지 무네/무노라 그래지</t>
  </si>
  <si>
    <t>무누라는게</t>
  </si>
  <si>
    <t>무니</t>
  </si>
  <si>
    <t>이:뿌게 무네를 넌는다</t>
  </si>
  <si>
    <t>무니가</t>
  </si>
  <si>
    <t>고쟁이</t>
  </si>
  <si>
    <t>고재＇~이</t>
  </si>
  <si>
    <t>고재~이라 그래능 거야</t>
  </si>
  <si>
    <t>고재~이</t>
  </si>
  <si>
    <t>고재~이/옌:나레 속:꼬시라고/속:꼬재~이/속:꼳</t>
  </si>
  <si>
    <t>고재~이랜거뚜 이꾸</t>
  </si>
  <si>
    <t>바지</t>
  </si>
  <si>
    <t>바＇지</t>
  </si>
  <si>
    <t>겨울게 임능 건 바지구 여르메 임능 건 중우구</t>
  </si>
  <si>
    <t>바지지</t>
  </si>
  <si>
    <t>바지라구</t>
  </si>
  <si>
    <t>바지르 이꼬/솜:바지</t>
  </si>
  <si>
    <t>두루마기</t>
  </si>
  <si>
    <t>두루매＇기</t>
  </si>
  <si>
    <t>두루매기/두루마기</t>
  </si>
  <si>
    <t>두루매기</t>
  </si>
  <si>
    <t>두루매기라고도</t>
  </si>
  <si>
    <t>두루마기/들매기 {두루마기}</t>
  </si>
  <si>
    <t>의복</t>
  </si>
  <si>
    <t>이＇복</t>
  </si>
  <si>
    <t>이보기 날개라구/이뵈기라고 그러자나</t>
  </si>
  <si>
    <t>의보기 뜨세서 조타</t>
  </si>
  <si>
    <t>이복</t>
  </si>
  <si>
    <t>으:보기라그래구(+점잖게 말을 할 때)</t>
  </si>
  <si>
    <t>구겨지다</t>
  </si>
  <si>
    <t>꾸센＇다 꾸센＇다고/꾸기＇이지 마라/꾸기＇이나 꾸기나 꾸세＇엔다</t>
  </si>
  <si>
    <t>꾸게징 거</t>
  </si>
  <si>
    <t>뀌게진다그래지/뀌게지능거</t>
  </si>
  <si>
    <t>꾸게지구</t>
  </si>
  <si>
    <t>꾸게진다고/꾸게지고</t>
  </si>
  <si>
    <t>옫 꾸게진다구</t>
  </si>
  <si>
    <t>옷고름</t>
  </si>
  <si>
    <t>고＇롬</t>
  </si>
  <si>
    <t>요건 오꼬름/이건 오꼬룸</t>
  </si>
  <si>
    <t>오꼬름/오꼬르미라 그래지/오꼬르믈 맨다 그래지</t>
  </si>
  <si>
    <t>오꼬룸</t>
  </si>
  <si>
    <t>오꼬롬</t>
  </si>
  <si>
    <t>오꾸름</t>
  </si>
  <si>
    <t>단추</t>
  </si>
  <si>
    <t>단추＇</t>
  </si>
  <si>
    <t>단추/단춘 단추지</t>
  </si>
  <si>
    <t>단추지 머</t>
  </si>
  <si>
    <t>동정</t>
  </si>
  <si>
    <t>동＇전</t>
  </si>
  <si>
    <t>동:장/하양 건 동장</t>
  </si>
  <si>
    <t>동종이라구</t>
  </si>
  <si>
    <t>동저니라고그래조</t>
  </si>
  <si>
    <t>동정/동종</t>
  </si>
  <si>
    <t>겉</t>
  </si>
  <si>
    <t>거＇치</t>
  </si>
  <si>
    <t>거죽/온 너 거주게 머이 무더따. {옷 너 거죽에 무엇이 묻었다}</t>
  </si>
  <si>
    <t>거치구</t>
  </si>
  <si>
    <t>거또 드:럽따/걷</t>
  </si>
  <si>
    <t>걷</t>
  </si>
  <si>
    <t>21315-0-1</t>
  </si>
  <si>
    <t>거＇테 삐저나와따＇</t>
  </si>
  <si>
    <t>거테 흥 무더따</t>
  </si>
  <si>
    <t>거테 머 무더따 그래지</t>
  </si>
  <si>
    <t>거테는</t>
  </si>
  <si>
    <t>거테</t>
  </si>
  <si>
    <t>거치조 머</t>
  </si>
  <si>
    <t>21315-0-2</t>
  </si>
  <si>
    <t>거＇틀</t>
  </si>
  <si>
    <t>거트루 나능 건</t>
  </si>
  <si>
    <t>거치랑 건</t>
  </si>
  <si>
    <t>거치나/*</t>
  </si>
  <si>
    <t>거치 드:럽따</t>
  </si>
  <si>
    <t>홑옷</t>
  </si>
  <si>
    <t>호껍떼＇기/호껍띠＇기</t>
  </si>
  <si>
    <t>호껍떼기옫</t>
  </si>
  <si>
    <t>호꺼푸리라그러고/호꺼풀</t>
  </si>
  <si>
    <t>호도시다</t>
  </si>
  <si>
    <t>호돋/혿옫</t>
  </si>
  <si>
    <t>외 외접/호껍떼기(+할머니)</t>
  </si>
  <si>
    <t>겹옷</t>
  </si>
  <si>
    <t>오스＇로 치먼 접옫＇ 저업＇</t>
  </si>
  <si>
    <t>저부티</t>
  </si>
  <si>
    <t>저보시라그래지/저보시구/저볻</t>
  </si>
  <si>
    <t>저보시다</t>
  </si>
  <si>
    <t>저볻</t>
  </si>
  <si>
    <t>저보시/갈:게 임능거는 저보시고</t>
  </si>
  <si>
    <t>잠방이</t>
  </si>
  <si>
    <t>곰방중＇애</t>
  </si>
  <si>
    <t>잠배~이/잠배~이바지</t>
  </si>
  <si>
    <t>곰방바지/곰방바지라그래지</t>
  </si>
  <si>
    <t>중바지라구래/반:중우</t>
  </si>
  <si>
    <t>곰방중우</t>
  </si>
  <si>
    <t>중이(+＇잠방이＇를 이름)/반:중우적삼</t>
  </si>
  <si>
    <t>누더기</t>
  </si>
  <si>
    <t>투디＇기</t>
  </si>
  <si>
    <t>누데기</t>
  </si>
  <si>
    <t>누데기를</t>
  </si>
  <si>
    <t>누데기누데기</t>
  </si>
  <si>
    <t>누데기오시라고</t>
  </si>
  <si>
    <t>누더고시라그래지요 누더곧</t>
  </si>
  <si>
    <t>거지</t>
  </si>
  <si>
    <t>거러＇지(+구)/걸비~이가 껄비＇~이(+구)/거어＇지(+신)</t>
  </si>
  <si>
    <t>구걸 구걸해러 댕긴다/그:지라 그래구</t>
  </si>
  <si>
    <t>거:지/거래~이라구두/거러지라구두 하구</t>
  </si>
  <si>
    <t>그:지지</t>
  </si>
  <si>
    <t>거러지</t>
  </si>
  <si>
    <t>거:지덜</t>
  </si>
  <si>
    <t>구걸</t>
  </si>
  <si>
    <t>구＇걸</t>
  </si>
  <si>
    <t>동:냥</t>
  </si>
  <si>
    <t>구거를 하지</t>
  </si>
  <si>
    <t>구걸/쪽빠가지들고 구걸한다</t>
  </si>
  <si>
    <t>구걸헌다구</t>
  </si>
  <si>
    <t>조끼</t>
  </si>
  <si>
    <t>쪼＇깨</t>
  </si>
  <si>
    <t>죄끼잉가/쬐끼</t>
  </si>
  <si>
    <t>쪼끼</t>
  </si>
  <si>
    <t>죄끼</t>
  </si>
  <si>
    <t>내의</t>
  </si>
  <si>
    <t>내애＇보기라 아나＇고</t>
  </si>
  <si>
    <t>내:보기나 똑또기 인나 머/송:내이라구두 해구</t>
  </si>
  <si>
    <t>내:복</t>
  </si>
  <si>
    <t>송:내이</t>
  </si>
  <si>
    <t>내:이/내:복</t>
  </si>
  <si>
    <t>껴입다</t>
  </si>
  <si>
    <t>쩌 이＇바라</t>
  </si>
  <si>
    <t>쩌이버따</t>
  </si>
  <si>
    <t>쩌이버라/더쩌이브랑게 {더 껴입입으란 것이}</t>
  </si>
  <si>
    <t>쩌이께/쩌이부니깐/쩌이버따</t>
  </si>
  <si>
    <t>쩌임는다</t>
  </si>
  <si>
    <t>쩌이버라/쩌이부라구</t>
  </si>
  <si>
    <t>소매</t>
  </si>
  <si>
    <t>소매＇</t>
  </si>
  <si>
    <t>팔쏘매 부틍 거</t>
  </si>
  <si>
    <t>반:소매/소매진오슬 달라그래고 {소매 긴 옷을 달라고 그러고}</t>
  </si>
  <si>
    <t>오쏘매</t>
  </si>
  <si>
    <t>소매/소매가 질:다</t>
  </si>
  <si>
    <t>서매 서매라그래요</t>
  </si>
  <si>
    <t>주머니</t>
  </si>
  <si>
    <t>주머＇~이 머/주미＇~이</t>
  </si>
  <si>
    <t>주머~이/주머~이라 그래/주머~이여</t>
  </si>
  <si>
    <t>아래빠지 주머니/이게 주머~이라 그래지</t>
  </si>
  <si>
    <t>그건 주머니</t>
  </si>
  <si>
    <t>주머~이</t>
  </si>
  <si>
    <t>호주머니</t>
  </si>
  <si>
    <t>개쭈머＇~이(+구)/호주머＇~이(+신)/개쭈미＇~이(+구)</t>
  </si>
  <si>
    <t>호주머~이</t>
  </si>
  <si>
    <t>속:쭈머니</t>
  </si>
  <si>
    <t>호주메~이</t>
  </si>
  <si>
    <t>호주머~이/속:호주머~이</t>
  </si>
  <si>
    <t>허리띠</t>
  </si>
  <si>
    <t>헐＇뚜</t>
  </si>
  <si>
    <t>석때자너</t>
  </si>
  <si>
    <t>허리띠/옌:나레도 허리띠여</t>
  </si>
  <si>
    <t>허리띠/허리빠가 허리띠라구</t>
  </si>
  <si>
    <t>허르띠/흥:겁허르띠</t>
  </si>
  <si>
    <t>댕기</t>
  </si>
  <si>
    <t>댕＇기</t>
  </si>
  <si>
    <t>댕기야</t>
  </si>
  <si>
    <t>도포</t>
  </si>
  <si>
    <t>도오＇포</t>
  </si>
  <si>
    <t>도:포</t>
  </si>
  <si>
    <t>도:포가 이꼬</t>
  </si>
  <si>
    <t>도:포야</t>
  </si>
  <si>
    <t>도:포/도:포는</t>
  </si>
  <si>
    <t>삿갓</t>
  </si>
  <si>
    <t>새＇깓</t>
  </si>
  <si>
    <t>새:깓</t>
  </si>
  <si>
    <t>새깓</t>
  </si>
  <si>
    <t>사깓</t>
  </si>
  <si>
    <t>사깓/갇:</t>
  </si>
  <si>
    <t>21331-0-1</t>
  </si>
  <si>
    <t>새＇까시 참</t>
  </si>
  <si>
    <t>새까신데</t>
  </si>
  <si>
    <t>새까시라고 이게</t>
  </si>
  <si>
    <t>사까시라그래는데</t>
  </si>
  <si>
    <t>사까시 크다</t>
  </si>
  <si>
    <t>고깔</t>
  </si>
  <si>
    <t>꼬＇깔</t>
  </si>
  <si>
    <t>꼬깔</t>
  </si>
  <si>
    <t>꼬까르 씨구서/이기 꼬까리 아녀</t>
  </si>
  <si>
    <t>무당드른 대:개 꼬깔써따구</t>
  </si>
  <si>
    <t>사모</t>
  </si>
  <si>
    <t>사아＇모관대</t>
  </si>
  <si>
    <t>사모풍대 씨구/사:모풍대니까는/사:모풍대라 그래지</t>
  </si>
  <si>
    <t>사:모관대/사:모관댈 쓰지</t>
  </si>
  <si>
    <t>사:무관대라</t>
  </si>
  <si>
    <t>사:무관대</t>
  </si>
  <si>
    <t>사:모풍대</t>
  </si>
  <si>
    <t>유건</t>
  </si>
  <si>
    <t>유건＇</t>
  </si>
  <si>
    <t>탕:과니라구래지/탕관</t>
  </si>
  <si>
    <t>그건 거니야 건</t>
  </si>
  <si>
    <t>유워니라그래</t>
  </si>
  <si>
    <t>거니라그래요</t>
  </si>
  <si>
    <t>대님</t>
  </si>
  <si>
    <t>바때＇~이</t>
  </si>
  <si>
    <t>댄:님</t>
  </si>
  <si>
    <t>대름 맨다구래</t>
  </si>
  <si>
    <t>댄님</t>
  </si>
  <si>
    <t>감발</t>
  </si>
  <si>
    <t>가암＇바리 마안＇타/가암＇발</t>
  </si>
  <si>
    <t>감:발</t>
  </si>
  <si>
    <t>감:바리여 감:발</t>
  </si>
  <si>
    <t>짚신</t>
  </si>
  <si>
    <t>집씬＇ 말고는/집쎄＇기</t>
  </si>
  <si>
    <t>집쎄기/집시늘 시너야지</t>
  </si>
  <si>
    <t>집씬보덩도 낭:거/집쎄기(+구)/집씬(+신)</t>
  </si>
  <si>
    <t>지푸루 사머따구 집쎄기</t>
  </si>
  <si>
    <t>집씨니야/순지푸로 가지고 인제 시느 사므 집씨니고</t>
  </si>
  <si>
    <t>집쎄기/집씬또/집씨늘</t>
  </si>
  <si>
    <t>미투리</t>
  </si>
  <si>
    <t>참신＇/미이＇트리라고하지 미이＇틀</t>
  </si>
  <si>
    <t>미:투린 사무로 해는데/미:투리 인:날 미:투리 {미투리 옛날 미투리}</t>
  </si>
  <si>
    <t>미투리두 심바리니가</t>
  </si>
  <si>
    <t>그건 미:투리라구</t>
  </si>
  <si>
    <t>참시느 잘 사마노:먼/참신</t>
  </si>
  <si>
    <t>여서빠른 미트리라 그래요</t>
  </si>
  <si>
    <t>21338-1</t>
  </si>
  <si>
    <t>(짚신을) 삼다/만들다/트다/겯다</t>
  </si>
  <si>
    <t>집씨를 사암＇는다</t>
  </si>
  <si>
    <t>신 삼는다/집씨늘 사머야지</t>
  </si>
  <si>
    <t>집씨늘 삼:는다 그래고</t>
  </si>
  <si>
    <t>집쎄기 삼넌다</t>
  </si>
  <si>
    <t>삼:는다</t>
  </si>
  <si>
    <t>집씬삼는다구</t>
  </si>
  <si>
    <t>나막신</t>
  </si>
  <si>
    <t>나막＇씬</t>
  </si>
  <si>
    <t>나막씬</t>
  </si>
  <si>
    <t>설피(雪皮)</t>
  </si>
  <si>
    <t>살＇피</t>
  </si>
  <si>
    <t>설기래 설기(+?제, 텔레비전을 통해서 알았다고 함)</t>
  </si>
  <si>
    <t>살피(+소, 이렇게 하기도 한지만, ＇설피＇가 맞는 말이라고 함)/설피라고/난 설피가 마저(+다)</t>
  </si>
  <si>
    <t>살피</t>
  </si>
  <si>
    <t>설피</t>
  </si>
  <si>
    <t>명주</t>
  </si>
  <si>
    <t>멩지＇</t>
  </si>
  <si>
    <t>명지/멩진지/명:주/그냥 멩지라 그러던데</t>
  </si>
  <si>
    <t>명:지/멩지 짜네 멩지</t>
  </si>
  <si>
    <t>멩지 멩지짠다고(+머)/명주</t>
  </si>
  <si>
    <t>21401-1</t>
  </si>
  <si>
    <t>명주실</t>
  </si>
  <si>
    <t>멩주＇실(+신)/멩지＇실(+구)</t>
  </si>
  <si>
    <t>명지시리라</t>
  </si>
  <si>
    <t>명:실(+머)/*/명실</t>
  </si>
  <si>
    <t>목화</t>
  </si>
  <si>
    <t>모캐＇</t>
  </si>
  <si>
    <t>모콰를 시머따</t>
  </si>
  <si>
    <t>모콰/모콰가 만:치</t>
  </si>
  <si>
    <t>모콰라구 모카</t>
  </si>
  <si>
    <t>모콰/모카시:르 가따가(+머)/모콰가떠가</t>
  </si>
  <si>
    <t>모카</t>
  </si>
  <si>
    <t>21402-1</t>
  </si>
  <si>
    <t>목화다래</t>
  </si>
  <si>
    <t>모캐따래＇</t>
  </si>
  <si>
    <t>모카소~이</t>
  </si>
  <si>
    <t>다래가 달려</t>
  </si>
  <si>
    <t>모캐다래</t>
  </si>
  <si>
    <t>무명</t>
  </si>
  <si>
    <t>미영＇</t>
  </si>
  <si>
    <t>명:</t>
  </si>
  <si>
    <t>미영/미여~지 미여~이라고 마:~이/무명</t>
  </si>
  <si>
    <t>명:이라구랜다구</t>
  </si>
  <si>
    <t>미여~이 왜 이짜누?(+머)</t>
  </si>
  <si>
    <t>미영</t>
  </si>
  <si>
    <t>21403-1</t>
  </si>
  <si>
    <t>무명실</t>
  </si>
  <si>
    <t>미영＇ 실:</t>
  </si>
  <si>
    <t>무명시리라고 하지/미영실</t>
  </si>
  <si>
    <t>명:시리라 그래지</t>
  </si>
  <si>
    <t>미영시리라(+머)</t>
  </si>
  <si>
    <t>미영실</t>
  </si>
  <si>
    <t>씨아</t>
  </si>
  <si>
    <t>쏘ㅐ애＇기(+목화씨를 빼는 기계)</t>
  </si>
  <si>
    <t>씨아에다/썌:/썌:에다 드러가야</t>
  </si>
  <si>
    <t>씨애라능게/이게 씨애</t>
  </si>
  <si>
    <t>씨애라고 이써요/이건 썌:</t>
  </si>
  <si>
    <t>쌔:</t>
  </si>
  <si>
    <t>자새</t>
  </si>
  <si>
    <t>자새＇</t>
  </si>
  <si>
    <t>자새/자:새는 명지 케능 게 자새지</t>
  </si>
  <si>
    <t>자새가 마저</t>
  </si>
  <si>
    <t>자새랭게 {자새란 것이}/돌:겯</t>
  </si>
  <si>
    <t>자:새라고도/명지자새르</t>
  </si>
  <si>
    <t>자:새자:새라그래요</t>
  </si>
  <si>
    <t>물레</t>
  </si>
  <si>
    <t>무울＇래</t>
  </si>
  <si>
    <t>물:레</t>
  </si>
  <si>
    <t>물:레구</t>
  </si>
  <si>
    <t>물:레/이건 물:레/이건 물:레야</t>
  </si>
  <si>
    <t>물:레/물:레라구래지</t>
  </si>
  <si>
    <t>베</t>
  </si>
  <si>
    <t>베르＇ 짠다/삼베＇</t>
  </si>
  <si>
    <t>베:가/베 짠다 그래지/삼베로 해기 때메 몰:러 우떠케 하는지 나는</t>
  </si>
  <si>
    <t>베 짠다그래고/베가 널따/베가주고/베는/베를 짠다</t>
  </si>
  <si>
    <t>베, 베라구</t>
  </si>
  <si>
    <t>그게 베는 아니고</t>
  </si>
  <si>
    <t>벼짠다 벼</t>
  </si>
  <si>
    <t>길쌈</t>
  </si>
  <si>
    <t>질싸＇므느 삼베＇만 가주고 하능 거 질싸＇미라 함미다</t>
  </si>
  <si>
    <t>질쌈해구</t>
  </si>
  <si>
    <t>질쌈/질싸미라구래지</t>
  </si>
  <si>
    <t>질싸므 질싸미라(+머)/질싸미라 그랜다구</t>
  </si>
  <si>
    <t>질쌈</t>
  </si>
  <si>
    <t>골무</t>
  </si>
  <si>
    <t>골미＇(+구)/골무(+신)</t>
  </si>
  <si>
    <t>골미</t>
  </si>
  <si>
    <t>골미두 이꾸/골미가 마저/부:전/부:저니여 {골무}/골미라구두 해</t>
  </si>
  <si>
    <t>골미야</t>
  </si>
  <si>
    <t>반짇고리</t>
  </si>
  <si>
    <t>반지끄＇륵(+구)/바느＇질끌시(+신)</t>
  </si>
  <si>
    <t>도방구리/반:지끄르기라구두 해구</t>
  </si>
  <si>
    <t>반지끄르시라/반지끄륻/잘 모름</t>
  </si>
  <si>
    <t>반지끄륵</t>
  </si>
  <si>
    <t>반지끄륻/반지끄르또/반지끄륵/가새르 반지끄레 조너:라/반지끌</t>
  </si>
  <si>
    <t>반지끄르시라그래요</t>
  </si>
  <si>
    <t>가위</t>
  </si>
  <si>
    <t>까＇깨/까＇깨가 참 잘든다</t>
  </si>
  <si>
    <t>가새</t>
  </si>
  <si>
    <t>짤르능건 가새/근 가새지</t>
  </si>
  <si>
    <t>가이가주 와서/가새</t>
  </si>
  <si>
    <t>21411-0-1</t>
  </si>
  <si>
    <t>까＇깨르 가주오나＇라</t>
  </si>
  <si>
    <t>가새가 만타</t>
  </si>
  <si>
    <t>가새르 가주</t>
  </si>
  <si>
    <t>가새 빨리 가주와</t>
  </si>
  <si>
    <t>21411-0-2</t>
  </si>
  <si>
    <t>까＇깨애 노기＇ 씨라따</t>
  </si>
  <si>
    <t>가새루다가</t>
  </si>
  <si>
    <t>가:새고</t>
  </si>
  <si>
    <t>가새가</t>
  </si>
  <si>
    <t>마르다(裁)</t>
  </si>
  <si>
    <t>마른＇다 이래지요</t>
  </si>
  <si>
    <t>말른다</t>
  </si>
  <si>
    <t>오까믈 마른다</t>
  </si>
  <si>
    <t>처:늘 만다</t>
  </si>
  <si>
    <t>마른다그래지요</t>
  </si>
  <si>
    <t>21412-0-1</t>
  </si>
  <si>
    <t>그럼 말르라구</t>
  </si>
  <si>
    <t>마르라구</t>
  </si>
  <si>
    <t>버선버늘 마춰가주 마른다(+머)/잘 마르구/말기도 한다(+머)</t>
  </si>
  <si>
    <t>마르믄</t>
  </si>
  <si>
    <t>21412-0-2</t>
  </si>
  <si>
    <t>말＇라사</t>
  </si>
  <si>
    <t>잘 말라라</t>
  </si>
  <si>
    <t>말러야 되자너/이오까믈 말러야 되거따</t>
  </si>
  <si>
    <t>말러야</t>
  </si>
  <si>
    <t>말러따 이래 {옷감을 말랐다}/마러 베:가주(+머)}</t>
  </si>
  <si>
    <t>처늘 말러가주</t>
  </si>
  <si>
    <t>헝겊</t>
  </si>
  <si>
    <t>흥그＇비 마안＇타/흥그＇피 마안＇타/흥급＇/흥그＇피 아니고</t>
  </si>
  <si>
    <t>흥:겁쪼가리/흥겁떼기</t>
  </si>
  <si>
    <t>흥:겁</t>
  </si>
  <si>
    <t>헝:겁(+머)</t>
  </si>
  <si>
    <t>헝겁/헝:겁쪼가리</t>
  </si>
  <si>
    <t>21413-0-1</t>
  </si>
  <si>
    <t>흥그＇브 가주 오나라</t>
  </si>
  <si>
    <t>흥:거프루 대야지 그거 되지</t>
  </si>
  <si>
    <t>흥거플/흥거블 부처서</t>
  </si>
  <si>
    <t>흥:거피야</t>
  </si>
  <si>
    <t>헝:거플 대고 누빈다/헝거푸 대:고</t>
  </si>
  <si>
    <t>헝:거플대고 지어라</t>
  </si>
  <si>
    <t>21413-0-2</t>
  </si>
  <si>
    <t>그그느 흥그＇패 시이＇리 부타따고/흥그＇배</t>
  </si>
  <si>
    <t>헝거푸로/흥:거푸루</t>
  </si>
  <si>
    <t>헝:거페 무더따</t>
  </si>
  <si>
    <t>헝:거피 웁:따</t>
  </si>
  <si>
    <t>바늘</t>
  </si>
  <si>
    <t>바＇늘</t>
  </si>
  <si>
    <t>바눌/바누라고</t>
  </si>
  <si>
    <t>바늘루/바느리꾸/바느레다</t>
  </si>
  <si>
    <t>바누레</t>
  </si>
  <si>
    <t>바눌로</t>
  </si>
  <si>
    <t>바날 바눌(+다)</t>
  </si>
  <si>
    <t>꿰다</t>
  </si>
  <si>
    <t>뀐:다 그래지</t>
  </si>
  <si>
    <t>뀐다</t>
  </si>
  <si>
    <t>뀌맨다</t>
  </si>
  <si>
    <t>뀐다그래지요/잘뀐다</t>
  </si>
  <si>
    <t>21415-0-1</t>
  </si>
  <si>
    <t>뀌인＇다</t>
  </si>
  <si>
    <t>늘그니 잘몯 뀌자너 어두워서</t>
  </si>
  <si>
    <t>시:른 바느레다 뀌:지</t>
  </si>
  <si>
    <t>뀐:다구/뀌매능거야</t>
  </si>
  <si>
    <t>바늘꾸머에다 뀐:다</t>
  </si>
  <si>
    <t>바눌귀 뀐다구</t>
  </si>
  <si>
    <t>21415-0-2</t>
  </si>
  <si>
    <t>빨＇리 꿰＇에라</t>
  </si>
  <si>
    <t>가라글 꿰:노쿠 인제/꾸ㅕ:야지 {꿰야지}</t>
  </si>
  <si>
    <t>뀌:야 인제</t>
  </si>
  <si>
    <t>꾸ㅕ:가주구</t>
  </si>
  <si>
    <t>꿰:서</t>
  </si>
  <si>
    <t>꾸ㅕ:다과/꿰:다과 시:를</t>
  </si>
  <si>
    <t>바느질</t>
  </si>
  <si>
    <t>바느＇질</t>
  </si>
  <si>
    <t>바누질핸다구</t>
  </si>
  <si>
    <t>뀌가주구 바누질한다</t>
  </si>
  <si>
    <t>바누질</t>
  </si>
  <si>
    <t>바누질한다고</t>
  </si>
  <si>
    <t>재봉틀</t>
  </si>
  <si>
    <t>자봉＇틀</t>
  </si>
  <si>
    <t>자방트레서</t>
  </si>
  <si>
    <t>자방으루 박찌/자바~에다가</t>
  </si>
  <si>
    <t>자:방</t>
  </si>
  <si>
    <t>자방</t>
  </si>
  <si>
    <t>재방트리라 그래</t>
  </si>
  <si>
    <t>끈</t>
  </si>
  <si>
    <t>끈타불＇/끄내＇기</t>
  </si>
  <si>
    <t>끄내기로 뭉는다가 원칙/내끈/내끄느로 뭉는다/끄내기지</t>
  </si>
  <si>
    <t>끄나푸리라구래지</t>
  </si>
  <si>
    <t>바쭐/끄니지요./끄느루 무끄라구</t>
  </si>
  <si>
    <t>노끈</t>
  </si>
  <si>
    <t>소늘＇가지비비＇베서 꾸능거시 노끄＇님미다/노끈＇</t>
  </si>
  <si>
    <t>노내끈/노나끈</t>
  </si>
  <si>
    <t>노끄니 아~이나/노끈</t>
  </si>
  <si>
    <t>노, 노라구/노:야 노끈</t>
  </si>
  <si>
    <t>참바</t>
  </si>
  <si>
    <t>바아르＇ 만드＇라 바아르＇ 만든＇다/바:로＇ 맨＇다/참＇바쭈리라그래요/바아＇</t>
  </si>
  <si>
    <t>소 바/쇠발 꺼여 쇠바</t>
  </si>
  <si>
    <t>바쭐/바쭈리나 그런게지</t>
  </si>
  <si>
    <t>조라기야요(+삼 껍질로 만듦)/동애주린데</t>
  </si>
  <si>
    <t>바쭐</t>
  </si>
  <si>
    <t>매듭</t>
  </si>
  <si>
    <t>매두＇</t>
  </si>
  <si>
    <t>매디/소발 모두가 사오자너</t>
  </si>
  <si>
    <t>매디</t>
  </si>
  <si>
    <t>함매디 두매디/매디라구래</t>
  </si>
  <si>
    <t>매두/매두가 생긴다</t>
  </si>
  <si>
    <t>매드블 진:는다</t>
  </si>
  <si>
    <t>21421-1</t>
  </si>
  <si>
    <t>(매듭을) 맺다/짓다/엮다/묶다</t>
  </si>
  <si>
    <t>매두＇를 매＇애라 매두＇를 매＇저라/망무＇꺼 매＇애라/맨＇다/매둘＇ 매＇애야 된다</t>
  </si>
  <si>
    <t>만든다 그래(매둥가리를 만든다}</t>
  </si>
  <si>
    <t>도~여맨다도 하지/매디를 뭉는다</t>
  </si>
  <si>
    <t>매딜 진다</t>
  </si>
  <si>
    <t>맨는다구래지</t>
  </si>
  <si>
    <t>매듭쩨:서/매드블 진:는다그래지</t>
  </si>
  <si>
    <t>보자기</t>
  </si>
  <si>
    <t>보자＇/밥뽀자＇</t>
  </si>
  <si>
    <t>모재비여 모재비/매둥가리지/모재비에다 이러케 해서 싸지</t>
  </si>
  <si>
    <t>보</t>
  </si>
  <si>
    <t>보재기라/보재기라구</t>
  </si>
  <si>
    <t>밥뽀재기/보재기라고/보라고</t>
  </si>
  <si>
    <t>보재기다 싸서/기낭 보재긴데</t>
  </si>
  <si>
    <t>이불</t>
  </si>
  <si>
    <t>이＇울/이＇불(+구)/이＇울가주 오나라 이울(+신)</t>
  </si>
  <si>
    <t>이불 더꼬 자지</t>
  </si>
  <si>
    <t>기냥 이부리라 그래요/저부루 됭거 기냥 이부리라 그래요</t>
  </si>
  <si>
    <t>솜</t>
  </si>
  <si>
    <t>소개＇</t>
  </si>
  <si>
    <t>솜트레다 트르먼 소:미 되지 {솜틀에다 틀면 솜이 되지}/솜:/소:믈 놔서</t>
  </si>
  <si>
    <t>소:무로/솜:</t>
  </si>
  <si>
    <t>소:미야</t>
  </si>
  <si>
    <t>솜:농건/소:무로 만든 모콰</t>
  </si>
  <si>
    <t>소:미요 솜:</t>
  </si>
  <si>
    <t>포근하다</t>
  </si>
  <si>
    <t>포근하다 21426 혼니＇울/푸근::하＇다</t>
  </si>
  <si>
    <t>포근::행게 조:타 이래지</t>
  </si>
  <si>
    <t>포근하다/포그내서 자미 자론다</t>
  </si>
  <si>
    <t>포근해다</t>
  </si>
  <si>
    <t>따시다구두 허구/포근:허다/포근허다는 사람도 이꾸/포그나다(+할머니)</t>
  </si>
  <si>
    <t>홑이불</t>
  </si>
  <si>
    <t>호분 이＇울</t>
  </si>
  <si>
    <t>혼니부리라구래지</t>
  </si>
  <si>
    <t>혼니불로</t>
  </si>
  <si>
    <t>혼니부리라</t>
  </si>
  <si>
    <t>혼니부리고/혼니불(+머)</t>
  </si>
  <si>
    <t>호디불</t>
  </si>
  <si>
    <t>겹이불</t>
  </si>
  <si>
    <t>점니＇울</t>
  </si>
  <si>
    <t>점니부리/점니불</t>
  </si>
  <si>
    <t>점니부리게찌 점니불</t>
  </si>
  <si>
    <t>점니불/점니부를/혼니불</t>
  </si>
  <si>
    <t>겹 이부른/전니부리야(+머)</t>
  </si>
  <si>
    <t>저부루 됭거 기냥 이부리라 그래요</t>
  </si>
  <si>
    <t>21427-1</t>
  </si>
  <si>
    <t>솜이불</t>
  </si>
  <si>
    <t>소개이＇우리 제에＇이리대이. {솜이불이 제일이다.}/소개＇이울</t>
  </si>
  <si>
    <t>솜 이불 킁 거</t>
  </si>
  <si>
    <t>솜:이불/솜:니불</t>
  </si>
  <si>
    <t>솜:니불</t>
  </si>
  <si>
    <t>아 솜:이부리 뜨시다/겨울게 임는건 솜:니부리요.</t>
  </si>
  <si>
    <t>누비이불</t>
  </si>
  <si>
    <t>누＇비이불</t>
  </si>
  <si>
    <t>뉘비이불</t>
  </si>
  <si>
    <t>뉘비이부리라 그래지</t>
  </si>
  <si>
    <t>누빈니불</t>
  </si>
  <si>
    <t>누비이부리라고</t>
  </si>
  <si>
    <t>누비이불(+할머니)</t>
  </si>
  <si>
    <t>베개</t>
  </si>
  <si>
    <t>몽칭＇기#/비＇개</t>
  </si>
  <si>
    <t>베개/베:개</t>
  </si>
  <si>
    <t>비:개/이건 베:개</t>
  </si>
  <si>
    <t>비개/비:개</t>
  </si>
  <si>
    <t>비개</t>
  </si>
  <si>
    <t>베:개</t>
  </si>
  <si>
    <t>베갯잇</t>
  </si>
  <si>
    <t>비＇개호처＇~이라고/베갠닌 마＇제요 베갠닏/베개호천＇/비＇개호천</t>
  </si>
  <si>
    <t>베갠니치라구래지/베갠니끼라 그래</t>
  </si>
  <si>
    <t>비:개싸개</t>
  </si>
  <si>
    <t>베개껍떼기</t>
  </si>
  <si>
    <t>베개껍찌</t>
  </si>
  <si>
    <t>베:개이끼</t>
  </si>
  <si>
    <t>21430-0-1</t>
  </si>
  <si>
    <t>베갠닌 마＇제요 베갠닏</t>
  </si>
  <si>
    <t>비:개싸개래요 이래고 그래구</t>
  </si>
  <si>
    <t>베개껍찌아니야</t>
  </si>
  <si>
    <t>베:개이까라구</t>
  </si>
  <si>
    <t>목침</t>
  </si>
  <si>
    <t>몽칭기</t>
  </si>
  <si>
    <t>목침 목침</t>
  </si>
  <si>
    <t>목치미/목치미가 만:타/목치미라고 하지</t>
  </si>
  <si>
    <t>비능건 목치미구/목침</t>
  </si>
  <si>
    <t>모치미래고</t>
  </si>
  <si>
    <t>퇴침</t>
  </si>
  <si>
    <t>퇴외＇치미는/퇴외＇치미#</t>
  </si>
  <si>
    <t>퇴:치민데</t>
  </si>
  <si>
    <t>퇴치미/테치미/퇴치미가 만:타</t>
  </si>
  <si>
    <t>퇴:침/테치믄</t>
  </si>
  <si>
    <t>퇴:침/퇴:치미라구</t>
  </si>
  <si>
    <t>퇴:침/퇴:치믄</t>
  </si>
  <si>
    <t>방석</t>
  </si>
  <si>
    <t>자부＇동(+구)/게 요새 마알로 방석＇(+신)</t>
  </si>
  <si>
    <t>자부도~이라고두 하구</t>
  </si>
  <si>
    <t>자부도~이야</t>
  </si>
  <si>
    <t>자부동(+신)/방서기라고(+구)</t>
  </si>
  <si>
    <t>담요</t>
  </si>
  <si>
    <t>다암＇뇨</t>
  </si>
  <si>
    <t>담:뇨두 이꾸</t>
  </si>
  <si>
    <t>담:뇨/담:뇨가 드러가지</t>
  </si>
  <si>
    <t>담:뇨도</t>
  </si>
  <si>
    <t>담:뇨</t>
  </si>
  <si>
    <t>담:뇨가 이따구(+할머니)/요깔개</t>
  </si>
  <si>
    <t>빨래하다</t>
  </si>
  <si>
    <t>빨래＇하그르/어 빨래한다＇ 오느른 오슬 다:: 버사 나＇아라</t>
  </si>
  <si>
    <t>빨래핸다기두 해구</t>
  </si>
  <si>
    <t>빨래한다 그래지/빨래해:라/빨래하능걸가꾸/빨래하지</t>
  </si>
  <si>
    <t>빨래핸다</t>
  </si>
  <si>
    <t>빨래한다고</t>
  </si>
  <si>
    <t>빨래해라/빨래한다그래지요</t>
  </si>
  <si>
    <t>빨랫방망이</t>
  </si>
  <si>
    <t>빨래＇ 방미＇~이/빨래빵메~이</t>
  </si>
  <si>
    <t>빨래빵매~이</t>
  </si>
  <si>
    <t>빨래빵매~이라구래</t>
  </si>
  <si>
    <t>빨래방매~이</t>
  </si>
  <si>
    <t>빨래터</t>
  </si>
  <si>
    <t>빨래＇터</t>
  </si>
  <si>
    <t>빨래터 이써</t>
  </si>
  <si>
    <t>빨래터라구</t>
  </si>
  <si>
    <t>빨랫줄</t>
  </si>
  <si>
    <t>빨래＇쭈레 너＇라라</t>
  </si>
  <si>
    <t>빨래쭐</t>
  </si>
  <si>
    <t>빨래 줄</t>
  </si>
  <si>
    <t>빨래쭈를 매야지요</t>
  </si>
  <si>
    <t>다리미</t>
  </si>
  <si>
    <t>대레＇비로 대＇린다/대래＇비</t>
  </si>
  <si>
    <t>대리미가 인제</t>
  </si>
  <si>
    <t>대리미</t>
  </si>
  <si>
    <t>대리비</t>
  </si>
  <si>
    <t>21439-1</t>
  </si>
  <si>
    <t>다림질</t>
  </si>
  <si>
    <t>대래＇비질</t>
  </si>
  <si>
    <t>다리미질 핸다</t>
  </si>
  <si>
    <t>대리미질</t>
  </si>
  <si>
    <t>대리미질핸다</t>
  </si>
  <si>
    <t>다림질한다</t>
  </si>
  <si>
    <t>인두</t>
  </si>
  <si>
    <t>윤두＇</t>
  </si>
  <si>
    <t>윤:두두 이꾸/윤두 윤두</t>
  </si>
  <si>
    <t>인:두</t>
  </si>
  <si>
    <t>다듬잇방망이</t>
  </si>
  <si>
    <t>따드＇미질 따뜨＇미방메＇~이</t>
  </si>
  <si>
    <t>다드미방매~이</t>
  </si>
  <si>
    <t>다디미빵매~이</t>
  </si>
  <si>
    <t>다드미빵매~이야/인:두</t>
  </si>
  <si>
    <t>다디미빵매~이고</t>
  </si>
  <si>
    <t>다디미 방매~이</t>
  </si>
  <si>
    <t>다듬잇돌</t>
  </si>
  <si>
    <t>미태 빨래＇똘 {밑에 빨랫돌}</t>
  </si>
  <si>
    <t>다드미똘</t>
  </si>
  <si>
    <t>다디미똘</t>
  </si>
  <si>
    <t>다드미또른</t>
  </si>
  <si>
    <t>다디미또리고/다디미똘</t>
  </si>
  <si>
    <t>다듬이질</t>
  </si>
  <si>
    <t>따드＇미 질</t>
  </si>
  <si>
    <t>다드미질</t>
  </si>
  <si>
    <t>다드미질도 한다 그래지/다드미지리 마저</t>
  </si>
  <si>
    <t>다드미질핸다</t>
  </si>
  <si>
    <t>다듬질하는데</t>
  </si>
  <si>
    <t>다듬지리라그래지요/다딤질</t>
  </si>
  <si>
    <t>설날</t>
  </si>
  <si>
    <t>스을＇랄</t>
  </si>
  <si>
    <t>설:날/정월초하루</t>
  </si>
  <si>
    <t>설:랄</t>
  </si>
  <si>
    <t>설:날</t>
  </si>
  <si>
    <t>슬:나리라구</t>
  </si>
  <si>
    <t>근 설:라리라그래요 설:랄</t>
  </si>
  <si>
    <t>설</t>
  </si>
  <si>
    <t>스으＇르 쇠왼＇다</t>
  </si>
  <si>
    <t>설: 쇤다구/슬:/스:리구</t>
  </si>
  <si>
    <t>설:명절/설:로 마~이 쐬지/서:리니까</t>
  </si>
  <si>
    <t>서:리라구</t>
  </si>
  <si>
    <t>스:리라 그래지</t>
  </si>
  <si>
    <t>설:쇠러간다/서:리지요</t>
  </si>
  <si>
    <t>섣달 그믐달</t>
  </si>
  <si>
    <t>마지망＇날/스으＇딸그뭄＇날</t>
  </si>
  <si>
    <t>스:딸그뭄날</t>
  </si>
  <si>
    <t>스:딸그무미라 그래지/스:딸그뭄날</t>
  </si>
  <si>
    <t>묵은세배</t>
  </si>
  <si>
    <t>*(+섣달그믐날에는 세배하지 않음)</t>
  </si>
  <si>
    <t>무근 세:배한다구</t>
  </si>
  <si>
    <t>올해</t>
  </si>
  <si>
    <t>그냥 그냥 오＇래</t>
  </si>
  <si>
    <t>오래</t>
  </si>
  <si>
    <t>올해지</t>
  </si>
  <si>
    <t>오래/올해라고 하기도하고</t>
  </si>
  <si>
    <t>올 오리라고도허구/금년</t>
  </si>
  <si>
    <t>21505-0-1</t>
  </si>
  <si>
    <t>올＇해도 인제</t>
  </si>
  <si>
    <t>오래는 풍녀니</t>
  </si>
  <si>
    <t>오래는 유승나게 길:다 겨우리 {올해는 유별나게 길다 겨울이}</t>
  </si>
  <si>
    <t>오래가 뭐야</t>
  </si>
  <si>
    <t>오래가 아니요</t>
  </si>
  <si>
    <t>오:리니까/오래도 풍년드러쓰먼</t>
  </si>
  <si>
    <t>21505-1</t>
  </si>
  <si>
    <t>작년</t>
  </si>
  <si>
    <t>장년＇</t>
  </si>
  <si>
    <t>장녀네 숭년/장년 무근해</t>
  </si>
  <si>
    <t>장녀니지/장년</t>
  </si>
  <si>
    <t>장녀니구</t>
  </si>
  <si>
    <t>장녀니조/장년/장년그러께</t>
  </si>
  <si>
    <t>장녀니라그래요/장년 지내간</t>
  </si>
  <si>
    <t>21505-2</t>
  </si>
  <si>
    <t>재작년</t>
  </si>
  <si>
    <t>재애＇장년</t>
  </si>
  <si>
    <t>그러께라 그래 장년 그러케/재:장녀니라구두 해구 그러께라구두 해구 그래</t>
  </si>
  <si>
    <t>재장년</t>
  </si>
  <si>
    <t>장년그러끼라고도 하고/장년그그러끼라고 그래지/재장녀는</t>
  </si>
  <si>
    <t>장년그::그러끼라그러지요 그::그러께/그::그러끼라그래요/그:그러께</t>
  </si>
  <si>
    <t>21505-3</t>
  </si>
  <si>
    <t>내년</t>
  </si>
  <si>
    <t>내연＇/내년＇</t>
  </si>
  <si>
    <t>내연</t>
  </si>
  <si>
    <t>21505-4</t>
  </si>
  <si>
    <t>후년</t>
  </si>
  <si>
    <t>후우＇연</t>
  </si>
  <si>
    <t>후녀니라구</t>
  </si>
  <si>
    <t>후년/후:년</t>
  </si>
  <si>
    <t>후:년</t>
  </si>
  <si>
    <t>21505-5</t>
  </si>
  <si>
    <t>내후년</t>
  </si>
  <si>
    <t>저후＇연</t>
  </si>
  <si>
    <t>그후녀니라 그래게찌</t>
  </si>
  <si>
    <t>제후년</t>
  </si>
  <si>
    <t>내년 후년/*</t>
  </si>
  <si>
    <t>그후년/그후년하니</t>
  </si>
  <si>
    <t>어퍼지먼 모/그 후:년</t>
  </si>
  <si>
    <t>작은설</t>
  </si>
  <si>
    <t>까치설랄(+?제)/까치슬랄/전나리 까치스리지</t>
  </si>
  <si>
    <t>그무미라(+특별한 이름이 없음)</t>
  </si>
  <si>
    <t>윷</t>
  </si>
  <si>
    <t>유욷＇ 함번 처보＇새.</t>
  </si>
  <si>
    <t>유:시 마저따 머/윧:</t>
  </si>
  <si>
    <t>유:친다/윧:</t>
  </si>
  <si>
    <t>윧</t>
  </si>
  <si>
    <t>21507-0-1</t>
  </si>
  <si>
    <t>유우＇틀 친다</t>
  </si>
  <si>
    <t>유철 놀던지 화톨 놀던지 이래지 {윷을 놀든지 화투를 놀든지 이러지}/유철 던지지</t>
  </si>
  <si>
    <t>유:슬 던저라</t>
  </si>
  <si>
    <t>유시</t>
  </si>
  <si>
    <t>유:틀 던진다/유:틀 친다</t>
  </si>
  <si>
    <t>유츨</t>
  </si>
  <si>
    <t>21507-0-2</t>
  </si>
  <si>
    <t>유우＇치 재미＇따</t>
  </si>
  <si>
    <t>유:세 마저따</t>
  </si>
  <si>
    <t>유:테 마저따</t>
  </si>
  <si>
    <t>유시라그래요</t>
  </si>
  <si>
    <t>21507-1</t>
  </si>
  <si>
    <t>윷놀이</t>
  </si>
  <si>
    <t>윧 유운＇노리</t>
  </si>
  <si>
    <t>윤:노리</t>
  </si>
  <si>
    <t>윤:노리에/어, 윤:노리하는구만</t>
  </si>
  <si>
    <t>윤:노리/유뛰기/윤:노리하다 유트 마자따</t>
  </si>
  <si>
    <t>윷가락</t>
  </si>
  <si>
    <t>항까치가 아~이＇고 항깍＇찌/항깍찌/예, 깍＇찌/유욷 항깍＇찌 으읍＇따.</t>
  </si>
  <si>
    <t>항가치/두:가치</t>
  </si>
  <si>
    <t>유:까라기 마저따</t>
  </si>
  <si>
    <t>그건 가라기라구래지/유까락</t>
  </si>
  <si>
    <t>유:까지/유:까지라고 하지요</t>
  </si>
  <si>
    <t>윤: 네:가락/한가락</t>
  </si>
  <si>
    <t>21508-1</t>
  </si>
  <si>
    <t>도</t>
  </si>
  <si>
    <t>뙤＇가 나따./아 오버＇네 치다보~이 뙤＇가 우트게 나내야. {아, 요번에 치다 보니 도가 어떻게 나네 야.}/개</t>
  </si>
  <si>
    <t>되/되라 그래던데 거</t>
  </si>
  <si>
    <t>뙤/뙤하구/뙤여 건</t>
  </si>
  <si>
    <t>퇴끼구/퇴끼야 퇴끼먼/토끼가 나따</t>
  </si>
  <si>
    <t>뙤</t>
  </si>
  <si>
    <t>되</t>
  </si>
  <si>
    <t>21508-2</t>
  </si>
  <si>
    <t>개</t>
  </si>
  <si>
    <t>개＇가 나와따/개＇마 치나 개＇마 나와따/아, 개＇가 나따./걸</t>
  </si>
  <si>
    <t>개:/두:리 자빠지먼 개</t>
  </si>
  <si>
    <t>개:/개:문 두:개</t>
  </si>
  <si>
    <t>개:/개:가 나따</t>
  </si>
  <si>
    <t>개:</t>
  </si>
  <si>
    <t>21508-3</t>
  </si>
  <si>
    <t>걸</t>
  </si>
  <si>
    <t>근＇데 여＇언 사아＇로기라거든뇨./거:리＇ 나따 거:리＇/거얼＇</t>
  </si>
  <si>
    <t>거리먼 하나둘서이/걸</t>
  </si>
  <si>
    <t>걸/거리야</t>
  </si>
  <si>
    <t>걸:</t>
  </si>
  <si>
    <t>걸:/거리라그래구</t>
  </si>
  <si>
    <t>21508-4</t>
  </si>
  <si>
    <t>사아＇로기 나따./모＇라 이래고/유＇치 아니고 사아＇록</t>
  </si>
  <si>
    <t>그건 유치구</t>
  </si>
  <si>
    <t>윧/이건 유:시여/유:치여/유:치지 머</t>
  </si>
  <si>
    <t>유:시야/유:치구/유시 나따/윧</t>
  </si>
  <si>
    <t>네:개자뻐지먼 윧:/유:치 나와따(+다)/유:시 나와따</t>
  </si>
  <si>
    <t>윧/유치 나와따</t>
  </si>
  <si>
    <t>21508-5</t>
  </si>
  <si>
    <t>모</t>
  </si>
  <si>
    <t>모＇</t>
  </si>
  <si>
    <t>다: 어퍼지먼 모구</t>
  </si>
  <si>
    <t>모:는 인제/모가 되구</t>
  </si>
  <si>
    <t>모가 나따/모가 돼</t>
  </si>
  <si>
    <t>모가 나따고/다서깨 어퍼지먼 모</t>
  </si>
  <si>
    <t>단동</t>
  </si>
  <si>
    <t>힌동</t>
  </si>
  <si>
    <t>한동 가고</t>
  </si>
  <si>
    <t>한동/세동내기냐/한동내기냐 두동내기냐</t>
  </si>
  <si>
    <t>함피리 나간다/함피리구 두:리 가먼 두:피리간다 스이가 가먼 세:피리 간다/함말 두말</t>
  </si>
  <si>
    <t>마리라구래지(+이 지역은 한 사람에게 말이 하나만 있음, 말 하나가 나면 이김)</t>
  </si>
  <si>
    <t>혿/혼 호니라그래구</t>
  </si>
  <si>
    <t>21509-1</t>
  </si>
  <si>
    <t>외동무니</t>
  </si>
  <si>
    <t>힌동＇</t>
  </si>
  <si>
    <t>한동나따/항개는 한동</t>
  </si>
  <si>
    <t>혼마리그래지 혼말/혼나와따</t>
  </si>
  <si>
    <t>21509-2</t>
  </si>
  <si>
    <t>두동무니</t>
  </si>
  <si>
    <t>두동＇</t>
  </si>
  <si>
    <t>세동이 가는데/그건 쌍마리 간다 그래지/두동이 가고</t>
  </si>
  <si>
    <t>두동/두:동/두:개 어꾸/두동나따</t>
  </si>
  <si>
    <t>두피리 되능거지/함피리구 두:리 가먼 두:피리간다/두:피리먼</t>
  </si>
  <si>
    <t>둘째라그래고/어버따그래요</t>
  </si>
  <si>
    <t>21509-3</t>
  </si>
  <si>
    <t>석동무니</t>
  </si>
  <si>
    <t>세에＇개며느 슥똥＇/슥동＇</t>
  </si>
  <si>
    <t>세:똥이 간다 그래</t>
  </si>
  <si>
    <t>슥:동/석똥나따</t>
  </si>
  <si>
    <t>스이가 가먼 세:피리 간다/세필</t>
  </si>
  <si>
    <t>곤 어버따그래지요/서기라그래고/세째는 서기라그래고</t>
  </si>
  <si>
    <t>21509-4</t>
  </si>
  <si>
    <t>넉동무니</t>
  </si>
  <si>
    <t>늑또＇~이라고도 하고/야 이이 우리 늑또~＇인데 이기 점＇부 어바서 막또＇~이야 이래거든뇨.</t>
  </si>
  <si>
    <t>늑똥다:나따고 우리이게따그래지 {넉동 다 났다고 우리가 이겼다고 그러지}</t>
  </si>
  <si>
    <t>네:개라먼 네:피리고</t>
  </si>
  <si>
    <t>건 어꾸간다그래지요</t>
  </si>
  <si>
    <t>21509-5</t>
  </si>
  <si>
    <t>막동</t>
  </si>
  <si>
    <t>막또~＇이라고도 하고/마가＇지/네에＇개 다 해서 막또~＇이다./야 니 그그 가머 마가＇지다./막또~＇이재./막똥＇</t>
  </si>
  <si>
    <t>막또~이라 그래지 막똥</t>
  </si>
  <si>
    <t>망마리라그래지요/망말</t>
  </si>
  <si>
    <t>21509-6</t>
  </si>
  <si>
    <t>단동무니</t>
  </si>
  <si>
    <t>힌동＇불쑤(+한 편은 다 났지만, 다른 편은 한 동도 나지 못했을 때 진 편은 ＇힌동불수＇라고 함.)/힌동불쑨/외말＇</t>
  </si>
  <si>
    <t>단동저따/단동저따그래지 단동저따구/단동이게따</t>
  </si>
  <si>
    <t>보름</t>
  </si>
  <si>
    <t>야~ 내＇앨＇모레 보＇루미대이./보＇룸</t>
  </si>
  <si>
    <t>보롬/정월대:보롬/정월대:보룸</t>
  </si>
  <si>
    <t>보루미지 보룸</t>
  </si>
  <si>
    <t>대보루미라/보루미라 그래자너</t>
  </si>
  <si>
    <t>보루미라고/정월대:보룸</t>
  </si>
  <si>
    <t>기낭 보룸/시보이를 보르미라그래요/대:보룸</t>
  </si>
  <si>
    <t>21510-1</t>
  </si>
  <si>
    <t>삭망</t>
  </si>
  <si>
    <t>초하르룸사이예</t>
  </si>
  <si>
    <t>상망</t>
  </si>
  <si>
    <t>추석</t>
  </si>
  <si>
    <t>항가＇위라 해앤＇는대(+소)/추석＇(+다)</t>
  </si>
  <si>
    <t>항:가우/추석 항:가이/항:가우가 도러와따 이래지/추석 쇠:러 가따 그래 파뤌 항가우</t>
  </si>
  <si>
    <t>항가울마지라구래드라구/추서기지</t>
  </si>
  <si>
    <t>항가위라고/추석</t>
  </si>
  <si>
    <t>추석/항가위(+＇위＇는 이중모음)</t>
  </si>
  <si>
    <t>망월</t>
  </si>
  <si>
    <t>마＇~우리/예, 마~＇우리 보러 간다＇.</t>
  </si>
  <si>
    <t>달마지핸대</t>
  </si>
  <si>
    <t>마~월/마~월보러 간다/망월</t>
  </si>
  <si>
    <t>달마중이라</t>
  </si>
  <si>
    <t>망:월</t>
  </si>
  <si>
    <t>쥐불놀이</t>
  </si>
  <si>
    <t>지이＇불논는다 지이＇불/쥐위＇불로리</t>
  </si>
  <si>
    <t>쥐:불로능 거/쥐불로리핸다 그래</t>
  </si>
  <si>
    <t>홰뿔로리</t>
  </si>
  <si>
    <t>쥐불/쥐부리라구래</t>
  </si>
  <si>
    <t>쥐:불로리라고</t>
  </si>
  <si>
    <t>자치기</t>
  </si>
  <si>
    <t>미띠＇기 친다 미띠＇기/미이＇띠기</t>
  </si>
  <si>
    <t>자치기여/자치기아닝가</t>
  </si>
  <si>
    <t>자치기라구랜다구</t>
  </si>
  <si>
    <t>자:치기</t>
  </si>
  <si>
    <t>21514-1</t>
  </si>
  <si>
    <t>작은 막대</t>
  </si>
  <si>
    <t>마＇꼬 다라나능건 미띠＇기</t>
  </si>
  <si>
    <t>장:꽁이라 그래 장:꽁</t>
  </si>
  <si>
    <t>메뛰기(작은 것)/메:뛰기</t>
  </si>
  <si>
    <t>이건 메뚜기</t>
  </si>
  <si>
    <t>자치기메띠기</t>
  </si>
  <si>
    <t>자:근 메:뛰기</t>
  </si>
  <si>
    <t>21514-2</t>
  </si>
  <si>
    <t>긴 막대</t>
  </si>
  <si>
    <t>미띠＇기 채애＇</t>
  </si>
  <si>
    <t>자치기작때기라 그래게찌 머</t>
  </si>
  <si>
    <t>짱채(큰 것)</t>
  </si>
  <si>
    <t>작때</t>
  </si>
  <si>
    <t>수수께끼</t>
  </si>
  <si>
    <t>수수꺼＇끼</t>
  </si>
  <si>
    <t>그 수수꺼끼랑건/수수꺼끼라그래</t>
  </si>
  <si>
    <t>수수꺼끼라</t>
  </si>
  <si>
    <t>호미씻이</t>
  </si>
  <si>
    <t>호무씨심＇</t>
  </si>
  <si>
    <t>호메씨시라구/호메~이씨시 뭉는다 이래던데/호미씨시</t>
  </si>
  <si>
    <t>서레쉬쉬(+7월, 모심기, 김매고 먹는 것)/서레쉬쉬먹짜/그러케 하루노능걸 서레쉬쉬라 그래</t>
  </si>
  <si>
    <t>일:꾸네나리라구래는데</t>
  </si>
  <si>
    <t>호무씨심#(+다른 지방에서 주로 행하고, 이 지역에서는 이런 말을 쓰지 않음)/호무씨시미#/푸~앙노리라고하덩가(+?제)</t>
  </si>
  <si>
    <t>호미씨세라고 그거/호미씨세라구</t>
  </si>
  <si>
    <t>꽹과리</t>
  </si>
  <si>
    <t>꽹가＇리</t>
  </si>
  <si>
    <t>깽가리</t>
  </si>
  <si>
    <t>쾡사/꽹가리</t>
  </si>
  <si>
    <t>꽹과린데</t>
  </si>
  <si>
    <t>꽹가리</t>
  </si>
  <si>
    <t>장구</t>
  </si>
  <si>
    <t>장＇구</t>
  </si>
  <si>
    <t>이건 장구</t>
  </si>
  <si>
    <t>장고</t>
  </si>
  <si>
    <t>곁두리</t>
  </si>
  <si>
    <t>젣＇쩡슴(+점심과 저녁 사이에 먹는 참)</t>
  </si>
  <si>
    <t>제누리/저녁쩨누리/새이/제녁제누리/새채미라구두 해구 머/대:개 제누리(+다)/제누리라구두 해구/제누리 멍는다고 그래요 대:개/새이 멍는다구두 그래구</t>
  </si>
  <si>
    <t>차미라고하고 젠노리라고도 하고/젠노리(저녁에 먹는 것)</t>
  </si>
  <si>
    <t>제누리지/사이</t>
  </si>
  <si>
    <t>젠노리/오전젠노리/건 오후젠노리고</t>
  </si>
  <si>
    <t>저넉쩌누리/저누리/저누리 멍는다</t>
  </si>
  <si>
    <t>무당</t>
  </si>
  <si>
    <t>무우＇당/무우＇다~이 아니＇고</t>
  </si>
  <si>
    <t>남자무당 여자무당이래지/무:당/무댕이래구두 해구/무당(+남자 무당, 여자 무당 모두를 지칭, 남자면 남자 무당, 여자면 여자 무당)</t>
  </si>
  <si>
    <t>구다는 사람 무당</t>
  </si>
  <si>
    <t>무당이자너</t>
  </si>
  <si>
    <t>무:당</t>
  </si>
  <si>
    <t>21520-1</t>
  </si>
  <si>
    <t>박수</t>
  </si>
  <si>
    <t>무당(+남자 무당, 여자 무당 모두를 지칭, 남자면 남자 무당, 여자면 여자 무당)</t>
  </si>
  <si>
    <t>숨무당</t>
  </si>
  <si>
    <t>남자무당도 이써</t>
  </si>
  <si>
    <t>남자무다~이라그래조</t>
  </si>
  <si>
    <t>박쑤</t>
  </si>
  <si>
    <t>고수레</t>
  </si>
  <si>
    <t>퇴외＇송</t>
  </si>
  <si>
    <t>고시네</t>
  </si>
  <si>
    <t>고시네지 고시네/꼬시레하능거</t>
  </si>
  <si>
    <t>고시레</t>
  </si>
  <si>
    <t>주로 고시네하는데</t>
  </si>
  <si>
    <t>뱅애/고시네 이러케(+＇뱅애＇와 ＇고시네＇를 모두 사용함.)</t>
  </si>
  <si>
    <t>21521-1</t>
  </si>
  <si>
    <t>고수레!</t>
  </si>
  <si>
    <t>버＇리면서 고신＇네 이램미다./던＇지면서 고시네이램미다</t>
  </si>
  <si>
    <t>고시네이래구</t>
  </si>
  <si>
    <t>고시네 이음성머꼬 멀리가가라 {이 음식 먹꼬 멀리 가거라}</t>
  </si>
  <si>
    <t>음:서글 던지지요/고시네</t>
  </si>
  <si>
    <t>점쟁이</t>
  </si>
  <si>
    <t>점제＇~이</t>
  </si>
  <si>
    <t>점재~이라구두래구/점재~이라구두 해구</t>
  </si>
  <si>
    <t>점재~이라고두하구</t>
  </si>
  <si>
    <t>아는소리 자란다구 점재~이지/점쟁이라구래자너</t>
  </si>
  <si>
    <t>점제~이</t>
  </si>
  <si>
    <t>점재~이</t>
  </si>
  <si>
    <t>상여(喪輿)</t>
  </si>
  <si>
    <t>상예＇라고도 함미다.(+신, +소)/행상＇(+다, +구)/상예＇는</t>
  </si>
  <si>
    <t>행상</t>
  </si>
  <si>
    <t>보통 사~여지/이게 사~여</t>
  </si>
  <si>
    <t>행성</t>
  </si>
  <si>
    <t>행사~이래/행상</t>
  </si>
  <si>
    <t>상에</t>
  </si>
  <si>
    <t>굴건</t>
  </si>
  <si>
    <t>상근＇/상근＇만 쓰고＇</t>
  </si>
  <si>
    <t>굴거나지 {굴건 하지}/굴건제복</t>
  </si>
  <si>
    <t>굴근제보기라구/건 씨능거/건(+장사 지낼 때 사용)/거니야/건, 거니지</t>
  </si>
  <si>
    <t>굴근제보기라그래요/씨능건 거니라그래고(+상주들이 씀)/굴근제복해짜너 이거/보꺼니라고(+사촌들이 씀)</t>
  </si>
  <si>
    <t>굴:건/굴거니</t>
  </si>
  <si>
    <t>제사</t>
  </si>
  <si>
    <t>제에＇사는 상＇새아＇네 드러따고 바야데요./제에＇사가 아니고 상＇새</t>
  </si>
  <si>
    <t>지:사 지내구</t>
  </si>
  <si>
    <t>제:기래/제:사</t>
  </si>
  <si>
    <t>지:사 지내는거/굴근제복카능거</t>
  </si>
  <si>
    <t>제:사</t>
  </si>
  <si>
    <t>제기</t>
  </si>
  <si>
    <t>제에＇기(+둥근 모양)/과아＇판(+네모 모양)</t>
  </si>
  <si>
    <t>모꾸접씨 {목기접시}</t>
  </si>
  <si>
    <t>제:기/제사끄르시라고도 마:~이그래</t>
  </si>
  <si>
    <t>목씨접씨</t>
  </si>
  <si>
    <t>제:물끄르시라그래조</t>
  </si>
  <si>
    <t>여기는 모끼그르시라그래지요</t>
  </si>
  <si>
    <t>귀신</t>
  </si>
  <si>
    <t>또깨＇비/또깨＇비가 차암＇ 만타라./귀위＇신</t>
  </si>
  <si>
    <t>귀:시니</t>
  </si>
  <si>
    <t>귀:신(＇귀신＇은 나쁜 의미)/혼시는 인제(＇혼신＇은 좋은 의미)</t>
  </si>
  <si>
    <t>귀:시니라구</t>
  </si>
  <si>
    <t>귀:시늘 봐:따</t>
  </si>
  <si>
    <t>귀:신</t>
  </si>
  <si>
    <t>도깨비</t>
  </si>
  <si>
    <t>도깨＇비</t>
  </si>
  <si>
    <t>도깨비라구래지</t>
  </si>
  <si>
    <t>또깨비</t>
  </si>
  <si>
    <t>고삐</t>
  </si>
  <si>
    <t>소 고삐＇~이를 들＇고/아, 고삐＇</t>
  </si>
  <si>
    <t>고:빼~이/고빼~이/고빼~이를</t>
  </si>
  <si>
    <t>쇠고삐/괴삐를</t>
  </si>
  <si>
    <t>고삐/쇠고삐/고삐라구래/괴삘 자버댕겨가주구</t>
  </si>
  <si>
    <t>이거 고빼~이라 그래요</t>
  </si>
  <si>
    <t>굴레</t>
  </si>
  <si>
    <t>소는＇ 어링＇개 어링＇개/어링＇개(+구, +다)/굴＇레란 말 써요＇(+신, +소)/마＇리 굴＇레지요 마＇리 굴＇레</t>
  </si>
  <si>
    <t>굴레를 짠대 이걸</t>
  </si>
  <si>
    <t>굴:레</t>
  </si>
  <si>
    <t>굴:레라구래지</t>
  </si>
  <si>
    <t>굴레/굴:레라그래고</t>
  </si>
  <si>
    <t>멍에</t>
  </si>
  <si>
    <t>멍＇에/머＇~에/머＇~에 머＇~에</t>
  </si>
  <si>
    <t>멍에/멍에 메:구</t>
  </si>
  <si>
    <t>머~애/멍에</t>
  </si>
  <si>
    <t>머~에</t>
  </si>
  <si>
    <t>길마</t>
  </si>
  <si>
    <t>지르＇메/지르＇메틀/지르＇메 아~이 지르＇메틀</t>
  </si>
  <si>
    <t>지르매/지르매도 여그다가 요러케 해서/지르메도</t>
  </si>
  <si>
    <t>질매</t>
  </si>
  <si>
    <t>지름매라구래지</t>
  </si>
  <si>
    <t>지르매</t>
  </si>
  <si>
    <t>지르매 소 지르매</t>
  </si>
  <si>
    <t>부리망</t>
  </si>
  <si>
    <t>쇠 멍/소 머~이＇ 소 머엉＇ 멍</t>
  </si>
  <si>
    <t>멍 {부리망}</t>
  </si>
  <si>
    <t>멍/소 머~이라그래/소멍</t>
  </si>
  <si>
    <t>소멍</t>
  </si>
  <si>
    <t>멍/쇠멍</t>
  </si>
  <si>
    <t>소 멍</t>
  </si>
  <si>
    <t>구유</t>
  </si>
  <si>
    <t>구＇~이</t>
  </si>
  <si>
    <t>구융 거태</t>
  </si>
  <si>
    <t>귀숭/귀:숭(+다)/귀:숭두 이써야 되구</t>
  </si>
  <si>
    <t>귕:</t>
  </si>
  <si>
    <t>구영/쇠구영</t>
  </si>
  <si>
    <t>소 귕:</t>
  </si>
  <si>
    <t>작두</t>
  </si>
  <si>
    <t>작＇뚜</t>
  </si>
  <si>
    <t>소는 꼴 비러 간다 그래/작뚜</t>
  </si>
  <si>
    <t>작뚜</t>
  </si>
  <si>
    <t>작뚜라구</t>
  </si>
  <si>
    <t>요기 작뚜고/작또(+?제)</t>
  </si>
  <si>
    <t>꼴</t>
  </si>
  <si>
    <t>꼬＇질(+곡식을 털어낸 마른 부산물)/마＇추(+소의 양식인 건초와 고질을 합쳐서 이르는 말.)/꼬리＇ 마안＇타</t>
  </si>
  <si>
    <t>꼬리지/소꼴/꼴 빈다</t>
  </si>
  <si>
    <t>꼬리라구래/꼴 비러간다</t>
  </si>
  <si>
    <t>꼴 베와라/꼬르 마:~이 베 와라</t>
  </si>
  <si>
    <t>꼬리 어디가먼/소꼴 비어와라/주죽풀</t>
  </si>
  <si>
    <t>여물</t>
  </si>
  <si>
    <t>거언＇초(+풀 중에서 마른 것.)/쇠주는 거언＇초</t>
  </si>
  <si>
    <t>여메기는/여메기여/여물</t>
  </si>
  <si>
    <t>여메기두 항가지여(＇고질＇과 같은 뜻)/쇠고질(작두로 썰어서 넣어 두었다가 구융에 삼태기로 담아 주는 먹이)</t>
  </si>
  <si>
    <t>여메기/말메기/소여메기/여무리</t>
  </si>
  <si>
    <t>깍찌라 그래지(+마른 풀)/쇠깍찌</t>
  </si>
  <si>
    <t>소 메기(+끓이기 전 상태)</t>
  </si>
  <si>
    <t>쇠죽</t>
  </si>
  <si>
    <t>여물＇(+건초와 꼬질 등을 끓여서 만든 것임.)/예, 여무＇리 여물＇ 퍼좌라＇/끄＇린 자체 소가 멍는거슨 여물＇/여물＇ 끄린다이래거드뇨.</t>
  </si>
  <si>
    <t>끄리능 게 쇠죽(여물 끓인 것이 쇠죽)/쇠주기여/쇠죽 쑤러 간다구</t>
  </si>
  <si>
    <t>여무리라그래지 여물/소 여물끄린다고 하지/여물 끄린다 그래지</t>
  </si>
  <si>
    <t>쇠죽 쑤능거</t>
  </si>
  <si>
    <t>여물/32225-0-2 쇠여물 끄레준다</t>
  </si>
  <si>
    <t>소 여무를 끄린다(+다)/소 죽(+소)/여물끄린다구/끄링거는 소죽쑨다그래고 머(+소)/드레주기라그래요(+1년에 한두 번 쌀 등을 넣고 끓인 죽)/소여물(+끓인 것)</t>
  </si>
  <si>
    <t>쇠죽바가지</t>
  </si>
  <si>
    <t>여물＇ 바가＇지/여물바가＇찌/쇠물구박＇/여물바가＇지</t>
  </si>
  <si>
    <t>쇠물빡</t>
  </si>
  <si>
    <t>쇠박쭉</t>
  </si>
  <si>
    <t>쇠물빠가지</t>
  </si>
  <si>
    <t>여물빠가지라고</t>
  </si>
  <si>
    <t>여물 구박/여물빠가지/여물 구바기라그래요(+뜨거우니까 길게 자루가 있는 것.)</t>
  </si>
  <si>
    <t>수레</t>
  </si>
  <si>
    <t>끌＇꼬 운＇반하능거시 수＇레고(+사람이 끌고 운반함.)/수＇레를/그리고 수＇레가 아~이＇고 구루만데 구루＇마/구루＇마래요 구루＇마(+소나 말이 끎.)</t>
  </si>
  <si>
    <t>마:차/짐수레 나르는 마:차여</t>
  </si>
  <si>
    <t>이게 우:차</t>
  </si>
  <si>
    <t>마:차얘요(+네 바퀴로 됨)/달구지는(+두 바퀴로 됨)</t>
  </si>
  <si>
    <t>우차로구만/쇠마:차</t>
  </si>
  <si>
    <t>달구지/달구지라 그래고(+앞에 조그만 바퀴가 있음)/옌:나렌 이거 우차라 그래요/마:차라 그래구</t>
  </si>
  <si>
    <t>끌다</t>
  </si>
  <si>
    <t>끄을＇른다/소가＇ 끌꺼나 마＇리 끌릉게 수레가 아니＇고/소가＇ 끌릉거는 일딴</t>
  </si>
  <si>
    <t>끈:다 그래지</t>
  </si>
  <si>
    <t>끈:다</t>
  </si>
  <si>
    <t>끌:지요</t>
  </si>
  <si>
    <t>21613-0-1</t>
  </si>
  <si>
    <t>끄을＇꼬 온다해도 되고/끄＇으러따/소가＇ 수＇레를 끄을＇꼬 온다/끄＇을미 가능게/끄을＇고 간다＇/신바＇를 끄을＇고 간다./끌＇꼬 운＇반하능거시 수＇레고</t>
  </si>
  <si>
    <t>소가 마찰 끌:지/끌:구가자너</t>
  </si>
  <si>
    <t>소가 지금 우:찰 끌:구 이따</t>
  </si>
  <si>
    <t>끌:구간다</t>
  </si>
  <si>
    <t>끈:다구/끌:구가요</t>
  </si>
  <si>
    <t>바퀴</t>
  </si>
  <si>
    <t>바＇쿠좀 구불＇레가주 오나라 여 마추짜.</t>
  </si>
  <si>
    <t>바꾸</t>
  </si>
  <si>
    <t>기양 바쿠/우:차 바쿠</t>
  </si>
  <si>
    <t>바꾸지/바꾸가</t>
  </si>
  <si>
    <t>이게 바꾼데(+머)/우차바쿠</t>
  </si>
  <si>
    <t>바뀌 바뀌</t>
  </si>
  <si>
    <t>새끼(繩)</t>
  </si>
  <si>
    <t>새끼＇</t>
  </si>
  <si>
    <t>새끼/새끼줄두 이꾸/새:꼬래~이로 해 맨드러서 {새끼로 해 만들어서}</t>
  </si>
  <si>
    <t>섀끼</t>
  </si>
  <si>
    <t>새끼로 꽈:야</t>
  </si>
  <si>
    <t>새끼</t>
  </si>
  <si>
    <t>새끼 꼬능거지</t>
  </si>
  <si>
    <t>21615-1</t>
  </si>
  <si>
    <t>새끼(짐승의)</t>
  </si>
  <si>
    <t>새＇끼/쇠가＇ 새＇끼 나아따.</t>
  </si>
  <si>
    <t>고고또 새끼 {그것도 새끼}/강아지새끼</t>
  </si>
  <si>
    <t>섀끼쏘게 점부드러가/짐성새끼여</t>
  </si>
  <si>
    <t>새끼라구래지</t>
  </si>
  <si>
    <t>쇠가 새끼를 나:다</t>
  </si>
  <si>
    <t>새끼(+동물)</t>
  </si>
  <si>
    <t>망태기</t>
  </si>
  <si>
    <t>망태＇기/저거가주 오나라 망태＇기에다 머＇얼 좀 너＇어가주 가게로</t>
  </si>
  <si>
    <t>망태</t>
  </si>
  <si>
    <t>이건 망태</t>
  </si>
  <si>
    <t>망태라 그래지 망태</t>
  </si>
  <si>
    <t>홀치기</t>
  </si>
  <si>
    <t>멱둥구미</t>
  </si>
  <si>
    <t>이게＇ 바로 아깨 얘애＇기한 봉새＇~이래요./봉새＇~이라고 하는데(+끈이 달려 있지 않음.)</t>
  </si>
  <si>
    <t>둥구마리</t>
  </si>
  <si>
    <t>이거 집뚱지리라고 하지/집뚱지리(멱둥구미)</t>
  </si>
  <si>
    <t>이건 둥구미라구래 둥구미</t>
  </si>
  <si>
    <t>*(+비슷한 형태로 ＇주루먹＇이 있음. ＇주루먹＇은 걸머지는 형태로 됨)/*(+＇주루먹＇이 비슷한 형태임)</t>
  </si>
  <si>
    <t>둥구미/둥구미라그래는데</t>
  </si>
  <si>
    <t>거적</t>
  </si>
  <si>
    <t>거적＇/거적떼＇기</t>
  </si>
  <si>
    <t>거적때기/거적 이러케 저</t>
  </si>
  <si>
    <t>거정무니라 그래지/거저근 인제</t>
  </si>
  <si>
    <t>거적떼기</t>
  </si>
  <si>
    <t>거저근 머</t>
  </si>
  <si>
    <t>거저긴데 거적</t>
  </si>
  <si>
    <t>가마니</t>
  </si>
  <si>
    <t>이건 가＇마~이고</t>
  </si>
  <si>
    <t>가마니라구두 그래구 그랜는데</t>
  </si>
  <si>
    <t>가마니/집까마니 짠다</t>
  </si>
  <si>
    <t>요건 가마니로구나</t>
  </si>
  <si>
    <t>가마</t>
  </si>
  <si>
    <t>21619-1</t>
  </si>
  <si>
    <t>가마니틀</t>
  </si>
  <si>
    <t>가마＇~이틀</t>
  </si>
  <si>
    <t>가마니트리</t>
  </si>
  <si>
    <t>가마~이짜는기게래/가마니틀</t>
  </si>
  <si>
    <t>가마틀</t>
  </si>
  <si>
    <t>돗자리</t>
  </si>
  <si>
    <t>도짜＇리</t>
  </si>
  <si>
    <t>도짜리는</t>
  </si>
  <si>
    <t>도:짜리/도짜리라 그래</t>
  </si>
  <si>
    <t>도짜리</t>
  </si>
  <si>
    <t>돌짜리</t>
  </si>
  <si>
    <t>자리틀</t>
  </si>
  <si>
    <t>자＇리트른 별또롬미다. {자리틀은 별도로입니다.}</t>
  </si>
  <si>
    <t>자리트리라구</t>
  </si>
  <si>
    <t>날개트리라그래 날개틀/자리매는트리라고</t>
  </si>
  <si>
    <t>매틀</t>
  </si>
  <si>
    <t>21621-1</t>
  </si>
  <si>
    <t>(자리를) 짜다/치다/만들다/겯다/매다</t>
  </si>
  <si>
    <t>자＇리 만드는 기구＇를가주고 만들거든뇨./그 틀로가주 만듬미다. {그 틀로 만듭니다.}</t>
  </si>
  <si>
    <t>그냥 자리 맨다 그러던데/자리 맨다 그래 이건/자리 매능 거</t>
  </si>
  <si>
    <t>가마~이는 짠다 그래구</t>
  </si>
  <si>
    <t>자릴 튼다</t>
  </si>
  <si>
    <t>날개틀루 자리를 맨다/맨다(+자리를)</t>
  </si>
  <si>
    <t>자리 맨다그래지요</t>
  </si>
  <si>
    <t>왕골</t>
  </si>
  <si>
    <t>왕＇골</t>
  </si>
  <si>
    <t>왕고리라구</t>
  </si>
  <si>
    <t>왕골/왕골로 마:~이 맨들지요</t>
  </si>
  <si>
    <t>삼태기</t>
  </si>
  <si>
    <t>산테민대/산테＇미/산태＇미</t>
  </si>
  <si>
    <t>삼태미</t>
  </si>
  <si>
    <t>산태기/산태미/이게 산태미(+다)/산태미를</t>
  </si>
  <si>
    <t>이건 삼태기야</t>
  </si>
  <si>
    <t>산테미</t>
  </si>
  <si>
    <t>삼티기</t>
  </si>
  <si>
    <t>21623-1</t>
  </si>
  <si>
    <t>짚 삼태기</t>
  </si>
  <si>
    <t>집싼태＇미</t>
  </si>
  <si>
    <t>집쌈태민데</t>
  </si>
  <si>
    <t>집쌈태미</t>
  </si>
  <si>
    <t>집쌈태</t>
  </si>
  <si>
    <t>집싼테미</t>
  </si>
  <si>
    <t>집쌈티기</t>
  </si>
  <si>
    <t>21623-2</t>
  </si>
  <si>
    <t>싸리 삼태기</t>
  </si>
  <si>
    <t>싸＇리는 싸리산태＇미</t>
  </si>
  <si>
    <t>싸리삼태미</t>
  </si>
  <si>
    <t>싸리산태미두 이찌/싸리산태민데</t>
  </si>
  <si>
    <t>싸리삼태</t>
  </si>
  <si>
    <t>싸리산테미 매:요</t>
  </si>
  <si>
    <t>싸:리삼티기</t>
  </si>
  <si>
    <t>멍석</t>
  </si>
  <si>
    <t>멍석＇</t>
  </si>
  <si>
    <t>쇠덕썩/메빵석/멍석/메빵석또</t>
  </si>
  <si>
    <t>멍석/이게 멍서기여</t>
  </si>
  <si>
    <t>이건 멍서긴 모냥인데</t>
  </si>
  <si>
    <t>그 멍서기/멍서기야 멍석</t>
  </si>
  <si>
    <t>멍서기나/멍서깅가분데</t>
  </si>
  <si>
    <t>어레미</t>
  </si>
  <si>
    <t>얼게＇미</t>
  </si>
  <si>
    <t>얼게미(제일 굵은체)</t>
  </si>
  <si>
    <t>얼게미라구두 하구(+모래 칠 때 사용)/어레~이라고하지 어레~이(+다, 모래 칠 때 사용)/모래치는 얼게미</t>
  </si>
  <si>
    <t>도드미(+＇걸게미＇보다 구멍이 조금 작음)/얼게미라그래는데/얼게미며/더디미라구(=＇얼게미＇보다 구멍이 조금 작음)/굴:궁거 얼게미라구/도디미(+구멍이 작다)/얼게미(+구멍이 크다)</t>
  </si>
  <si>
    <t>얼게미</t>
  </si>
  <si>
    <t>얼게미 말:고/얼기미</t>
  </si>
  <si>
    <t>21625-1</t>
  </si>
  <si>
    <t>고운체</t>
  </si>
  <si>
    <t>보＇두룬체/그낭 체에＇라해도 되내요/체가＇ 보두룹＇꾸나.</t>
  </si>
  <si>
    <t>가는체(+제일 고운체)</t>
  </si>
  <si>
    <t>체가 피료하거덩(+잔 것을 칠 때 사용)</t>
  </si>
  <si>
    <t>고운체/체라구/고운체는</t>
  </si>
  <si>
    <t>첸데/요건 체</t>
  </si>
  <si>
    <t>기낭 체(+제일 가는 것)/다 체라그래지요/고운체</t>
  </si>
  <si>
    <t>21625-2</t>
  </si>
  <si>
    <t>굵은체</t>
  </si>
  <si>
    <t>도두미＇</t>
  </si>
  <si>
    <t>가능 거또 이꼬 도데미/도디미(+중간 이상)/중거리(+중간 이하)</t>
  </si>
  <si>
    <t>굴:근체 왕체라 그래구</t>
  </si>
  <si>
    <t>모래치는 얼게미/얼게미체</t>
  </si>
  <si>
    <t>도디미(+중간 정도)</t>
  </si>
  <si>
    <t>대장장이</t>
  </si>
  <si>
    <t>대애＇장</t>
  </si>
  <si>
    <t>대:장</t>
  </si>
  <si>
    <t>대:장재~이</t>
  </si>
  <si>
    <t>대:장재~이라</t>
  </si>
  <si>
    <t>대장재~이</t>
  </si>
  <si>
    <t>대장재~이라하지요(+유)/승:냐~이라그래요(+노)/승:냥(+유)</t>
  </si>
  <si>
    <t>대장간</t>
  </si>
  <si>
    <t>대장깐＇</t>
  </si>
  <si>
    <t>대장까니니까 대:장</t>
  </si>
  <si>
    <t>승냥깐/대:장까니라고도 하지</t>
  </si>
  <si>
    <t>대:장까니라</t>
  </si>
  <si>
    <t>대장깐</t>
  </si>
  <si>
    <t>승냥까네(+노)/대:장깐(+유)</t>
  </si>
  <si>
    <t>풀무</t>
  </si>
  <si>
    <t>풍구＇/풍노＇(+대장간에서)</t>
  </si>
  <si>
    <t>풍군데 이건</t>
  </si>
  <si>
    <t>풍구/풍구여 그게</t>
  </si>
  <si>
    <t>풍구라구래</t>
  </si>
  <si>
    <t>모루</t>
  </si>
  <si>
    <t>쐬 이거＇는 모리＇고</t>
  </si>
  <si>
    <t>응 멀루</t>
  </si>
  <si>
    <t>몰기</t>
  </si>
  <si>
    <t>몰기/몰기라고</t>
  </si>
  <si>
    <t>모루채</t>
  </si>
  <si>
    <t>메</t>
  </si>
  <si>
    <t>몰기망치/쇠망치</t>
  </si>
  <si>
    <t>갈퀴</t>
  </si>
  <si>
    <t>까악＇찌/까악＇찌~이</t>
  </si>
  <si>
    <t>각:찌/각:찌 각:찌</t>
  </si>
  <si>
    <t>갈키로 긍는다/깍:찌/이건 갈키/깍:찌를(+다)</t>
  </si>
  <si>
    <t>긍는다해서 갈:키야 갈키</t>
  </si>
  <si>
    <t>깍쩨~이</t>
  </si>
  <si>
    <t>갈키</t>
  </si>
  <si>
    <t>집게</t>
  </si>
  <si>
    <t>*(+＇찌깨망치＇가 있음)</t>
  </si>
  <si>
    <t>찌께</t>
  </si>
  <si>
    <t>장도리</t>
  </si>
  <si>
    <t>모빼＇기망치/모 빼기＇ 망치</t>
  </si>
  <si>
    <t>요거 장:도리로군</t>
  </si>
  <si>
    <t>장:도리는</t>
  </si>
  <si>
    <t>장:도래~이</t>
  </si>
  <si>
    <t>망치라구래지</t>
  </si>
  <si>
    <t>모빼기망치</t>
  </si>
  <si>
    <t>21633-1</t>
  </si>
  <si>
    <t>노루발</t>
  </si>
  <si>
    <t>*/모빼기＇</t>
  </si>
  <si>
    <t>장도리끋</t>
  </si>
  <si>
    <t>모빼기</t>
  </si>
  <si>
    <t>망치대가리(+제?)</t>
  </si>
  <si>
    <t>모빼기래요</t>
  </si>
  <si>
    <t>모빼기라그래요 모빼기</t>
  </si>
  <si>
    <t>톱</t>
  </si>
  <si>
    <t>톱/양＇날톱(+날이 양쪽으로 나 있는 톱)/혼자서 이 톱 자체가/그게 양＇톱(+손잡이가 양쪽으로 있어서 둘이서 잘라야 함.)</t>
  </si>
  <si>
    <t>토부로 짤러따/토비라고 톱/토이비 {톱이}</t>
  </si>
  <si>
    <t>토비지</t>
  </si>
  <si>
    <t>21634-0-1</t>
  </si>
  <si>
    <t>토비＇ 마안＇타/토블＇</t>
  </si>
  <si>
    <t>비능 건 토부로 해지/토부루 케네</t>
  </si>
  <si>
    <t>토베 짤리케따</t>
  </si>
  <si>
    <t>토부루</t>
  </si>
  <si>
    <t>토부 가주요 {톱을 가지고요}/토부로 낭그 자른다/토비 잘 멍는다</t>
  </si>
  <si>
    <t>토비 크다/토부로 자른다</t>
  </si>
  <si>
    <t>도끼</t>
  </si>
  <si>
    <t>도오＇꾸/도꾸자＇루</t>
  </si>
  <si>
    <t>도:꾸/장적 도:꾸로 쪼갠다 그래/도:꾸해가주구</t>
  </si>
  <si>
    <t>도:꾸/도:꾸짜루</t>
  </si>
  <si>
    <t>도:끼루</t>
  </si>
  <si>
    <t>도:꾸</t>
  </si>
  <si>
    <t>도:끼</t>
  </si>
  <si>
    <t>자루(柄)</t>
  </si>
  <si>
    <t>자루＇만 자바라/도오＇꾸 자＇리/자루＇가 여＇개이꺼든뇨./도꾸짜＇리 도꾸짜리</t>
  </si>
  <si>
    <t>도:꾸잘루/잘루 잘루</t>
  </si>
  <si>
    <t>잘그가 질:다/도:꾸짜룰 자바라/자루가 질:다/도:꾸짤기 가주와(+다)/자루두 질:구/잘기 가주와/도:꾸자루/이건 자루/잘기가 질:다/잘기가 흐기 무더따</t>
  </si>
  <si>
    <t>도:끼잘루라구래 잘루/도:끼짜루</t>
  </si>
  <si>
    <t>자루/자르 쥐:구/잘기가 질:다/도꾸짜루</t>
  </si>
  <si>
    <t>자루/도:끼자루가 질:다</t>
  </si>
  <si>
    <t>21636-0-1</t>
  </si>
  <si>
    <t>잘＇글 자＇바라 잘＇글</t>
  </si>
  <si>
    <t>도꾸짤길 가주와라/자루를 자꾸 내레처따/자룰 가주나라/잘기를 자바라</t>
  </si>
  <si>
    <t>도끼자루를</t>
  </si>
  <si>
    <t>자루르/자룰 해바꼬 {자루를 해 박고}</t>
  </si>
  <si>
    <t>자루를 단다니 자바라</t>
  </si>
  <si>
    <t>21636-0-2</t>
  </si>
  <si>
    <t>도꾸잘＇기 트트나＇다</t>
  </si>
  <si>
    <t>자루에 뭐이 무더따/도:꾸짤구에 머이 무더따/도:꾸자루에 머이 무더다</t>
  </si>
  <si>
    <t>도끼짜루가 질:머</t>
  </si>
  <si>
    <t>자루에 흘기 무더따</t>
  </si>
  <si>
    <t>자루가 길:다</t>
  </si>
  <si>
    <t>갈고리</t>
  </si>
  <si>
    <t>깔꾸리~＇이</t>
  </si>
  <si>
    <t>걸:꼬리</t>
  </si>
  <si>
    <t>갈고리라 그래지</t>
  </si>
  <si>
    <t>고리는</t>
  </si>
  <si>
    <t>갈고레기</t>
  </si>
  <si>
    <t>고리라 그래요</t>
  </si>
  <si>
    <t>쐐기</t>
  </si>
  <si>
    <t>쏘ㅒ＇기</t>
  </si>
  <si>
    <t>쐐:길 바거야지/쐐:기는</t>
  </si>
  <si>
    <t>쐐:기 방는다/쐐:기라구래지</t>
  </si>
  <si>
    <t>쐐:기라고 해도 돼요</t>
  </si>
  <si>
    <t>쐐:기</t>
  </si>
  <si>
    <t>송곳</t>
  </si>
  <si>
    <t>소옹＇곧</t>
  </si>
  <si>
    <t>송:곧</t>
  </si>
  <si>
    <t>통고시라고/송:고시지</t>
  </si>
  <si>
    <t>21639-0-1</t>
  </si>
  <si>
    <t>소옹＇고시 마안＇타</t>
  </si>
  <si>
    <t>송고세</t>
  </si>
  <si>
    <t>통고시야/통송고시라고</t>
  </si>
  <si>
    <t>송:고스로 뚤른다/송:고스 가주</t>
  </si>
  <si>
    <t>송:고시 길:다</t>
  </si>
  <si>
    <t>뾰족하다</t>
  </si>
  <si>
    <t>뻬쪽하＇다/뻬조::하＇다</t>
  </si>
  <si>
    <t>뻬조카다구</t>
  </si>
  <si>
    <t>뻬:주가지/뻬주가구 {뾰족하고}/뻬:주가니까 조심해야된다/뾰:주캐서</t>
  </si>
  <si>
    <t>뻬주캐게/뾔주캐다/뾔쭈캐진 아너</t>
  </si>
  <si>
    <t>너무 뻬쭈카머/삐주캐서 위어마다/뻬주카게해가주</t>
  </si>
  <si>
    <t>뻬:주개야/끄시 베:주가다/뻬:죽허먼/뻬주가지요</t>
  </si>
  <si>
    <t>숫돌</t>
  </si>
  <si>
    <t>수똘＇</t>
  </si>
  <si>
    <t>수똘</t>
  </si>
  <si>
    <t>쇠똘/쇠또리좀 무르다</t>
  </si>
  <si>
    <t>쇠또리라고</t>
  </si>
  <si>
    <t>쉬똘/쉬또르 여다</t>
  </si>
  <si>
    <t>쉬똘</t>
  </si>
  <si>
    <t>21641-0-1</t>
  </si>
  <si>
    <t>수또＇르 그 수똘＇료</t>
  </si>
  <si>
    <t>나설 가능 게 수또리지</t>
  </si>
  <si>
    <t>쇠또레 가러라</t>
  </si>
  <si>
    <t>쇠또레 간:다</t>
  </si>
  <si>
    <t>쉬또레다</t>
  </si>
  <si>
    <t>쉬또레/쉬또리라그래요 쉬똘</t>
  </si>
  <si>
    <t>맷돌</t>
  </si>
  <si>
    <t>매똘＇</t>
  </si>
  <si>
    <t>매:똘</t>
  </si>
  <si>
    <t>매또리라 그래지 머(+신)/마~이 마저/망 매똘/망(+구)</t>
  </si>
  <si>
    <t>매또를/망이라하고(+소)/매또리야(+다)</t>
  </si>
  <si>
    <t>매똘</t>
  </si>
  <si>
    <t>21642-1</t>
  </si>
  <si>
    <t>수쇠</t>
  </si>
  <si>
    <t>쑴매똘＇</t>
  </si>
  <si>
    <t>여 위에 인능거는 순노미구(+제보자가 잘못 알고 수정함, 아래 있는 것이 암쇠, 위에 있는 것이 수쇠임을 수정함)</t>
  </si>
  <si>
    <t>순늠암늠</t>
  </si>
  <si>
    <t>암매똘 숨매똘</t>
  </si>
  <si>
    <t>그 순:늠/쑨늠</t>
  </si>
  <si>
    <t>21642-2</t>
  </si>
  <si>
    <t>암쇠</t>
  </si>
  <si>
    <t>암매똘＇</t>
  </si>
  <si>
    <t>우에껀 암쇠</t>
  </si>
  <si>
    <t>미테인능건 암놈</t>
  </si>
  <si>
    <t>암느믈</t>
  </si>
  <si>
    <t>매똘 우짝/암매똘 숨매똘</t>
  </si>
  <si>
    <t>암늠/암느미구</t>
  </si>
  <si>
    <t>지게</t>
  </si>
  <si>
    <t>만드는 지개/지＇개</t>
  </si>
  <si>
    <t>지개/지개 지구 댕게찌</t>
  </si>
  <si>
    <t>지게가 여기쓰니까</t>
  </si>
  <si>
    <t>지개</t>
  </si>
  <si>
    <t>발채</t>
  </si>
  <si>
    <t>쏘구＇리</t>
  </si>
  <si>
    <t>소쿠리(발채)/소쿠리 아니지 이 아네</t>
  </si>
  <si>
    <t>소고리</t>
  </si>
  <si>
    <t>소코리</t>
  </si>
  <si>
    <t>바:수가리</t>
  </si>
  <si>
    <t>그건 소쿠리/지게에다 소쿠릴 언징거지요</t>
  </si>
  <si>
    <t>지게 작대기</t>
  </si>
  <si>
    <t>짝띠＇기/예, 지＇게지패~이</t>
  </si>
  <si>
    <t>지게작때기</t>
  </si>
  <si>
    <t>지게딱지기</t>
  </si>
  <si>
    <t>지개작때기</t>
  </si>
  <si>
    <t>지게작띠기</t>
  </si>
  <si>
    <t>막대기</t>
  </si>
  <si>
    <t>이게 짝떼＇김미다./*</t>
  </si>
  <si>
    <t>다 이리미 막때긴데 머 {다 이름이 막대기인데 뭐}</t>
  </si>
  <si>
    <t>막때기는 가능걸 막때기라그래요</t>
  </si>
  <si>
    <t>막때기</t>
  </si>
  <si>
    <t>기낭 막때기루</t>
  </si>
  <si>
    <t>몽둥이</t>
  </si>
  <si>
    <t>몽데＇~이/몽디＇~이</t>
  </si>
  <si>
    <t>그건 몽데~이로도 해노코 머/몽뒹이보단 질:긴 장때가 젤: 질:지</t>
  </si>
  <si>
    <t>몽데~이</t>
  </si>
  <si>
    <t>멍데~이라 구래는데</t>
  </si>
  <si>
    <t>몽댕이는</t>
  </si>
  <si>
    <t>빗자루</t>
  </si>
  <si>
    <t>몽땅＇비짜루(+많이 사용하여 몽땅해진 빗자루)/비짜＇루가 마안＇타</t>
  </si>
  <si>
    <t>방삐/씨레박 방삐/비짤리나/비짜루/비짤루 움능 거또/비짜루라고두 해구</t>
  </si>
  <si>
    <t>비짜루/수수비짜루두 이꾸</t>
  </si>
  <si>
    <t>비라구래지/비짜루라그래지/비짤기라구 이써</t>
  </si>
  <si>
    <t>비 아니여/비루 씬다</t>
  </si>
  <si>
    <t>비짜루라그래요</t>
  </si>
  <si>
    <t>광주리</t>
  </si>
  <si>
    <t>광지＇리</t>
  </si>
  <si>
    <t>광우리/광우리고</t>
  </si>
  <si>
    <t>대광지리/광지리가 이꺼등</t>
  </si>
  <si>
    <t>광:주리라구랜다구</t>
  </si>
  <si>
    <t>광지리르/광지린데</t>
  </si>
  <si>
    <t>광지리</t>
  </si>
  <si>
    <t>소쿠리</t>
  </si>
  <si>
    <t>대쏘구리/소구리라구두 해구</t>
  </si>
  <si>
    <t>이 대바구니</t>
  </si>
  <si>
    <t>소코리야</t>
  </si>
  <si>
    <t>대바구니</t>
  </si>
  <si>
    <t>함지</t>
  </si>
  <si>
    <t>그냥 소래＇라고도 하기도하고 하암＇지라고도 하고(+소래를 더 많이 사용함.)/소래＇라 하는데 나＇부소래(+다)</t>
  </si>
  <si>
    <t>인:날 함태~이</t>
  </si>
  <si>
    <t>함지그르시여/이건 함지</t>
  </si>
  <si>
    <t>이건 함지야</t>
  </si>
  <si>
    <t>함:지</t>
  </si>
  <si>
    <t>함지예요</t>
  </si>
  <si>
    <t>풀비</t>
  </si>
  <si>
    <t>모지랑＇비</t>
  </si>
  <si>
    <t>풀삐라고 쪼그망 거 이찌/풀비라 그래구</t>
  </si>
  <si>
    <t>풀채</t>
  </si>
  <si>
    <t>풀삐</t>
  </si>
  <si>
    <t>솔:</t>
  </si>
  <si>
    <t>소:리예요/솔:</t>
  </si>
  <si>
    <t>21705-1</t>
  </si>
  <si>
    <t>귀얄</t>
  </si>
  <si>
    <t>풀소올＇</t>
  </si>
  <si>
    <t>귀얄/풀뀌아리라 그래/귀야리라 그래 그걸 가지구</t>
  </si>
  <si>
    <t>그거또 풀쏘리여/풀쏘리라능건/소:리라 그래지</t>
  </si>
  <si>
    <t>독</t>
  </si>
  <si>
    <t>김치똑</t>
  </si>
  <si>
    <t>도기여/도그로 하먼 돼</t>
  </si>
  <si>
    <t>도기라구</t>
  </si>
  <si>
    <t>도그는</t>
  </si>
  <si>
    <t>독/큰독</t>
  </si>
  <si>
    <t>21706-0-1</t>
  </si>
  <si>
    <t>이기 단지＇나 도＇기나 모르개때이 {이것이 단지인지 독인지 모르겠다.}</t>
  </si>
  <si>
    <t>도게다 는는 거 {독에다 넣는 거}</t>
  </si>
  <si>
    <t>도게다가 하라고 그래지</t>
  </si>
  <si>
    <t>도게다가</t>
  </si>
  <si>
    <t>큰도기 크다</t>
  </si>
  <si>
    <t>물독</t>
  </si>
  <si>
    <t>이건＇ 이거는 독/두벙＇</t>
  </si>
  <si>
    <t>물또기 인나</t>
  </si>
  <si>
    <t>대:개 물또그로 불러/물뚜멍(물을 담아두는 곳)/물뚜머~이라고</t>
  </si>
  <si>
    <t>물또기라고</t>
  </si>
  <si>
    <t>물다마두는 물또기라그래구</t>
  </si>
  <si>
    <t>항아리</t>
  </si>
  <si>
    <t>꿀딴지＇(+할머니)/항아＇리란 얘애＇기가 꿀딴지래요.(+꿀단지를 많이 사용함.)</t>
  </si>
  <si>
    <t>항아리/항아리네</t>
  </si>
  <si>
    <t>물하~아리/짐치하~아리가주오나라</t>
  </si>
  <si>
    <t>항아리에다 당구자나 그걸/항아리에두/항아리야</t>
  </si>
  <si>
    <t>버리기/항아리라고그래능가튼데(+?제)</t>
  </si>
  <si>
    <t>장 항아리게찌요</t>
  </si>
  <si>
    <t>단지</t>
  </si>
  <si>
    <t>단지＇</t>
  </si>
  <si>
    <t>이게 단지여 이쪼게/이게 단지지</t>
  </si>
  <si>
    <t>단지/단지는 간넌는 간딴지고 {단지는 간을 넣는 간단지이고}</t>
  </si>
  <si>
    <t>단지라구래나</t>
  </si>
  <si>
    <t>단지/오갈딴지</t>
  </si>
  <si>
    <t>물동이</t>
  </si>
  <si>
    <t>도＇~오/물또＇오 우＇째고이래자나 물또＇~오</t>
  </si>
  <si>
    <t>동우여 이리미/발랑 자빠저서 동우두 깨구/물똥이/동우네/동우도 아녀/물똥우두 이구</t>
  </si>
  <si>
    <t>물똥우</t>
  </si>
  <si>
    <t>그건 동우라그래 동우/요게 동우라고/물똥운데</t>
  </si>
  <si>
    <t>물똥</t>
  </si>
  <si>
    <t>물똥이</t>
  </si>
  <si>
    <t>똬리</t>
  </si>
  <si>
    <t>따비＇~이(+할아버지) 따비＇~이(+할머니)</t>
  </si>
  <si>
    <t>뚜아리</t>
  </si>
  <si>
    <t>또바리</t>
  </si>
  <si>
    <t>이건 똬:리</t>
  </si>
  <si>
    <t>똬:리</t>
  </si>
  <si>
    <t>옹기</t>
  </si>
  <si>
    <t>옹가＇지/옹가＇지 버지＇기다. {옹기그릇이다.}/옹구병＇이라 옹구로 만드랑거 {옹기병이라 옹기로 만든 것}</t>
  </si>
  <si>
    <t>옹구/옹기</t>
  </si>
  <si>
    <t>옹:기/옹:구그르타고 통트러서/옹:기가 크다</t>
  </si>
  <si>
    <t>누가 머머 옹:기를</t>
  </si>
  <si>
    <t>옹:구</t>
  </si>
  <si>
    <t>옹:기그타과 사기그륻하과 {옹기그릇하고 사기그릇하고}/옹:기그르뚜 이꾸</t>
  </si>
  <si>
    <t>표주박</t>
  </si>
  <si>
    <t>표주＇박</t>
  </si>
  <si>
    <t>페주박</t>
  </si>
  <si>
    <t>킁건 큰바가지고/쪽빠가지 고건</t>
  </si>
  <si>
    <t>조롱바기라구래지</t>
  </si>
  <si>
    <t>고지박/고지바기라고</t>
  </si>
  <si>
    <t>쪽빠기라그래 쪽빡</t>
  </si>
  <si>
    <t>키(箕)</t>
  </si>
  <si>
    <t>치가＇ 만타/치＇~이(키)</t>
  </si>
  <si>
    <t>치</t>
  </si>
  <si>
    <t>치라구하지 치</t>
  </si>
  <si>
    <t>까불른다구 치라구</t>
  </si>
  <si>
    <t>치루 까분다</t>
  </si>
  <si>
    <t>떡살</t>
  </si>
  <si>
    <t>사＇리 사＇리/떡싸＇리가 마아~이 찌킨＇다./떡 사리가 마안＇타</t>
  </si>
  <si>
    <t>떡쌀 찡능 거</t>
  </si>
  <si>
    <t>떡쌀/떡싸리라구래</t>
  </si>
  <si>
    <t>살판/떡쌀판</t>
  </si>
  <si>
    <t>떡쌀</t>
  </si>
  <si>
    <t>다식판</t>
  </si>
  <si>
    <t>다식</t>
  </si>
  <si>
    <t>시루</t>
  </si>
  <si>
    <t>실＇기 어대 이따나?/시루 마알＇고/시루＇도 가주 와.</t>
  </si>
  <si>
    <t>실기라구두 하지/시루/떡씨루/시루가 크다/시루즘 가주오나라</t>
  </si>
  <si>
    <t>실그(+머)/시루(+머)/시루라</t>
  </si>
  <si>
    <t>21717-0-1</t>
  </si>
  <si>
    <t>야 그 떡찐데 실그 좀 가주오나라/실＇기 마안＇타</t>
  </si>
  <si>
    <t>실룰 으더다 쩌머거야지 {시루를 얻어다 쩌먹어야지}/실레다</t>
  </si>
  <si>
    <t>시루를 가주나라/시루를 가주와야지</t>
  </si>
  <si>
    <t>시루를</t>
  </si>
  <si>
    <t>시루르 가주와라</t>
  </si>
  <si>
    <t>시루가주 와라/시루가 크다</t>
  </si>
  <si>
    <t>21717-0-2</t>
  </si>
  <si>
    <t>실＇게다 찐다＇</t>
  </si>
  <si>
    <t>실기에 떠글 찐다/시루에 떠글 찐다/떡씨루에다 쩌지/시루에다</t>
  </si>
  <si>
    <t>실레다가/시루에다/실레다가 쩌서는</t>
  </si>
  <si>
    <t>시루에더가/실게다가</t>
  </si>
  <si>
    <t>시루에다</t>
  </si>
  <si>
    <t>시룻밑</t>
  </si>
  <si>
    <t>시루꾸영＇/시르꾸영＇</t>
  </si>
  <si>
    <t>시루믿</t>
  </si>
  <si>
    <t>시루믿/시룸믿</t>
  </si>
  <si>
    <t>시루미치라그래/시루미치라 그래는데</t>
  </si>
  <si>
    <t>시르믿(+머)</t>
  </si>
  <si>
    <t>시루믿까주와라</t>
  </si>
  <si>
    <t>21718-0-1</t>
  </si>
  <si>
    <t>시루미친데</t>
  </si>
  <si>
    <t>시루미틀</t>
  </si>
  <si>
    <t>시르미트(+머)</t>
  </si>
  <si>
    <t>시루미치랑게</t>
  </si>
  <si>
    <t>시룻번</t>
  </si>
  <si>
    <t>시리뽄＇/시루뽄＇ 뽄/시루꾸여~＇이 크다</t>
  </si>
  <si>
    <t>시루뻔/시루뻐늘 발라야 해</t>
  </si>
  <si>
    <t>시루꾸영</t>
  </si>
  <si>
    <t>시루뻔</t>
  </si>
  <si>
    <t>시루미빤죽/시루미까루라그래요/시루미까리/시르뿌니라해(+머)/시르뿌니라고(+머)</t>
  </si>
  <si>
    <t>시루믿 빨른다구</t>
  </si>
  <si>
    <t>부싯돌</t>
  </si>
  <si>
    <t>부시＇똘/부시＇ 부시또올＇</t>
  </si>
  <si>
    <t>부시똘</t>
  </si>
  <si>
    <t>거 부수똘</t>
  </si>
  <si>
    <t>부수또리라구러지요</t>
  </si>
  <si>
    <t>21720-0-1</t>
  </si>
  <si>
    <t>부시또올＇하고</t>
  </si>
  <si>
    <t>부시또리라 그래던데</t>
  </si>
  <si>
    <t>부시또리라구래지</t>
  </si>
  <si>
    <t>부시또르 가주와라</t>
  </si>
  <si>
    <t>부수또를 부술가주 와라</t>
  </si>
  <si>
    <t>부시</t>
  </si>
  <si>
    <t>부시＇ 넌능거/부시＇라하그든 부시＇/예엔＇나레 부시＇라고 이싸요./부시＇가 마씀미다</t>
  </si>
  <si>
    <t>부시/부시친다 그래</t>
  </si>
  <si>
    <t>부수지</t>
  </si>
  <si>
    <t>부수</t>
  </si>
  <si>
    <t>부싯깃</t>
  </si>
  <si>
    <t>지스＇가주고 저저 차돌가주고/짇 지시＇지.</t>
  </si>
  <si>
    <t>부시낃/부시끼 친다 그래는데</t>
  </si>
  <si>
    <t>부수짇/부수지디꾸 {부싯깃 있고}/부수찓</t>
  </si>
  <si>
    <t>부시짇/부시지스 가주와야</t>
  </si>
  <si>
    <t>부시낃 이꾸/부시끼시라구</t>
  </si>
  <si>
    <t>담배</t>
  </si>
  <si>
    <t>오＇늘부텀 에이 다암＇배를 끈는＇다</t>
  </si>
  <si>
    <t>짤릉 거 담:배</t>
  </si>
  <si>
    <t>담:배지</t>
  </si>
  <si>
    <t>담:배라구래지</t>
  </si>
  <si>
    <t>담:배 피운다</t>
  </si>
  <si>
    <t>담:배 담:배</t>
  </si>
  <si>
    <t>담뱃대</t>
  </si>
  <si>
    <t>담배＇때</t>
  </si>
  <si>
    <t>담:배때도 꼬버노쿠/담배때 따루 사구/장:죽</t>
  </si>
  <si>
    <t>담:배때/이거 머 담:보때구만</t>
  </si>
  <si>
    <t>담:부때/거 인제 담:부때 마~이 인제 {담뱃대}</t>
  </si>
  <si>
    <t>담버때</t>
  </si>
  <si>
    <t>담:배때/담:부때</t>
  </si>
  <si>
    <t>담배설대</t>
  </si>
  <si>
    <t>요 요건 서얼＇때</t>
  </si>
  <si>
    <t>대설깡/조긴 대설깡인데도 물쭈릴 찡 거여</t>
  </si>
  <si>
    <t>설때</t>
  </si>
  <si>
    <t>대/설깡/담:배때 설깡</t>
  </si>
  <si>
    <t>담배 대:/요건 대:고/담:배 대</t>
  </si>
  <si>
    <t>대고</t>
  </si>
  <si>
    <t>대통</t>
  </si>
  <si>
    <t>담배통＇/담배꼬가＇리</t>
  </si>
  <si>
    <t>담:배통이게찌(+?제)</t>
  </si>
  <si>
    <t>담배꼬가리/담:배꼬가리/꼬가리라</t>
  </si>
  <si>
    <t>이건 담:배꼬가리고</t>
  </si>
  <si>
    <t>담:배꼬가리</t>
  </si>
  <si>
    <t>물부리</t>
  </si>
  <si>
    <t>물뿌＇리</t>
  </si>
  <si>
    <t>담:배물쭈리</t>
  </si>
  <si>
    <t>이건 담:배물쭐기</t>
  </si>
  <si>
    <t>빨뿌리구/물뿌리라구</t>
  </si>
  <si>
    <t>담배물쭐기/담:배물쭐기고</t>
  </si>
  <si>
    <t>담:배 빨뿌리</t>
  </si>
  <si>
    <t>담배쌈지</t>
  </si>
  <si>
    <t>담배쌈지＇</t>
  </si>
  <si>
    <t>담:배쭈머~이</t>
  </si>
  <si>
    <t>담배쭈머니</t>
  </si>
  <si>
    <t>담배쭈머~이</t>
  </si>
  <si>
    <t>담:배쭈머니</t>
  </si>
  <si>
    <t>부채</t>
  </si>
  <si>
    <t>부＇채</t>
  </si>
  <si>
    <t>토시</t>
  </si>
  <si>
    <t>토시＇</t>
  </si>
  <si>
    <t>투시</t>
  </si>
  <si>
    <t>토시가 마저요</t>
  </si>
  <si>
    <t>토시예요 토시</t>
  </si>
  <si>
    <t>벼루</t>
  </si>
  <si>
    <t>베＇리</t>
  </si>
  <si>
    <t>베리똘/베리또레다 그냥/베루똘/베레또리라 그래던데/베레똘</t>
  </si>
  <si>
    <t>베레똘</t>
  </si>
  <si>
    <t>베루/베루라고그래</t>
  </si>
  <si>
    <t>머까는 벼루</t>
  </si>
  <si>
    <t>가락지</t>
  </si>
  <si>
    <t>까락＇찌</t>
  </si>
  <si>
    <t>가락찌</t>
  </si>
  <si>
    <t>가락찌라구</t>
  </si>
  <si>
    <t>비녀</t>
  </si>
  <si>
    <t>비내＇</t>
  </si>
  <si>
    <t>비네</t>
  </si>
  <si>
    <t>비네/비네쪽</t>
  </si>
  <si>
    <t>비내</t>
  </si>
  <si>
    <t>참빗</t>
  </si>
  <si>
    <t>챔＇비시 마안＇타/챔＇빗/챔＇빋</t>
  </si>
  <si>
    <t>참삐뚜 따로 이꾸</t>
  </si>
  <si>
    <t>고다으메 챔비뚜 이찌</t>
  </si>
  <si>
    <t>참빋</t>
  </si>
  <si>
    <t>참:비까따가(+머)</t>
  </si>
  <si>
    <t>둘:다 참비까튼데</t>
  </si>
  <si>
    <t>21734-0-1</t>
  </si>
  <si>
    <t>거 챔＇비시라함미다 챔＇빋</t>
  </si>
  <si>
    <t>참비설 또</t>
  </si>
  <si>
    <t>챔비스로 마:~이 비찌</t>
  </si>
  <si>
    <t>참비스로</t>
  </si>
  <si>
    <t>참비시라능건(+머)</t>
  </si>
  <si>
    <t>참비시 곱:따</t>
  </si>
  <si>
    <t>21734-0-2</t>
  </si>
  <si>
    <t>아 챔＇비시 곱따</t>
  </si>
  <si>
    <t>참비스루/참비시야 참빋</t>
  </si>
  <si>
    <t>챔비슨 이제 챔비시</t>
  </si>
  <si>
    <t>참비스루</t>
  </si>
  <si>
    <t>얼레빗</t>
  </si>
  <si>
    <t>얼게＇빋/얼＇게</t>
  </si>
  <si>
    <t>얼게빋</t>
  </si>
  <si>
    <t>얼게빋/얼게비슬가주나라</t>
  </si>
  <si>
    <t>얼게미라/얼게미로</t>
  </si>
  <si>
    <t>얼개는 따로 인는/이기 얼개고</t>
  </si>
  <si>
    <t>얼개비슨/처:멘 얼개루 비꾸</t>
  </si>
  <si>
    <t>세숫대야</t>
  </si>
  <si>
    <t>세수＇때</t>
  </si>
  <si>
    <t>대얘, 세수때얘</t>
  </si>
  <si>
    <t>셰:수때</t>
  </si>
  <si>
    <t>세:수때라구</t>
  </si>
  <si>
    <t>세:수때/세수때</t>
  </si>
  <si>
    <t>세:수때</t>
  </si>
  <si>
    <t>비누</t>
  </si>
  <si>
    <t>비＇늘</t>
  </si>
  <si>
    <t>비누/비누루</t>
  </si>
  <si>
    <t>도투마리</t>
  </si>
  <si>
    <t>도투마＇리</t>
  </si>
  <si>
    <t>도투마리로군 이게</t>
  </si>
  <si>
    <t>도투마리/아깨 그거 도투마리</t>
  </si>
  <si>
    <t>도투마리라/도투마리야/도투마리지</t>
  </si>
  <si>
    <t>도투마리라구두 쓰구/두투마리라고 마:~이 쓰던데요(+구, +다)</t>
  </si>
  <si>
    <t>활대</t>
  </si>
  <si>
    <t>활때＇</t>
  </si>
  <si>
    <t>이걸 활때라 그래는데</t>
  </si>
  <si>
    <t>활때</t>
  </si>
  <si>
    <t>잉앗대</t>
  </si>
  <si>
    <t>이~애＇때</t>
  </si>
  <si>
    <t>이게 잉어때아녀/잉어땐데</t>
  </si>
  <si>
    <t>잉애때/이~애때</t>
  </si>
  <si>
    <t>이걸 잉애라</t>
  </si>
  <si>
    <t>이~애때</t>
  </si>
  <si>
    <t>그게 잉애때예요</t>
  </si>
  <si>
    <t>부티</t>
  </si>
  <si>
    <t>분＇태</t>
  </si>
  <si>
    <t>부:테/분:테여</t>
  </si>
  <si>
    <t>이건 띠개</t>
  </si>
  <si>
    <t>부:테</t>
  </si>
  <si>
    <t>분:테(+머)</t>
  </si>
  <si>
    <t>부:테(+최광운)</t>
  </si>
  <si>
    <t>도롱이</t>
  </si>
  <si>
    <t>도레＇~이</t>
  </si>
  <si>
    <t>도:레~이고</t>
  </si>
  <si>
    <t>말치(+해초로 만듦)/이게 말치라구</t>
  </si>
  <si>
    <t>도:레~이</t>
  </si>
  <si>
    <t>접싸리</t>
  </si>
  <si>
    <t>이건 도렝이루 맨드릉건데 도렝이라구/접싸리(+비가 올 때 쓰는 도구)</t>
  </si>
  <si>
    <t>이마</t>
  </si>
  <si>
    <t>이＇망</t>
  </si>
  <si>
    <t>이마/이마라 그래구</t>
  </si>
  <si>
    <t>이마는 여기구</t>
  </si>
  <si>
    <t>이매</t>
  </si>
  <si>
    <t>이마빼기</t>
  </si>
  <si>
    <t>이마빼＇기</t>
  </si>
  <si>
    <t>마빠기라구래</t>
  </si>
  <si>
    <t>이마빼기라</t>
  </si>
  <si>
    <t>눈자위</t>
  </si>
  <si>
    <t>눈동＇자</t>
  </si>
  <si>
    <t>그사람 눈짜구가 쌍거푸리다 이래지</t>
  </si>
  <si>
    <t>누나레 눈짜우</t>
  </si>
  <si>
    <t>눈:똥자/눈똥자가 망허진다</t>
  </si>
  <si>
    <t>눈짜우라고</t>
  </si>
  <si>
    <t>눈짜우/동자라그래지요/눈똥자</t>
  </si>
  <si>
    <t>검은자위</t>
  </si>
  <si>
    <t>꺼＇문동자</t>
  </si>
  <si>
    <t>까만동자</t>
  </si>
  <si>
    <t>꺼먼자우</t>
  </si>
  <si>
    <t>까문동자/꺼문동자구/꺼문동자라</t>
  </si>
  <si>
    <t>거문자우 힌자우</t>
  </si>
  <si>
    <t>꺼문자구/거문자라그래지요/꺼먼자구는</t>
  </si>
  <si>
    <t>흰자위</t>
  </si>
  <si>
    <t>힌자구＇/그은＇ 힌동＇자 {그건 흰자위}</t>
  </si>
  <si>
    <t>하연동자/힌동자</t>
  </si>
  <si>
    <t>힌자우</t>
  </si>
  <si>
    <t>힌자구/신동자</t>
  </si>
  <si>
    <t>힌자구</t>
  </si>
  <si>
    <t>눈꺼풀</t>
  </si>
  <si>
    <t>눙꺼푸＇리/눙꺼푸＇리가 내리 덤는＇다</t>
  </si>
  <si>
    <t>눙꺼풀/눙꺼푸리 두두카다/눙꺼푸리처저따 그래</t>
  </si>
  <si>
    <t>어 눙껍찔 눙껍찌리</t>
  </si>
  <si>
    <t>눙꺼풀 눙꺼푸리지</t>
  </si>
  <si>
    <t>눙까푸리도 더핀다/눙까푸리가 더핀다</t>
  </si>
  <si>
    <t>눙꺼풀</t>
  </si>
  <si>
    <t>거적눈</t>
  </si>
  <si>
    <t>거저＇리눈</t>
  </si>
  <si>
    <t>거정누니 따로 이짜너/거정누니라 그래</t>
  </si>
  <si>
    <t>거정누~이라 그래</t>
  </si>
  <si>
    <t>거정누니</t>
  </si>
  <si>
    <t>거정누니라고</t>
  </si>
  <si>
    <t>거정눈</t>
  </si>
  <si>
    <t>눈썹</t>
  </si>
  <si>
    <t>눈섭＇</t>
  </si>
  <si>
    <t>눈썹/그건 눈써비구</t>
  </si>
  <si>
    <t>눈써피라고</t>
  </si>
  <si>
    <t>21808-0-1</t>
  </si>
  <si>
    <t>눈서＇비 아~인대/눈서＇피</t>
  </si>
  <si>
    <t>눈써비 진해게 나따</t>
  </si>
  <si>
    <t>그거또 눈써피지 머/눈써피 시:따/눈써피 실:다 {눈썹이 길다}/눈써피라 눈썹</t>
  </si>
  <si>
    <t>눈써비 아니야</t>
  </si>
  <si>
    <t>눈써피 질:다</t>
  </si>
  <si>
    <t>여긴 눈써비라/눈써피 질:다</t>
  </si>
  <si>
    <t>속눈썹</t>
  </si>
  <si>
    <t>소옹＇눈섭/송＇눈서피 마안＇타/송＇눈섭</t>
  </si>
  <si>
    <t>송:눈썹</t>
  </si>
  <si>
    <t>21809-0-1</t>
  </si>
  <si>
    <t>소옹＇눈서비 지일＇다</t>
  </si>
  <si>
    <t>송눈써비 질:게 나따</t>
  </si>
  <si>
    <t>송:눈써비 마저/속:눈써비 실:다 {속눈썹이 길다}</t>
  </si>
  <si>
    <t>송:눈써피 질:다</t>
  </si>
  <si>
    <t>송:눈써피라그래지요</t>
  </si>
  <si>
    <t>눈두덩</t>
  </si>
  <si>
    <t>눈두＇둥</t>
  </si>
  <si>
    <t>눈두덩이가 두두카다</t>
  </si>
  <si>
    <t>눈뚜덕/눈두덕</t>
  </si>
  <si>
    <t>눈 뚜덩</t>
  </si>
  <si>
    <t>안경</t>
  </si>
  <si>
    <t>애앵＇경</t>
  </si>
  <si>
    <t>앵:경</t>
  </si>
  <si>
    <t>앙:겨~이지</t>
  </si>
  <si>
    <t>앵:경/이건 앙경이</t>
  </si>
  <si>
    <t>앙:경이 크다</t>
  </si>
  <si>
    <t>안경집</t>
  </si>
  <si>
    <t>애앵＇경집</t>
  </si>
  <si>
    <t>앵:경찝</t>
  </si>
  <si>
    <t>앙:경찌베다</t>
  </si>
  <si>
    <t>앵:경지비라</t>
  </si>
  <si>
    <t>앵:경집</t>
  </si>
  <si>
    <t>앙:경찝</t>
  </si>
  <si>
    <t>돋보기</t>
  </si>
  <si>
    <t>도뽀＇기</t>
  </si>
  <si>
    <t>도뻬기</t>
  </si>
  <si>
    <t>도뾔기/도뾔기여</t>
  </si>
  <si>
    <t>근 도뻬기</t>
  </si>
  <si>
    <t>도뽀기</t>
  </si>
  <si>
    <t>주름살</t>
  </si>
  <si>
    <t>주＇름살</t>
  </si>
  <si>
    <t>주룸쌀</t>
  </si>
  <si>
    <t>주굼사리/거 쭈굼사리</t>
  </si>
  <si>
    <t>주룸</t>
  </si>
  <si>
    <t>쌀름박/쭈구룸사리/쌀루바기 생긴다</t>
  </si>
  <si>
    <t>주름사리</t>
  </si>
  <si>
    <t>21814-0-1</t>
  </si>
  <si>
    <t>주＇름싸리 참 마~이 이떠라</t>
  </si>
  <si>
    <t>주굼사리가 생긴다</t>
  </si>
  <si>
    <t>주루미야</t>
  </si>
  <si>
    <t>쭈구룸살또 생기고(+소)/이마 쌀름바기 생게따(+다)</t>
  </si>
  <si>
    <t>주름사리 마:~이 저따</t>
  </si>
  <si>
    <t>앳되다</t>
  </si>
  <si>
    <t>애띤＇ 얼구＇리다/애띠＇게 보인다/애띠개 보인＇다/애띠＇게 보이니까</t>
  </si>
  <si>
    <t>애:뙤다</t>
  </si>
  <si>
    <t>나보더 사:라미 더 애:태하다</t>
  </si>
  <si>
    <t>애뙤다/애뙤보이능거/애때보인다</t>
  </si>
  <si>
    <t>수염</t>
  </si>
  <si>
    <t>쏘ㅒ애＇미</t>
  </si>
  <si>
    <t>거 쇠:미가 마:~이 나따 그래지/쇰:</t>
  </si>
  <si>
    <t>수ㅕ:미고/수ㅕㅁ:</t>
  </si>
  <si>
    <t>쉐:미를 까꺼따고/쉬:미라고/쉐:미도 나따</t>
  </si>
  <si>
    <t>쉼:/쉬:미 질:다</t>
  </si>
  <si>
    <t>구레나룻</t>
  </si>
  <si>
    <t>구레날구＇지/구＇레날개</t>
  </si>
  <si>
    <t>구렌나룬 여기지/구렌나룯</t>
  </si>
  <si>
    <t>구렌나리/구레나리가 마:~이 나따</t>
  </si>
  <si>
    <t>구레</t>
  </si>
  <si>
    <t>구레날구지라고</t>
  </si>
  <si>
    <t>구레나라그래지요</t>
  </si>
  <si>
    <t>21817-0-1</t>
  </si>
  <si>
    <t>구레날구＇지라 하든대/구＇레날구지가 마＇지요</t>
  </si>
  <si>
    <t>구렌나루시지</t>
  </si>
  <si>
    <t>구렌나리를 까꺼라</t>
  </si>
  <si>
    <t>구레가 마~이 나따</t>
  </si>
  <si>
    <t>구레날구지처럼</t>
  </si>
  <si>
    <t>구레나가 참 마:~이 나따</t>
  </si>
  <si>
    <t>코</t>
  </si>
  <si>
    <t>쾨/쾨끋＇</t>
  </si>
  <si>
    <t>코/코에서</t>
  </si>
  <si>
    <t>코라구</t>
  </si>
  <si>
    <t>코라구래고</t>
  </si>
  <si>
    <t>21818-0-1</t>
  </si>
  <si>
    <t>쾨가＇ 크다＇</t>
  </si>
  <si>
    <t>코가 크다구</t>
  </si>
  <si>
    <t>코가 크다</t>
  </si>
  <si>
    <t>코가</t>
  </si>
  <si>
    <t>코가 크먼</t>
  </si>
  <si>
    <t>콧수염</t>
  </si>
  <si>
    <t>코쏘ㅒ애＇미</t>
  </si>
  <si>
    <t>코쑤ㅕㅁ:</t>
  </si>
  <si>
    <t>코쐼:</t>
  </si>
  <si>
    <t>코쒸:미라</t>
  </si>
  <si>
    <t>코쒜:미</t>
  </si>
  <si>
    <t>코쒸:미라그래지요/코쒬:/코쓈:</t>
  </si>
  <si>
    <t>코딱지</t>
  </si>
  <si>
    <t>쾨딱찌＇~이</t>
  </si>
  <si>
    <t>코딱지 파내는/코따대~이</t>
  </si>
  <si>
    <t>코딱찌라 그리고</t>
  </si>
  <si>
    <t>코따데~이</t>
  </si>
  <si>
    <t>코딱찌</t>
  </si>
  <si>
    <t>콧구멍</t>
  </si>
  <si>
    <t>쾨꾸영＇/코꾸영＇</t>
  </si>
  <si>
    <t>코꾸여~이구</t>
  </si>
  <si>
    <t>코꾸녕이라</t>
  </si>
  <si>
    <t>코꾸녕 파지마라</t>
  </si>
  <si>
    <t>코꾸녕</t>
  </si>
  <si>
    <t>21821-0-1</t>
  </si>
  <si>
    <t>코꾸여~＇ 파지마라/쾨꾸여~＇이 크다</t>
  </si>
  <si>
    <t>코꾸영을 막아라</t>
  </si>
  <si>
    <t>코꾸머~이라고/코꾸녀~이 아푸다</t>
  </si>
  <si>
    <t>코꾸녕 판다그래지</t>
  </si>
  <si>
    <t>21821-0-2</t>
  </si>
  <si>
    <t>코꾸머게 손 넌는다</t>
  </si>
  <si>
    <t>코꾸영에서</t>
  </si>
  <si>
    <t>코꾸멍에서</t>
  </si>
  <si>
    <t>코꾸녀~:서 피가 난다</t>
  </si>
  <si>
    <t>코꾸녀~이 크다</t>
  </si>
  <si>
    <t>콧물</t>
  </si>
  <si>
    <t>쾸물＇</t>
  </si>
  <si>
    <t>콤물</t>
  </si>
  <si>
    <t>콤무리 나지</t>
  </si>
  <si>
    <t>콤무리라</t>
  </si>
  <si>
    <t>콤무리/콤물</t>
  </si>
  <si>
    <t>콤물라온다그래지요/강:기 걸림 콤무리</t>
  </si>
  <si>
    <t>입술</t>
  </si>
  <si>
    <t>입쑬＇도 뚜꿉＇따</t>
  </si>
  <si>
    <t>입쑬/아랜닙쑬</t>
  </si>
  <si>
    <t>입쑬기/입쑬길 따까라/입쑬기가 이:뿌다/입쑬기가 이:뿌더라/입쑤리 이:뿌더라/입쑤를 다무러라</t>
  </si>
  <si>
    <t>입쑬</t>
  </si>
  <si>
    <t>입쑬기 이:뿌다</t>
  </si>
  <si>
    <t>입쑤리/입쑬</t>
  </si>
  <si>
    <t>21823-0-1</t>
  </si>
  <si>
    <t>입쑬＇기 터제따</t>
  </si>
  <si>
    <t>입쑤리 이:뿌다 이래지</t>
  </si>
  <si>
    <t>입술기에 머이 무더다/입쑬기에/입쑤레 뭐/입쑬게 머이 무더따(촌사람의 말)</t>
  </si>
  <si>
    <t>입쑤리라</t>
  </si>
  <si>
    <t>입쑬게 바푸리 무더따</t>
  </si>
  <si>
    <t>입쑤레 바풀 무더따</t>
  </si>
  <si>
    <t>다물다</t>
  </si>
  <si>
    <t>다물＇고/다무＇라</t>
  </si>
  <si>
    <t>입 따무린다/다무린다</t>
  </si>
  <si>
    <t>이블 다물고 이따/이블 다무레따/이블 다문다</t>
  </si>
  <si>
    <t>다무러따</t>
  </si>
  <si>
    <t>다문다/이불 다무러라</t>
  </si>
  <si>
    <t>다무리지 말:구/다무레라/입따무리지 말:라구/입따무레라/입따무리고 이써라</t>
  </si>
  <si>
    <t>어금니</t>
  </si>
  <si>
    <t>어＇금니</t>
  </si>
  <si>
    <t>그걸 어금니라구</t>
  </si>
  <si>
    <t>덧니</t>
  </si>
  <si>
    <t>뻐언＇니</t>
  </si>
  <si>
    <t>던니</t>
  </si>
  <si>
    <t>던니라</t>
  </si>
  <si>
    <t>휘파람</t>
  </si>
  <si>
    <t>휘빠람＇/휘빠람 부라가주고</t>
  </si>
  <si>
    <t>회파람</t>
  </si>
  <si>
    <t>휘빠람/휘빠라미라 그래지</t>
  </si>
  <si>
    <t>회파라믈/회파람</t>
  </si>
  <si>
    <t>휘빠람</t>
  </si>
  <si>
    <t>회빠람/회빠라미리그래요</t>
  </si>
  <si>
    <t>침</t>
  </si>
  <si>
    <t>추무＇ 함모＇금 넝과＇라/추무＇ 넝군＇다</t>
  </si>
  <si>
    <t>가래침/군:치미 흘른다 그래/군침/치멀 생킨다 그래지</t>
  </si>
  <si>
    <t>그양 침/가래침</t>
  </si>
  <si>
    <t>치믈 밴:는다</t>
  </si>
  <si>
    <t>치미 나온다/침</t>
  </si>
  <si>
    <t>치물 꿀떡 생킨다그래지요</t>
  </si>
  <si>
    <t>삼키다</t>
  </si>
  <si>
    <t>삼＇킨다</t>
  </si>
  <si>
    <t>꿀꺽꿀꺽 생키네/치멀 생킨다 그래지</t>
  </si>
  <si>
    <t>생킨다/꿀떡 섕키고 이따</t>
  </si>
  <si>
    <t>생켜라</t>
  </si>
  <si>
    <t>치물 생킨다/치물 생케라</t>
  </si>
  <si>
    <t>꿀떡 생킨다구/꿀떡 생키라구</t>
  </si>
  <si>
    <t>가래(痰)</t>
  </si>
  <si>
    <t>가래＇</t>
  </si>
  <si>
    <t>가래(입)/가래가/가래를 밴:는다</t>
  </si>
  <si>
    <t>가래침 밴:는다</t>
  </si>
  <si>
    <t>가래가 나오지머/가래침 배:튼다</t>
  </si>
  <si>
    <t>가래 가래라/가래 배:터라</t>
  </si>
  <si>
    <t>뱉다</t>
  </si>
  <si>
    <t>조오＇심해 배타라</t>
  </si>
  <si>
    <t>누런 가래치멀 배:터 놘네/밴:네 이래</t>
  </si>
  <si>
    <t>배:타야지/배:꼬 이따</t>
  </si>
  <si>
    <t>배:터라</t>
  </si>
  <si>
    <t>배:튼다/배:트러라/배:틀구 이따</t>
  </si>
  <si>
    <t>배:터라/가래 배:찌 마라/방에다 아무데나 배:트믄</t>
  </si>
  <si>
    <t>혀</t>
  </si>
  <si>
    <t>셰가＇ 참:: 뚜꿉＇따/세</t>
  </si>
  <si>
    <t>세</t>
  </si>
  <si>
    <t>셰</t>
  </si>
  <si>
    <t>세/세빠닥</t>
  </si>
  <si>
    <t>세/세가 질:다</t>
  </si>
  <si>
    <t>세가 질:다/세라 그래지 세</t>
  </si>
  <si>
    <t>혓바늘</t>
  </si>
  <si>
    <t>세빠＇늘</t>
  </si>
  <si>
    <t>세빠눌</t>
  </si>
  <si>
    <t>셰:빠늘</t>
  </si>
  <si>
    <t>그걸 세빠누리라</t>
  </si>
  <si>
    <t>세빠늘 도더따</t>
  </si>
  <si>
    <t>세빠누리라그래요</t>
  </si>
  <si>
    <t>귓불</t>
  </si>
  <si>
    <t>귀빱＇</t>
  </si>
  <si>
    <t>귀빱</t>
  </si>
  <si>
    <t>귀부라리라 그래지/귀부랄</t>
  </si>
  <si>
    <t>귀뿌리라</t>
  </si>
  <si>
    <t>귀뿔</t>
  </si>
  <si>
    <t>귀고리</t>
  </si>
  <si>
    <t>기거＇리 기거＇리</t>
  </si>
  <si>
    <t>귀거리</t>
  </si>
  <si>
    <t>귀거리/귀고리가 날:끼야(＇귀거리＇보다 ＇귀고리＇가 자연스럽다고 함)</t>
  </si>
  <si>
    <t>21835-1</t>
  </si>
  <si>
    <t>귀걸이</t>
  </si>
  <si>
    <t>귀거＇리/기마＇개</t>
  </si>
  <si>
    <t>귀마개 마:니 해지</t>
  </si>
  <si>
    <t>귀거리라고요</t>
  </si>
  <si>
    <t>거뚜 귀거리라구 귀거리</t>
  </si>
  <si>
    <t>귀지</t>
  </si>
  <si>
    <t>귀이＇채＇~이/귀이＇채~이가 마안＇타/귀이＇치~이</t>
  </si>
  <si>
    <t>귀청</t>
  </si>
  <si>
    <t>귀딱찌</t>
  </si>
  <si>
    <t>귀총</t>
  </si>
  <si>
    <t>귀:체~이</t>
  </si>
  <si>
    <t>귀처~이라그래요 귀청</t>
  </si>
  <si>
    <t>귀이개</t>
  </si>
  <si>
    <t>귀비＇개</t>
  </si>
  <si>
    <t>귀비개</t>
  </si>
  <si>
    <t>귀파개</t>
  </si>
  <si>
    <t>귀비개가</t>
  </si>
  <si>
    <t>귀:개</t>
  </si>
  <si>
    <t>소리</t>
  </si>
  <si>
    <t>소＇리를 들른＇다</t>
  </si>
  <si>
    <t>소리를 고래고래 질르네 이래</t>
  </si>
  <si>
    <t>소리가 잘들리지</t>
  </si>
  <si>
    <t>소리가</t>
  </si>
  <si>
    <t>소리르 지른다</t>
  </si>
  <si>
    <t>소리 질른다그래지요</t>
  </si>
  <si>
    <t>엿듣다</t>
  </si>
  <si>
    <t>여어＇뜰른다</t>
  </si>
  <si>
    <t>여뜬능 거</t>
  </si>
  <si>
    <t>여뜯는다</t>
  </si>
  <si>
    <t>으ㅡ:뜬는다/으ㅡ:뜨러라</t>
  </si>
  <si>
    <t>으ㅡ:뜨러라/으ㅡ:뜬는다</t>
  </si>
  <si>
    <t>그걸 으ㅡ:뜬는다그래요/으ㅡ:뜨찌 마르라구/으ㅡ:뜬는다구</t>
  </si>
  <si>
    <t>기이＇치~이/기이＇치~이가 떠러진다</t>
  </si>
  <si>
    <t>귀청 떠러진다 그래</t>
  </si>
  <si>
    <t>귀창 떠러지게따</t>
  </si>
  <si>
    <t>귀총이 떠러진다</t>
  </si>
  <si>
    <t>귀:체~이가 떠러저나간다고</t>
  </si>
  <si>
    <t>귀청 떠러저다</t>
  </si>
  <si>
    <t>귀밑</t>
  </si>
  <si>
    <t>귀미틀 무러따 그래지 여기는/귀부랄미틀 무러다</t>
  </si>
  <si>
    <t>귀미치라구래나</t>
  </si>
  <si>
    <t>귀미치</t>
  </si>
  <si>
    <t>귀미치라그래지요 귀믿</t>
  </si>
  <si>
    <t>21841-0-1</t>
  </si>
  <si>
    <t>귀미치라 그리구</t>
  </si>
  <si>
    <t>귀미테 저미 이따</t>
  </si>
  <si>
    <t>관자놀이</t>
  </si>
  <si>
    <t>얭＇미가리</t>
  </si>
  <si>
    <t>관자노리가 실룩씰루칸다 그래지 여기/관자노리두 이꾸</t>
  </si>
  <si>
    <t>기미</t>
  </si>
  <si>
    <t>지＇이미 씨라따</t>
  </si>
  <si>
    <t>끼미</t>
  </si>
  <si>
    <t>지미가 이따</t>
  </si>
  <si>
    <t>기:미라한다고(+머)/기:미 실른다(+머)</t>
  </si>
  <si>
    <t>지미두 찌어따</t>
  </si>
  <si>
    <t>주근깨</t>
  </si>
  <si>
    <t>주＇군깨</t>
  </si>
  <si>
    <t>주근깨가 마:~이 생긴다 그래</t>
  </si>
  <si>
    <t>중꽤가 찌에따</t>
  </si>
  <si>
    <t>주군깨가 만:타구</t>
  </si>
  <si>
    <t>턱</t>
  </si>
  <si>
    <t>택/태기＇ 도라간대이/택쑤가＇리(+비)</t>
  </si>
  <si>
    <t>테기라고 한다/이거 텍</t>
  </si>
  <si>
    <t>터거리에 턱/터기라구래자너</t>
  </si>
  <si>
    <t>턱/테기 질:다/테기야</t>
  </si>
  <si>
    <t>터기라그래요/턱</t>
  </si>
  <si>
    <t>턱수염</t>
  </si>
  <si>
    <t>텍쐬:미라고 해야지/텍쐼:</t>
  </si>
  <si>
    <t>턱쑤ㅕㅁ:/터거리</t>
  </si>
  <si>
    <t>텍쒜미게찌/텍쒜:미</t>
  </si>
  <si>
    <t>턱쒜:미 질:다/턱쉠:</t>
  </si>
  <si>
    <t>뺨</t>
  </si>
  <si>
    <t>뺘미＇ 곱다(+신)/뺌(+구)</t>
  </si>
  <si>
    <t>뺘믈 마저따/귀빰/뺘믄 여기구</t>
  </si>
  <si>
    <t>뺌두 아니구/빼멀 때려따/빼메 이따/빼미라구래지</t>
  </si>
  <si>
    <t>빼미라구 뺌/뺌따구</t>
  </si>
  <si>
    <t>뺘미라그래지요/이런델 빼:미라고 하는데/뺨마자따구</t>
  </si>
  <si>
    <t>21847-1</t>
  </si>
  <si>
    <t>볼</t>
  </si>
  <si>
    <t>뽀라＇지르/뽈</t>
  </si>
  <si>
    <t>벌테기 {볼}</t>
  </si>
  <si>
    <t>귀뽈</t>
  </si>
  <si>
    <t>벌테기구</t>
  </si>
  <si>
    <t>볼테기 때린다고/여:가 보리 아냐/볼테기조</t>
  </si>
  <si>
    <t>보리라그래요</t>
  </si>
  <si>
    <t>갸름하다</t>
  </si>
  <si>
    <t>개로마＇다</t>
  </si>
  <si>
    <t>재로매:서 이:뿌다(갸름하다)/바:미 재로마다</t>
  </si>
  <si>
    <t>자름해다/재름하다</t>
  </si>
  <si>
    <t>지름하다/지룸하다</t>
  </si>
  <si>
    <t>개름허다</t>
  </si>
  <si>
    <t>보조개</t>
  </si>
  <si>
    <t>보오＇조개 등 거 보＇~이 남자 홀리＇게떠라</t>
  </si>
  <si>
    <t>이뽀리 드러가따</t>
  </si>
  <si>
    <t>*(제보자가 모름.)</t>
  </si>
  <si>
    <t>머리카락</t>
  </si>
  <si>
    <t>멀끄디＇~이</t>
  </si>
  <si>
    <t>머리카라기 떠러저따/머리카락/머리깨~이가 질:다</t>
  </si>
  <si>
    <t>머리카랑이라/머리캉이</t>
  </si>
  <si>
    <t>머리께~이/머리께~이라고(+다)/머리털</t>
  </si>
  <si>
    <t>머리카락/머리캉</t>
  </si>
  <si>
    <t>비듬</t>
  </si>
  <si>
    <t>비눌</t>
  </si>
  <si>
    <t>비름</t>
  </si>
  <si>
    <t>비드미라고</t>
  </si>
  <si>
    <t>기계총</t>
  </si>
  <si>
    <t>쥐부수＇루미</t>
  </si>
  <si>
    <t>충/기게충이 생게따 구래지</t>
  </si>
  <si>
    <t>기부수룸</t>
  </si>
  <si>
    <t>기게추~이라해야되능가 기게버지미라고 해야되능가?/기게버짐</t>
  </si>
  <si>
    <t>기게충</t>
  </si>
  <si>
    <t>정수리</t>
  </si>
  <si>
    <t>수웅＇꾸영</t>
  </si>
  <si>
    <t>장:배기</t>
  </si>
  <si>
    <t>정:배기</t>
  </si>
  <si>
    <t>장배기</t>
  </si>
  <si>
    <t>정배기</t>
  </si>
  <si>
    <t>대머리</t>
  </si>
  <si>
    <t>대머＇리</t>
  </si>
  <si>
    <t>대:머리</t>
  </si>
  <si>
    <t>대:머리 까저따</t>
  </si>
  <si>
    <t>고수머리</t>
  </si>
  <si>
    <t>꼬두머＇리</t>
  </si>
  <si>
    <t>꼬수머리지 머</t>
  </si>
  <si>
    <t>곱쓸머리</t>
  </si>
  <si>
    <t>꼬두머리(+다)/꼬수머리</t>
  </si>
  <si>
    <t>가르마</t>
  </si>
  <si>
    <t>가늠＇배(+구)/가름＇배는(+신)</t>
  </si>
  <si>
    <t>가름배</t>
  </si>
  <si>
    <t>가르매</t>
  </si>
  <si>
    <t>가늠배</t>
  </si>
  <si>
    <t>가름배/가름배가</t>
  </si>
  <si>
    <t>21856-1</t>
  </si>
  <si>
    <t>가르마 타다/가르다/하다</t>
  </si>
  <si>
    <t>가늠＇배를 잘타라＇</t>
  </si>
  <si>
    <t>가름배 탄다 그래지</t>
  </si>
  <si>
    <t>가르매 탄다그래</t>
  </si>
  <si>
    <t>가늠배르 탄다</t>
  </si>
  <si>
    <t>똑빠로 타는 사람도 이꾸</t>
  </si>
  <si>
    <t>가마(旋毛)</t>
  </si>
  <si>
    <t>수가＇매</t>
  </si>
  <si>
    <t>가매</t>
  </si>
  <si>
    <t>수까매라고/가매(+머리에 있는 것)</t>
  </si>
  <si>
    <t>가매(+사람의 머리)/사:람마다 가매가 다 이짜너</t>
  </si>
  <si>
    <t>가매라그래요</t>
  </si>
  <si>
    <t>21857-1</t>
  </si>
  <si>
    <t>가마(鼎)의 성조ㆍ음장</t>
  </si>
  <si>
    <t>근＇데 가＇매는 월래＇가</t>
  </si>
  <si>
    <t>가매(솥)</t>
  </si>
  <si>
    <t>가마(+솥)/가마라구래(+솥)</t>
  </si>
  <si>
    <t>가매(+솥)</t>
  </si>
  <si>
    <t>근 가마지 가마</t>
  </si>
  <si>
    <t>21857-2</t>
  </si>
  <si>
    <t>가마(轎)의 성조ㆍ음장</t>
  </si>
  <si>
    <t>가아＇매</t>
  </si>
  <si>
    <t>가:매(타는 것)/가:마(타는 것)</t>
  </si>
  <si>
    <t>가:매(+타는 것)</t>
  </si>
  <si>
    <t>가매(+타는 것)</t>
  </si>
  <si>
    <t>가:매 가:매</t>
  </si>
  <si>
    <t>21857-3</t>
  </si>
  <si>
    <t>가마(窯)의 성조ㆍ음장</t>
  </si>
  <si>
    <t>옹:구까매/그거또 가매지/가마</t>
  </si>
  <si>
    <t>도자기 가마가 또</t>
  </si>
  <si>
    <t>21857-4</t>
  </si>
  <si>
    <t>가마(가마니)의 성조ㆍ음장</t>
  </si>
  <si>
    <t>가＇마~이</t>
  </si>
  <si>
    <t>항 가마/가마니</t>
  </si>
  <si>
    <t>가마니/가마두 이꾸(+쌀을 넣는 ＇가마＇)</t>
  </si>
  <si>
    <t>항가마~이/가마니</t>
  </si>
  <si>
    <t>가마니/항가마니</t>
  </si>
  <si>
    <t>뒤통수</t>
  </si>
  <si>
    <t>뒤위＇통수</t>
  </si>
  <si>
    <t>뒤통시</t>
  </si>
  <si>
    <t>뒤통/뒤통을 때린다/뒤통이라</t>
  </si>
  <si>
    <t>뒤통새</t>
  </si>
  <si>
    <t>뒤퉁세</t>
  </si>
  <si>
    <t>뒷덜미</t>
  </si>
  <si>
    <t>덜미＇</t>
  </si>
  <si>
    <t>뒤떠수길 재페따/더수기</t>
  </si>
  <si>
    <t>목떨미는/덜미</t>
  </si>
  <si>
    <t>뒤떨미르 자바</t>
  </si>
  <si>
    <t>덜미 자버따</t>
  </si>
  <si>
    <t>목</t>
  </si>
  <si>
    <t>모가＇지/모강＇지</t>
  </si>
  <si>
    <t>모가지/대:개다 모이기지 {대개 다 목이지}/모기라고도 하지 목</t>
  </si>
  <si>
    <t>모걸 자버댕긴다/모기지</t>
  </si>
  <si>
    <t>모기 질:다</t>
  </si>
  <si>
    <t>멱살</t>
  </si>
  <si>
    <t>멕＇쌀</t>
  </si>
  <si>
    <t>멕쌀/멕싸를 재페다 그래지</t>
  </si>
  <si>
    <t>목싸리구</t>
  </si>
  <si>
    <t>아피 멕싸리고/멕싸르 자바따</t>
  </si>
  <si>
    <t>멕싸리/멕싸리 자버따</t>
  </si>
  <si>
    <t>어깨</t>
  </si>
  <si>
    <t>어＇깨</t>
  </si>
  <si>
    <t>어깨로/어깬데 어깨에다</t>
  </si>
  <si>
    <t>어깨르 미러따</t>
  </si>
  <si>
    <t>밀치다</t>
  </si>
  <si>
    <t>밀＇친다</t>
  </si>
  <si>
    <t>미능걸 미러치다그래구/미러친다</t>
  </si>
  <si>
    <t>어깨로 민:다/미러</t>
  </si>
  <si>
    <t>밀처따</t>
  </si>
  <si>
    <t>그러치요 밀치지 말:라고</t>
  </si>
  <si>
    <t>겨드랑</t>
  </si>
  <si>
    <t>제＇탈믿/제＇탈미치 간지＇룹따</t>
  </si>
  <si>
    <t>저드랑이/겨드랑/겨드랑이 가럽따</t>
  </si>
  <si>
    <t>저지랑</t>
  </si>
  <si>
    <t>저드랑/저드랑미치라고</t>
  </si>
  <si>
    <t>저드랑</t>
  </si>
  <si>
    <t>등</t>
  </si>
  <si>
    <t>등띠＇기</t>
  </si>
  <si>
    <t>등아릴 민:다/등아리</t>
  </si>
  <si>
    <t>등이 등이라/등어리</t>
  </si>
  <si>
    <t>더~아리가 마따니/등때/던떼기/ 등아리/등때뻬</t>
  </si>
  <si>
    <t>가슴</t>
  </si>
  <si>
    <t>저 사＇람 가＇시미 너릉 거 보＇~이 너그＇러께따/가＇심</t>
  </si>
  <si>
    <t>가시미 아푸다 그래지 머/가심</t>
  </si>
  <si>
    <t>가슴/아까슴</t>
  </si>
  <si>
    <t>가시미 되구</t>
  </si>
  <si>
    <t>가스미 답다바다/가슴 답다바다/가슴(＇으＇가 ＇어＇에 가까움)</t>
  </si>
  <si>
    <t>가슴 가스미 답따바다</t>
  </si>
  <si>
    <t>결리다</t>
  </si>
  <si>
    <t>절리＇인다</t>
  </si>
  <si>
    <t>다:미 부트먼 절린다</t>
  </si>
  <si>
    <t>절려서/절린다</t>
  </si>
  <si>
    <t>절례서 아푸다/절린:다</t>
  </si>
  <si>
    <t>등이 절리다</t>
  </si>
  <si>
    <t>갈비뼈</t>
  </si>
  <si>
    <t>갈비＇때</t>
  </si>
  <si>
    <t>갈비때라구래/갈비가</t>
  </si>
  <si>
    <t>갈비뻬</t>
  </si>
  <si>
    <t>허파</t>
  </si>
  <si>
    <t>허파＇</t>
  </si>
  <si>
    <t>수ㅕㅁ:통이라</t>
  </si>
  <si>
    <t>허파라그래는데(+?제)</t>
  </si>
  <si>
    <t>쓸개</t>
  </si>
  <si>
    <t>으ㅡ을/쓸개＇ 으ㅡ으＇리 읍＇따지요</t>
  </si>
  <si>
    <t>쓸개라구래/쓰레두/으ㅡ:리라구/쓰:레</t>
  </si>
  <si>
    <t>으ㅡㄹ:</t>
  </si>
  <si>
    <t>으ㅡ:리라고도 허고/씰개라고(+약으로 쓸 때는 ＇쓸개＇를 많이 사용함.)/으ㅡ:리지 으ㅡㄹ:(+쓸개)/으ㅡ:리라그래요(+물고기는 ＇으ㅡㄹ:을 많이 씀.)</t>
  </si>
  <si>
    <t>콩팥</t>
  </si>
  <si>
    <t>콩＇팓</t>
  </si>
  <si>
    <t>콩팓/콩파치 마시 조:워</t>
  </si>
  <si>
    <t>콩팓</t>
  </si>
  <si>
    <t>21910-0-1</t>
  </si>
  <si>
    <t>콩＇파치 아푸＇다</t>
  </si>
  <si>
    <t>콩파치야 머</t>
  </si>
  <si>
    <t>콩파시</t>
  </si>
  <si>
    <t>콩파테 이사~이 이따</t>
  </si>
  <si>
    <t>콩파시 크다그래게찌요</t>
  </si>
  <si>
    <t>21910-0-2</t>
  </si>
  <si>
    <t>콩＇파테 이＇사~이 이따</t>
  </si>
  <si>
    <t>콩파튼 피를</t>
  </si>
  <si>
    <t>콩파설</t>
  </si>
  <si>
    <t>콩파치 아푸다</t>
  </si>
  <si>
    <t>콩파슬 멍는다</t>
  </si>
  <si>
    <t>팔</t>
  </si>
  <si>
    <t>파＇리가 지일＇따</t>
  </si>
  <si>
    <t>팔 끼:구 간다 그래드닞/팔떼기</t>
  </si>
  <si>
    <t>파를 즌:는다</t>
  </si>
  <si>
    <t>파리가 질:다 {팔이 길다}/팔또 아푸다/파리라고/파리가 아푸다</t>
  </si>
  <si>
    <t>팔 파리 질:다</t>
  </si>
  <si>
    <t>팔꿈치</t>
  </si>
  <si>
    <t>팔꿈＇치</t>
  </si>
  <si>
    <t>팔꾸머리 팔꿈치</t>
  </si>
  <si>
    <t>팔짱끼다</t>
  </si>
  <si>
    <t>팔＇짱 찌고＇ 저러케</t>
  </si>
  <si>
    <t>팔짱끼구 마:~이 간다</t>
  </si>
  <si>
    <t>팔짱찐다/팔짱을 찐다</t>
  </si>
  <si>
    <t>팔짱찐다</t>
  </si>
  <si>
    <t>손톱</t>
  </si>
  <si>
    <t>손톱＇/손토＇브 또＇파야 보기 조코 깨끄타＇다</t>
  </si>
  <si>
    <t>손투비지/손툽</t>
  </si>
  <si>
    <t>손토비 질:다</t>
  </si>
  <si>
    <t>손톱/손토비 질:다</t>
  </si>
  <si>
    <t>오른손</t>
  </si>
  <si>
    <t>오른＇손</t>
  </si>
  <si>
    <t>이쪼근 오른손</t>
  </si>
  <si>
    <t>바른손</t>
  </si>
  <si>
    <t>오룬손</t>
  </si>
  <si>
    <t>왼손</t>
  </si>
  <si>
    <t>손 외왼＇손</t>
  </si>
  <si>
    <t>이쪽 왼:손</t>
  </si>
  <si>
    <t>왼:손</t>
  </si>
  <si>
    <t>다르다</t>
  </si>
  <si>
    <t>왜애＇ 다를＇까/틀＇리다/다르＇다/따르＇고</t>
  </si>
  <si>
    <t>달르지 가매가/다르다/다르지(+소)/마:리 달르지/달르지(+다)</t>
  </si>
  <si>
    <t>달른데/다르케</t>
  </si>
  <si>
    <t>따조/모야~이 딴데/따다</t>
  </si>
  <si>
    <t>다르다 쏘리두 허구/달르다/달르다그래지요/달르니까/틀리고</t>
  </si>
  <si>
    <t>21917-0-1</t>
  </si>
  <si>
    <t>달＇라서/틀＇린다/딸＇라사/달＇라서 실타</t>
  </si>
  <si>
    <t>달러서</t>
  </si>
  <si>
    <t>따서/모야~이 달러서</t>
  </si>
  <si>
    <t>달라요/달문사람도 틀레따그래지요/틀리니까</t>
  </si>
  <si>
    <t>21917-1</t>
  </si>
  <si>
    <t>틀리다</t>
  </si>
  <si>
    <t>틀＇레따/틀＇리다/틀＇린다/틀＇리다라</t>
  </si>
  <si>
    <t>틀려 이래지/틀린다구</t>
  </si>
  <si>
    <t>틀례따</t>
  </si>
  <si>
    <t>틀려따/틀릴때도</t>
  </si>
  <si>
    <t>틀리고/그게 좀 틀레도/틀레따</t>
  </si>
  <si>
    <t>틀리다구/틀리다그래지요</t>
  </si>
  <si>
    <t>왼손잡이</t>
  </si>
  <si>
    <t>왼손재＇비</t>
  </si>
  <si>
    <t>왼손재비라고 하지</t>
  </si>
  <si>
    <t>왼손재비 바른손재비</t>
  </si>
  <si>
    <t>왼:손재비</t>
  </si>
  <si>
    <t>엄지손가락</t>
  </si>
  <si>
    <t>엄지 송꾸락＇/엄지＇</t>
  </si>
  <si>
    <t>엄지송꼬라기지</t>
  </si>
  <si>
    <t>엄지송까라기라/엄지송꼬락</t>
  </si>
  <si>
    <t>엄지송꼬락</t>
  </si>
  <si>
    <t>엄지송꼬락/엄:지송꼬락(+최광운)</t>
  </si>
  <si>
    <t>집게손가락</t>
  </si>
  <si>
    <t>찌까락</t>
  </si>
  <si>
    <t>*/둘:째송꼬라기라(+최광운)</t>
  </si>
  <si>
    <t>가운뎃손가락</t>
  </si>
  <si>
    <t>복판＇ 송꾸락＇</t>
  </si>
  <si>
    <t>무명지가락(+제?)/장가락</t>
  </si>
  <si>
    <t>장지라구/세:째송꼬락 장:송꼬락(+최광운)</t>
  </si>
  <si>
    <t>약손가락</t>
  </si>
  <si>
    <t>무명지＇</t>
  </si>
  <si>
    <t>무명지가락</t>
  </si>
  <si>
    <t>새끼손가락</t>
  </si>
  <si>
    <t>새끼＇송가락＇</t>
  </si>
  <si>
    <t>새끼가락/생끼송까락</t>
  </si>
  <si>
    <t>새끼쏭꼬락</t>
  </si>
  <si>
    <t>새끼송꼬락</t>
  </si>
  <si>
    <t>생인손</t>
  </si>
  <si>
    <t>생＇손 알른다고/생＇손 마제요.</t>
  </si>
  <si>
    <t>생쏭까라기 알른다</t>
  </si>
  <si>
    <t>생손 알른다</t>
  </si>
  <si>
    <t>생안송꼬락/생안송꼬라기 알른다구</t>
  </si>
  <si>
    <t>사마귀</t>
  </si>
  <si>
    <t>사아＇마구</t>
  </si>
  <si>
    <t>사:마구여/사:마구가 마따구</t>
  </si>
  <si>
    <t>사마구</t>
  </si>
  <si>
    <t>사:마구마리요</t>
  </si>
  <si>
    <t>사:마귀라그래요</t>
  </si>
  <si>
    <t>손아귀</t>
  </si>
  <si>
    <t>손아금＇지</t>
  </si>
  <si>
    <t>소나구가 셰:다/소나구지</t>
  </si>
  <si>
    <t>소나구가 시다</t>
  </si>
  <si>
    <t>손아구 시:다</t>
  </si>
  <si>
    <t>소나구가 시:다구래요</t>
  </si>
  <si>
    <t>손목</t>
  </si>
  <si>
    <t>솜목＇</t>
  </si>
  <si>
    <t>솜모기 시다/솜목</t>
  </si>
  <si>
    <t>솜목이 크다</t>
  </si>
  <si>
    <t>손모기 국따 크다/손목</t>
  </si>
  <si>
    <t>뼘</t>
  </si>
  <si>
    <t>그뻬미＇ 아이~＇고/함＇뻼</t>
  </si>
  <si>
    <t>한지뻠/지뻐미라 그래지</t>
  </si>
  <si>
    <t>뻬미라구래/뼴</t>
  </si>
  <si>
    <t>찍뼘(+엄지와 둘째손가락을 벌린 길이)/기양 찍뻬미라고그래지/찍뼈므 잰다/함뼘/장뼘(+엄지와 새끼손가락을 벌린 길이)</t>
  </si>
  <si>
    <t>한뼘/손뻬미 크게 나간다그래지요/손뼘</t>
  </si>
  <si>
    <t>허리</t>
  </si>
  <si>
    <t>그리고 허＇리가 아푼데/허＇리를 보고</t>
  </si>
  <si>
    <t>허리가 가늘다</t>
  </si>
  <si>
    <t>허리/허리가 아푸다</t>
  </si>
  <si>
    <t>지팡이</t>
  </si>
  <si>
    <t>지페~＇이라고도 하고/지페＇~이</t>
  </si>
  <si>
    <t>지패~이</t>
  </si>
  <si>
    <t>지팽이를/지팡이라구래</t>
  </si>
  <si>
    <t>지패이</t>
  </si>
  <si>
    <t>옆구리</t>
  </si>
  <si>
    <t>여꾸＇리</t>
  </si>
  <si>
    <t>여:꾸리</t>
  </si>
  <si>
    <t>여꾸리</t>
  </si>
  <si>
    <t>여꾸리가 절린다</t>
  </si>
  <si>
    <t>간지럽다</t>
  </si>
  <si>
    <t>제＇탈미치 간지＇룹따</t>
  </si>
  <si>
    <t>개루:니까 우습짜누/개룹따 그래지</t>
  </si>
  <si>
    <t>여꾸리가 간지릅따/간지르지 말라/간지르워서</t>
  </si>
  <si>
    <t>간지릅따구</t>
  </si>
  <si>
    <t>간지럽따그래지요/간지러:서 혼나따그래지요</t>
  </si>
  <si>
    <t>간지럼</t>
  </si>
  <si>
    <t>간지＇름탄다</t>
  </si>
  <si>
    <t>간지럼/간지루마고 똑까치</t>
  </si>
  <si>
    <t>간지르미라구</t>
  </si>
  <si>
    <t>간지룸피운다</t>
  </si>
  <si>
    <t>간지럼 마:~이 탄다구</t>
  </si>
  <si>
    <t>잔허리</t>
  </si>
  <si>
    <t>잔디＇~이</t>
  </si>
  <si>
    <t>그래 가는허리라 그래</t>
  </si>
  <si>
    <t>가는허리/잘로캥거 가는허리라</t>
  </si>
  <si>
    <t>가는허리</t>
  </si>
  <si>
    <t>근육</t>
  </si>
  <si>
    <t>심쭐＇</t>
  </si>
  <si>
    <t>그:뉵/그:뉴기</t>
  </si>
  <si>
    <t>그:녀기라/그:녁</t>
  </si>
  <si>
    <t>그:뉴기라고도하는데</t>
  </si>
  <si>
    <t>배꼽</t>
  </si>
  <si>
    <t>배꾸영＇/배꾸녀＇~이 더 크다＇</t>
  </si>
  <si>
    <t>배꼽/배꼬비 이뿌다</t>
  </si>
  <si>
    <t>배꼬비 아니야 배꼽</t>
  </si>
  <si>
    <t>배꼽/배꼬비 크다</t>
  </si>
  <si>
    <t>목물</t>
  </si>
  <si>
    <t>몽＇물</t>
  </si>
  <si>
    <t>등을 씬:는다/등아리를 씬는다</t>
  </si>
  <si>
    <t>등미리/등 민다</t>
  </si>
  <si>
    <t>더~아리 씬는다그래고/던떼기 셰:주능거</t>
  </si>
  <si>
    <t>등씬는다/등어리 씬는다그래지요</t>
  </si>
  <si>
    <t>복사뼈</t>
  </si>
  <si>
    <t>복쌍씨＇</t>
  </si>
  <si>
    <t>복쌍뻬</t>
  </si>
  <si>
    <t>복쑹아뻬라</t>
  </si>
  <si>
    <t>복쌍씨</t>
  </si>
  <si>
    <t>발가락</t>
  </si>
  <si>
    <t>발꾸＇락</t>
  </si>
  <si>
    <t>발꾸락</t>
  </si>
  <si>
    <t>발꼬락</t>
  </si>
  <si>
    <t>발꼬락/생끼발꼬락/엄지발꼬락</t>
  </si>
  <si>
    <t>발꾸라기라고/발꾸락</t>
  </si>
  <si>
    <t>발바닥</t>
  </si>
  <si>
    <t>발빠＇닥</t>
  </si>
  <si>
    <t>발빠닥/발빠다기라고 하지</t>
  </si>
  <si>
    <t>발빠당이라구</t>
  </si>
  <si>
    <t>발빠닥</t>
  </si>
  <si>
    <t>발빠당/발빠닥</t>
  </si>
  <si>
    <t>발톱</t>
  </si>
  <si>
    <t>발톱＇</t>
  </si>
  <si>
    <t>발툽/발투비라고 한다</t>
  </si>
  <si>
    <t>발토비지</t>
  </si>
  <si>
    <t>발톱/발토블 짤러라</t>
  </si>
  <si>
    <t>냄새</t>
  </si>
  <si>
    <t>내금＇새</t>
  </si>
  <si>
    <t>냄:새가 난다</t>
  </si>
  <si>
    <t>냄:샐 만넌다고/냄:새는</t>
  </si>
  <si>
    <t>냄:새/발램새</t>
  </si>
  <si>
    <t>냄:새 만는다</t>
  </si>
  <si>
    <t>고린내</t>
  </si>
  <si>
    <t>꼬랑＇내</t>
  </si>
  <si>
    <t>코른내가 난다 그래지</t>
  </si>
  <si>
    <t>발램새가 난다고</t>
  </si>
  <si>
    <t>발꾸랑내/발쿠른내/발쿠룬내난다고</t>
  </si>
  <si>
    <t>발램새라 그래요/발램새 마~이 난다</t>
  </si>
  <si>
    <t>굳은살</t>
  </si>
  <si>
    <t>모두＇리</t>
  </si>
  <si>
    <t>뚝쌀/뚝싸리여</t>
  </si>
  <si>
    <t>구둠싸리라</t>
  </si>
  <si>
    <t>꾸덕쌀</t>
  </si>
  <si>
    <t>뚝쌀 뚝싸리라그래요</t>
  </si>
  <si>
    <t>정강이</t>
  </si>
  <si>
    <t>압종지＇~이</t>
  </si>
  <si>
    <t>장개~이/장개~이뻬</t>
  </si>
  <si>
    <t>정개~이라구두하고 마른종아리라구/종지라구래자너</t>
  </si>
  <si>
    <t>장게~이</t>
  </si>
  <si>
    <t>장개~이</t>
  </si>
  <si>
    <t>종아리</t>
  </si>
  <si>
    <t>조~아＇리</t>
  </si>
  <si>
    <t>종아리라구두 하지</t>
  </si>
  <si>
    <t>종아리야</t>
  </si>
  <si>
    <t>*/조~아리회초리고</t>
  </si>
  <si>
    <t>장딴지</t>
  </si>
  <si>
    <t>장＇따리/장딸구＇리</t>
  </si>
  <si>
    <t>장:딴지</t>
  </si>
  <si>
    <t>장딴지 참</t>
  </si>
  <si>
    <t>회초리</t>
  </si>
  <si>
    <t>호차＇리</t>
  </si>
  <si>
    <t>회초리 든다 그래</t>
  </si>
  <si>
    <t>회초리가주구두 하구</t>
  </si>
  <si>
    <t>회초리야</t>
  </si>
  <si>
    <t>종아리로 만는다(+제?, ＇종아리＇는 회초리를 의미함)</t>
  </si>
  <si>
    <t>회초리라그래요</t>
  </si>
  <si>
    <t>무릎</t>
  </si>
  <si>
    <t>고비＇~이/고베＇~이</t>
  </si>
  <si>
    <t>보통 무루피라 그래지/무럽</t>
  </si>
  <si>
    <t>종지꼬배~이</t>
  </si>
  <si>
    <t>고배~이</t>
  </si>
  <si>
    <t>내 무루페 와라/무룹</t>
  </si>
  <si>
    <t>22012-0-1</t>
  </si>
  <si>
    <t>고비＇~이르 치로해라</t>
  </si>
  <si>
    <t>무루플 꾸레라/무르플/무러플 꾸레라</t>
  </si>
  <si>
    <t>고배~이르 다처따/무루풀</t>
  </si>
  <si>
    <t>무루풀 구펴라</t>
  </si>
  <si>
    <t>22012-0-2</t>
  </si>
  <si>
    <t>고비＇~이에 참바라미 슬슬</t>
  </si>
  <si>
    <t>무루페</t>
  </si>
  <si>
    <t>고배~이가 아푸다</t>
  </si>
  <si>
    <t>무루피 아픔 무루피 아푸다/무루피 제리다</t>
  </si>
  <si>
    <t>오금</t>
  </si>
  <si>
    <t>오굼미＇치 저린다/오＇굼믿</t>
  </si>
  <si>
    <t>오굼/오구미</t>
  </si>
  <si>
    <t>오굼패라고해고/오굼패이</t>
  </si>
  <si>
    <t>오곰/고배~이미치 제린다</t>
  </si>
  <si>
    <t>오굼 오굼</t>
  </si>
  <si>
    <t>엉덩이</t>
  </si>
  <si>
    <t>으응＇디~이</t>
  </si>
  <si>
    <t>엉더~이가 여기 엉더~이가/여:가 응:데~이/엉:데~이</t>
  </si>
  <si>
    <t>엉덩이라</t>
  </si>
  <si>
    <t>응:데~이</t>
  </si>
  <si>
    <t>궁둥이</t>
  </si>
  <si>
    <t>구웅＇디~이</t>
  </si>
  <si>
    <t>궁데길 때리지/궁뎅이/궁데기/사:람 안는데 궁:데~이</t>
  </si>
  <si>
    <t>궁:뎅이</t>
  </si>
  <si>
    <t>궁:데~이 때린다고/궁데~이라고/궁:디이/궁덩짜기고</t>
  </si>
  <si>
    <t>궁:데~이라고도하구(+＇엉덩이＇와 ＇궁둥이＇의 구별을 못함.)</t>
  </si>
  <si>
    <t>볼기</t>
  </si>
  <si>
    <t>보올＇기짝</t>
  </si>
  <si>
    <t>볼기짜글 때린다 그래지/여가 볼:기니까 {여기가 볼기니가}</t>
  </si>
  <si>
    <t>볼:기지 뭐/볼기짜기라</t>
  </si>
  <si>
    <t>볼:기르 한대 때린다고</t>
  </si>
  <si>
    <t>볼:기 마자따그래고/볼기짜기를 만는다이래구/트으름</t>
  </si>
  <si>
    <t>멍</t>
  </si>
  <si>
    <t>신거무/싱거＇무</t>
  </si>
  <si>
    <t>머~이 드러다/멍당구가 드러따</t>
  </si>
  <si>
    <t>멍이지</t>
  </si>
  <si>
    <t>신당구</t>
  </si>
  <si>
    <t>멍들지요 멍이라그래요/멍이 드러따</t>
  </si>
  <si>
    <t>멍울</t>
  </si>
  <si>
    <t>멍어리가 생게따/멍어리지</t>
  </si>
  <si>
    <t>몽오리</t>
  </si>
  <si>
    <t>멍우리가 저따(+부딪혀서 나는 것)/여개 멍우리도 들고</t>
  </si>
  <si>
    <t>멍어리가 생게따</t>
  </si>
  <si>
    <t>가랑이</t>
  </si>
  <si>
    <t>일명 가리＇~이라고 하지요</t>
  </si>
  <si>
    <t>가다리 벌:린다/양짝 가다리 새가느루</t>
  </si>
  <si>
    <t>가래 가래라구</t>
  </si>
  <si>
    <t>가다리라고 가다리/다리까데~이(+비)/가달또 벌리고</t>
  </si>
  <si>
    <t>가다리 찌저진다/가달 찌저진다</t>
  </si>
  <si>
    <t>사이</t>
  </si>
  <si>
    <t>새＇애/새＇애가 널＇따</t>
  </si>
  <si>
    <t>가달쌔간</t>
  </si>
  <si>
    <t>새가늘</t>
  </si>
  <si>
    <t>새가네</t>
  </si>
  <si>
    <t>사이라구/이사이가/이싸이가 너머 널따</t>
  </si>
  <si>
    <t>샅</t>
  </si>
  <si>
    <t>사티＇기/사태＇기</t>
  </si>
  <si>
    <t>사차구니</t>
  </si>
  <si>
    <t>자그미야</t>
  </si>
  <si>
    <t>사차구리 찌저진다</t>
  </si>
  <si>
    <t>22021-0-1</t>
  </si>
  <si>
    <t>사티＇기가 아푸다</t>
  </si>
  <si>
    <t>사차구니가 버:따</t>
  </si>
  <si>
    <t>사치가 아푸다</t>
  </si>
  <si>
    <t>사차구리가 붜:따그래구</t>
  </si>
  <si>
    <t>22021-0-2</t>
  </si>
  <si>
    <t>사티＇기를 개롸＇아라</t>
  </si>
  <si>
    <t>사츨 조심하라/사치르 조심하라</t>
  </si>
  <si>
    <t>사차구리라 그래요</t>
  </si>
  <si>
    <t>사타구니</t>
  </si>
  <si>
    <t>사티＇기</t>
  </si>
  <si>
    <t>사투리</t>
  </si>
  <si>
    <t>사태기라고/사태기가 아푸다</t>
  </si>
  <si>
    <t>가래톳</t>
  </si>
  <si>
    <t>가래투시＇~이</t>
  </si>
  <si>
    <t>가래토시</t>
  </si>
  <si>
    <t>가래투시가 생게따</t>
  </si>
  <si>
    <t>가래토시 시능거</t>
  </si>
  <si>
    <t>가래토시/가래토시도</t>
  </si>
  <si>
    <t>가래투시 서따</t>
  </si>
  <si>
    <t>22023-0-1</t>
  </si>
  <si>
    <t>가래투시＇가 나따</t>
  </si>
  <si>
    <t>가래투시를 만저따</t>
  </si>
  <si>
    <t>가래토시가 서따</t>
  </si>
  <si>
    <t>가래토시가 생게따</t>
  </si>
  <si>
    <t>가래투시라그래요/가래투시가 생게따</t>
  </si>
  <si>
    <t>허벅다리</t>
  </si>
  <si>
    <t>허벅＇찌가 아푸다/신넉＇찌</t>
  </si>
  <si>
    <t>허벅찌는 인제</t>
  </si>
  <si>
    <t>허벅따리</t>
  </si>
  <si>
    <t>허벅따리가 머 어디가/여기는 허벅따리라 그래고</t>
  </si>
  <si>
    <t>넓적다리</t>
  </si>
  <si>
    <t>신다리＇</t>
  </si>
  <si>
    <t>거 신다리/넙쩍따리/거:가 넙쩍따리여</t>
  </si>
  <si>
    <t>넙쩍따리라</t>
  </si>
  <si>
    <t>이게 넙쩍따리지</t>
  </si>
  <si>
    <t>넙쩍따리라구두 쓰구(+＇허벅다리＇와 구별하지 않음.)</t>
  </si>
  <si>
    <t>가부좌(跏趺坐)</t>
  </si>
  <si>
    <t>펭＇개다리＇</t>
  </si>
  <si>
    <t>올방지</t>
  </si>
  <si>
    <t>책쌍다리라 그래</t>
  </si>
  <si>
    <t>이건 가부재고</t>
  </si>
  <si>
    <t>올방지 처따구</t>
  </si>
  <si>
    <t>22026-1</t>
  </si>
  <si>
    <t>가부좌(跏趺坐) 치다/앉다/트다/꼬다/하다</t>
  </si>
  <si>
    <t>펭개다＇리 치고</t>
  </si>
  <si>
    <t>부체 올방질 치구 안저찌/치구안저따</t>
  </si>
  <si>
    <t>책쌍다리 해구</t>
  </si>
  <si>
    <t>가부재친다고</t>
  </si>
  <si>
    <t>올방지치구 안저따그래지요</t>
  </si>
  <si>
    <t>감기</t>
  </si>
  <si>
    <t>괴뿔＇</t>
  </si>
  <si>
    <t>강:기지</t>
  </si>
  <si>
    <t>강:기지/강:기가 온다</t>
  </si>
  <si>
    <t>강:기천추기라니/강:기 들리먼 인제</t>
  </si>
  <si>
    <t>강:기 강:기걸레따</t>
  </si>
  <si>
    <t>기침</t>
  </si>
  <si>
    <t>지＇침</t>
  </si>
  <si>
    <t>지침</t>
  </si>
  <si>
    <t>지침해능건 강:기배께</t>
  </si>
  <si>
    <t>지치미 나오고</t>
  </si>
  <si>
    <t>기침나고 콤물라고</t>
  </si>
  <si>
    <t>재채기</t>
  </si>
  <si>
    <t>재애＇치기</t>
  </si>
  <si>
    <t>재치기</t>
  </si>
  <si>
    <t>사레</t>
  </si>
  <si>
    <t>싸아＇레기</t>
  </si>
  <si>
    <t>체:리가 드러따</t>
  </si>
  <si>
    <t>싸레기 든다</t>
  </si>
  <si>
    <t>싸레/싸레가 들레/싸레라고</t>
  </si>
  <si>
    <t>사:리 들려따그래요</t>
  </si>
  <si>
    <t>22104-1</t>
  </si>
  <si>
    <t>사레 들리다/만나다/걸리다</t>
  </si>
  <si>
    <t>싸아＇레기 들레따</t>
  </si>
  <si>
    <t>체:리가 드러따고 그랜다고</t>
  </si>
  <si>
    <t>싸레기가 든다</t>
  </si>
  <si>
    <t>싸레가 들레따 싸레가 나따</t>
  </si>
  <si>
    <t>사:리 들레따</t>
  </si>
  <si>
    <t>딸꾹질</t>
  </si>
  <si>
    <t>패애＇뜨기</t>
  </si>
  <si>
    <t>딸뀌기럴 내 간시니 차먼네 {딸꾹질을 내가 간신히 참았네}</t>
  </si>
  <si>
    <t>깔때기/깔때기가 들레따고</t>
  </si>
  <si>
    <t>딸까기라구</t>
  </si>
  <si>
    <t>깔떼기</t>
  </si>
  <si>
    <t>딸꾹찌/깔뚜기/깔뚝질헌다구</t>
  </si>
  <si>
    <t>트림</t>
  </si>
  <si>
    <t>커얼＇뜨기</t>
  </si>
  <si>
    <t>트:림/트:리미 잘란다</t>
  </si>
  <si>
    <t>트:름</t>
  </si>
  <si>
    <t>컬:티림</t>
  </si>
  <si>
    <t>트:르미라그래요</t>
  </si>
  <si>
    <t>곰보</t>
  </si>
  <si>
    <t>꼼＇부</t>
  </si>
  <si>
    <t>곰:보가 생기지</t>
  </si>
  <si>
    <t>얼금배기</t>
  </si>
  <si>
    <t>곰:베~이</t>
  </si>
  <si>
    <t>너머 얼거서 곰:보래이래지요</t>
  </si>
  <si>
    <t>천연두</t>
  </si>
  <si>
    <t>손＇님</t>
  </si>
  <si>
    <t>손님</t>
  </si>
  <si>
    <t>처년두/처넌두라 그래지</t>
  </si>
  <si>
    <t>마:라구래더라구</t>
  </si>
  <si>
    <t>여드름</t>
  </si>
  <si>
    <t>여＇드름</t>
  </si>
  <si>
    <t>이:드름</t>
  </si>
  <si>
    <t>으:다레미가 나따</t>
  </si>
  <si>
    <t>여드럼두 이꾸/여:드름</t>
  </si>
  <si>
    <t>학질</t>
  </si>
  <si>
    <t>그러고 초짐＇/쇠＇하래비 요새</t>
  </si>
  <si>
    <t>초학 껄리먼 그렁게 나지</t>
  </si>
  <si>
    <t>고굼뼈~이라 그래지/고구물 알른다(+신)/학찌를 알른다(+구)</t>
  </si>
  <si>
    <t>학찌리라</t>
  </si>
  <si>
    <t>초하기 읍:써요/초학</t>
  </si>
  <si>
    <t>학찌리라 그래요 학찔</t>
  </si>
  <si>
    <t>22110-1</t>
  </si>
  <si>
    <t>하루거리</t>
  </si>
  <si>
    <t>초지＇미라고도 하고(+＇초짐＇과 ＇쇠하래비＇는 하루걸러 아픈 학질)/초짐＇ 알른＇다/미나＇리는 매＇일 아품미다 매일</t>
  </si>
  <si>
    <t>고구미여 고굼(+하루거리나 이틀거리나 모두 고굼)</t>
  </si>
  <si>
    <t>초하긴데(+매일 열이나는 경우)</t>
  </si>
  <si>
    <t>학찌리라그래요</t>
  </si>
  <si>
    <t>22110-2</t>
  </si>
  <si>
    <t>이틀거리</t>
  </si>
  <si>
    <t>초하기고(+하루 걸러나는 경우)</t>
  </si>
  <si>
    <t>22110-3</t>
  </si>
  <si>
    <t>매일 앓는 학질</t>
  </si>
  <si>
    <t>메느리고금</t>
  </si>
  <si>
    <t>홍역</t>
  </si>
  <si>
    <t>호＇뇩/이임＇내라고도 하지요 이임＇내</t>
  </si>
  <si>
    <t>호녀캘 쩌게 {홍역할 적에}/볼거리/벌거리</t>
  </si>
  <si>
    <t>호역뼝 호역/호녀기지</t>
  </si>
  <si>
    <t>호녁/호녀기지</t>
  </si>
  <si>
    <t>호역</t>
  </si>
  <si>
    <t>호녁 호녀기라그래요</t>
  </si>
  <si>
    <t>볼거리</t>
  </si>
  <si>
    <t>단지벨씬＇(+구)/볼거＇리(+신)</t>
  </si>
  <si>
    <t>볼:거리가 그게/볼:거리라구두</t>
  </si>
  <si>
    <t>볼거리라</t>
  </si>
  <si>
    <t>불머리라 그랜다구</t>
  </si>
  <si>
    <t>땀띠</t>
  </si>
  <si>
    <t>따암＇떼</t>
  </si>
  <si>
    <t>땀때</t>
  </si>
  <si>
    <t>땀떼라그래요</t>
  </si>
  <si>
    <t>땀뙤</t>
  </si>
  <si>
    <t>두드러기</t>
  </si>
  <si>
    <t>두두리＇기</t>
  </si>
  <si>
    <t>두두레기</t>
  </si>
  <si>
    <t>두두러기라</t>
  </si>
  <si>
    <t>두두레기 도다따구</t>
  </si>
  <si>
    <t>버짐</t>
  </si>
  <si>
    <t>버＇지믈 떼에＇라/버＇지미#</t>
  </si>
  <si>
    <t>그걸 버지민데</t>
  </si>
  <si>
    <t>버즘/버짐</t>
  </si>
  <si>
    <t>버지미라그래요/버짐</t>
  </si>
  <si>
    <t>22115-1</t>
  </si>
  <si>
    <t>마른버짐</t>
  </si>
  <si>
    <t>마른버＇짐</t>
  </si>
  <si>
    <t>마름버짐</t>
  </si>
  <si>
    <t>얼구리에 버지믄/마름버짐</t>
  </si>
  <si>
    <t>마름버짐 이써요</t>
  </si>
  <si>
    <t>마름버짐 머</t>
  </si>
  <si>
    <t>22115-2</t>
  </si>
  <si>
    <t>진버짐</t>
  </si>
  <si>
    <t>진버＇지미</t>
  </si>
  <si>
    <t>짐버짐</t>
  </si>
  <si>
    <t>짐버짐/짐버지미꾸 물버지미꾸</t>
  </si>
  <si>
    <t>짐:물라능건 짐:버짐</t>
  </si>
  <si>
    <t>22115-3</t>
  </si>
  <si>
    <t>도장버짐</t>
  </si>
  <si>
    <t>돔버＇짐</t>
  </si>
  <si>
    <t>퍼지는 버지미라 그래</t>
  </si>
  <si>
    <t>동전버짐</t>
  </si>
  <si>
    <t>도장버지미라/도장뻐짐</t>
  </si>
  <si>
    <t>돔뻐즘</t>
  </si>
  <si>
    <t>돈:뻐지미라그래고/돈:버짐</t>
  </si>
  <si>
    <t>문둥이</t>
  </si>
  <si>
    <t>무운＇데~이/무운＇디~이</t>
  </si>
  <si>
    <t>문덩이</t>
  </si>
  <si>
    <t>문:대~이</t>
  </si>
  <si>
    <t>문:뎅이지</t>
  </si>
  <si>
    <t>문:데~이라그랜다구</t>
  </si>
  <si>
    <t>문:데~이/문:데~이라그래요</t>
  </si>
  <si>
    <t>22116-1</t>
  </si>
  <si>
    <t>문둥병</t>
  </si>
  <si>
    <t>무운＇디~병</t>
  </si>
  <si>
    <t>문덩뼝/그건 문덩뼝이라 그래는데</t>
  </si>
  <si>
    <t>문:둥뼝</t>
  </si>
  <si>
    <t>문:뎅이뼝은</t>
  </si>
  <si>
    <t>문덩뼝</t>
  </si>
  <si>
    <t>문:데~이뼈~이 걸려따/문:데~이뼝</t>
  </si>
  <si>
    <t>부스럼</t>
  </si>
  <si>
    <t>부시＇름</t>
  </si>
  <si>
    <t>뻬둘가지(+구)/부시렁/부시렁 깨민다 이래구 깨밀지</t>
  </si>
  <si>
    <t>부시레미</t>
  </si>
  <si>
    <t>글거서 부시레미 난다/부시럼/부시름/부시르미 그거야</t>
  </si>
  <si>
    <t>부시레미 깨물자/부시레미가/부시레미 깨미자 깨미자 하고</t>
  </si>
  <si>
    <t>부시름/부시름 깨물자능/부시럼 깨문다구</t>
  </si>
  <si>
    <t>22117-1</t>
  </si>
  <si>
    <t>종기</t>
  </si>
  <si>
    <t>흐은＇대</t>
  </si>
  <si>
    <t>종:기라고 찌꿈 마~이들 씨지 (+다)</t>
  </si>
  <si>
    <t>종기/종기라능게 인제</t>
  </si>
  <si>
    <t>종기/흔:데를 가따가/종지</t>
  </si>
  <si>
    <t>종:기라 그래는데</t>
  </si>
  <si>
    <t>헌:디</t>
  </si>
  <si>
    <t>고름</t>
  </si>
  <si>
    <t>고룸＇</t>
  </si>
  <si>
    <t>고루미 지내먼 그게 그니 돼/고룸/고룸 나오고 거기서</t>
  </si>
  <si>
    <t>고루믈 짠다 그래지/고룸</t>
  </si>
  <si>
    <t>고루미지</t>
  </si>
  <si>
    <t>고룸짠다</t>
  </si>
  <si>
    <t>고룸나오지요</t>
  </si>
  <si>
    <t>곰기다</t>
  </si>
  <si>
    <t>공＇기도로/공＇게따</t>
  </si>
  <si>
    <t>공기느라구/인제 공긴다 이래/공겨/공겨가주 터전네</t>
  </si>
  <si>
    <t>굉겨/굉기문 {곰기면}</t>
  </si>
  <si>
    <t>공긴다</t>
  </si>
  <si>
    <t>굉게서/굉긴자리가</t>
  </si>
  <si>
    <t>다 공기믄 좀 드:라푸구 {다 곰기면 좀 덜 아프고}/잘공게따/공게씨니까/끄치 공기구</t>
  </si>
  <si>
    <t>난쟁이</t>
  </si>
  <si>
    <t>나안＇제~이</t>
  </si>
  <si>
    <t>난:재~이지 머 난재이</t>
  </si>
  <si>
    <t>거 난:재~이</t>
  </si>
  <si>
    <t>난:쟁이</t>
  </si>
  <si>
    <t>난재~이</t>
  </si>
  <si>
    <t>난:재~이</t>
  </si>
  <si>
    <t>사팔뜨기</t>
  </si>
  <si>
    <t>사팔때＇기</t>
  </si>
  <si>
    <t>사:팔띠기</t>
  </si>
  <si>
    <t>사팔떼기</t>
  </si>
  <si>
    <t>먼:산배기</t>
  </si>
  <si>
    <t>사팔뛰기(+유)/염눈배기</t>
  </si>
  <si>
    <t>언청이</t>
  </si>
  <si>
    <t>째보＇</t>
  </si>
  <si>
    <t>허체~이여/헤체~이</t>
  </si>
  <si>
    <t>째보/째보라 그래지</t>
  </si>
  <si>
    <t>째보/헤쳉이나(+소)/째보라고(+다)</t>
  </si>
  <si>
    <t>헤체~이</t>
  </si>
  <si>
    <t>소경</t>
  </si>
  <si>
    <t>보옹＇새/보옹＇사</t>
  </si>
  <si>
    <t>쇠:경이라두 하구/쇠:경이 마찌 머/장:니미라구두 해구</t>
  </si>
  <si>
    <t>쇠:경</t>
  </si>
  <si>
    <t>쇠경이라구 맹인이라구(+＇쇠경＇은 상스러운 말이고 ＇맹인＇은 점잖은 말)</t>
  </si>
  <si>
    <t>쇠:게~이지</t>
  </si>
  <si>
    <t>지그믄 봉:사라고(+신)/쇠:경(+구)</t>
  </si>
  <si>
    <t>22123-1</t>
  </si>
  <si>
    <t>당달봉사</t>
  </si>
  <si>
    <t>참＇보~이</t>
  </si>
  <si>
    <t>건 당달보사</t>
  </si>
  <si>
    <t>먼:산배기/따깨누니(+바로 앞만 보이는 사람)</t>
  </si>
  <si>
    <t>당달봉사라고</t>
  </si>
  <si>
    <t>쳉명관</t>
  </si>
  <si>
    <t>애꾸</t>
  </si>
  <si>
    <t>애＇꾸</t>
  </si>
  <si>
    <t>애꾸누니/애꾸눈</t>
  </si>
  <si>
    <t>외통누~이라 그래지 외통눈/웨짱누~이라고 하지/웨짝눈</t>
  </si>
  <si>
    <t>애꾸니가 지내간다</t>
  </si>
  <si>
    <t>외통배기</t>
  </si>
  <si>
    <t>외통배기/하품</t>
  </si>
  <si>
    <t>눈곱</t>
  </si>
  <si>
    <t>눙꾀비＇#/눙꾀비＇가 마아＇~이 께＇에따</t>
  </si>
  <si>
    <t>눙꼬비다 이래/눙꼽/눙껍/눙꺼비 찐:다</t>
  </si>
  <si>
    <t>눙꾀비가 찐다 그래자누/눙꾀비 머 누네 찌나 머</t>
  </si>
  <si>
    <t>눙꼬비 찐:다</t>
  </si>
  <si>
    <t>눙께비도 쩨:따/눙께비가 쩨:따</t>
  </si>
  <si>
    <t>눙꺼비라구/눙껍</t>
  </si>
  <si>
    <t>다래끼</t>
  </si>
  <si>
    <t>눈다리＇끼</t>
  </si>
  <si>
    <t>민다리끼는 그게 다시 또 곰:능 게 민다리끼/다리키</t>
  </si>
  <si>
    <t>눈다래끼</t>
  </si>
  <si>
    <t>그걸 대레키라(+위쪽에 난 것과 아래쪽에 난 것의 구별이 없음)</t>
  </si>
  <si>
    <t>눈다리끼</t>
  </si>
  <si>
    <t>눈다래키나따구</t>
  </si>
  <si>
    <t>22126-1</t>
  </si>
  <si>
    <t>우따리키(윗다래끼)/우따리끼라 그래</t>
  </si>
  <si>
    <t>다래끼가 나능거구(위에 나는 것)</t>
  </si>
  <si>
    <t>대레키</t>
  </si>
  <si>
    <t>눈다리끼(+위)</t>
  </si>
  <si>
    <t>으쪼게 낭건 다래키라그러고(+위쪽에 남.)</t>
  </si>
  <si>
    <t>22126-2</t>
  </si>
  <si>
    <t>미＇테도 눈다리＇끼</t>
  </si>
  <si>
    <t>아래써 나능 건 아래따리끼라/아래따래키 우따리키 (아랫다래끼, 윗다래끼)</t>
  </si>
  <si>
    <t>눈대집(아래 나는 것)</t>
  </si>
  <si>
    <t>대레키/대레키가 난다(+위와 아래의 구분이 없음)</t>
  </si>
  <si>
    <t>눈다리끼(+아래)</t>
  </si>
  <si>
    <t>바지랑이(+아래쪽에 남.)</t>
  </si>
  <si>
    <t>절름발이</t>
  </si>
  <si>
    <t>쩔뚝빠＇리</t>
  </si>
  <si>
    <t>잘룸바리</t>
  </si>
  <si>
    <t>쩔룩빠리</t>
  </si>
  <si>
    <t>쩔룩빠리라그래지</t>
  </si>
  <si>
    <t>쩔룸베~이</t>
  </si>
  <si>
    <t>절름배~이/절름뱅이</t>
  </si>
  <si>
    <t>곱사등이</t>
  </si>
  <si>
    <t>꼽쌔＇</t>
  </si>
  <si>
    <t>곱쌔</t>
  </si>
  <si>
    <t>등곱쌔지</t>
  </si>
  <si>
    <t>그건 곱:쌔라구</t>
  </si>
  <si>
    <t>귀머거리</t>
  </si>
  <si>
    <t>귀머거＇리/귀먹쩨＇~이</t>
  </si>
  <si>
    <t>먹초</t>
  </si>
  <si>
    <t>귀먹쩨~이라그래</t>
  </si>
  <si>
    <t>말더듬이</t>
  </si>
  <si>
    <t>마알＇더드미</t>
  </si>
  <si>
    <t>말더듬/말더드미라고 하는데 우리는</t>
  </si>
  <si>
    <t>밤벙어리/밤:벙어리</t>
  </si>
  <si>
    <t>더듬재~이라고 하는지(+?제)</t>
  </si>
  <si>
    <t>말:더드미</t>
  </si>
  <si>
    <t>벙어리</t>
  </si>
  <si>
    <t>버버＇리</t>
  </si>
  <si>
    <t>그건 아주 벙어리지</t>
  </si>
  <si>
    <t>벙어리두 이써</t>
  </si>
  <si>
    <t>벙어리라구래지</t>
  </si>
  <si>
    <t>버~어리라니/귀부치기(+비)</t>
  </si>
  <si>
    <t>벙어리라그래요</t>
  </si>
  <si>
    <t>잠꾸러기</t>
  </si>
  <si>
    <t>장꾸레＇기</t>
  </si>
  <si>
    <t>장꾸레기</t>
  </si>
  <si>
    <t>장꾸레기라구랜다</t>
  </si>
  <si>
    <t>장꾸레기라고도 하고</t>
  </si>
  <si>
    <t>장꾸러기</t>
  </si>
  <si>
    <t>졸리다</t>
  </si>
  <si>
    <t>자꾸＇ 자부＇릅따/자부＇르므는</t>
  </si>
  <si>
    <t>조려워 난 좀 자야 하겐네 이래지/아이 조려워/조려웅가 왜 하푸미 나와 이래지 {졸린가 왜 하품이 나와 이러지}/왜 이러케 조:려워</t>
  </si>
  <si>
    <t>졸:린다/졸:려서</t>
  </si>
  <si>
    <t>조:렵따/조리워서/조:립따</t>
  </si>
  <si>
    <t>너무 조올례서/너무 조오릅따</t>
  </si>
  <si>
    <t>조:렵따구래지요/조:려우니까/조:려워따/조:랍따/조오럽따/조:려우믄 하푸미 절루 난다/자꾸 조:럽따구</t>
  </si>
  <si>
    <t>하품</t>
  </si>
  <si>
    <t>하＇푸물 한다</t>
  </si>
  <si>
    <t>하푸멀 씩::씩 하자너/하퓌미 난다구/하품핸다 그래</t>
  </si>
  <si>
    <t>자미 졸려서 하푸믈 한다/하품</t>
  </si>
  <si>
    <t>하품/조:립따</t>
  </si>
  <si>
    <t>하푸미 난다</t>
  </si>
  <si>
    <t>졸음</t>
  </si>
  <si>
    <t>자부＇루미 온다＇</t>
  </si>
  <si>
    <t>조:렴이 오네/조:려미 오지</t>
  </si>
  <si>
    <t>조름</t>
  </si>
  <si>
    <t>조:르미 와서</t>
  </si>
  <si>
    <t>자오름</t>
  </si>
  <si>
    <t>조오리미 오니까</t>
  </si>
  <si>
    <t>22135-0-1</t>
  </si>
  <si>
    <t>자부＇루미 마아＇내</t>
  </si>
  <si>
    <t>조르믈 차머라</t>
  </si>
  <si>
    <t>조:르믈</t>
  </si>
  <si>
    <t>자오르미 되는지 조오르미 되는지/조오리미 온다</t>
  </si>
  <si>
    <t>조오리믈 차마라/조오리미 온다구</t>
  </si>
  <si>
    <t>22135-0-2</t>
  </si>
  <si>
    <t>조르미 온다</t>
  </si>
  <si>
    <t>잠꼬대</t>
  </si>
  <si>
    <t>구운＇소리</t>
  </si>
  <si>
    <t>재 잠꼬대 해네</t>
  </si>
  <si>
    <t>장꼬대</t>
  </si>
  <si>
    <t>장꼬대도 이꼬</t>
  </si>
  <si>
    <t>입덧</t>
  </si>
  <si>
    <t>입덛＇</t>
  </si>
  <si>
    <t>뭐여 입떠태네 이래지 {입덧하네}</t>
  </si>
  <si>
    <t>입떠시</t>
  </si>
  <si>
    <t>입떱</t>
  </si>
  <si>
    <t>입떧입떧</t>
  </si>
  <si>
    <t>입떧 입떠시라구해요</t>
  </si>
  <si>
    <t>22201-0-1</t>
  </si>
  <si>
    <t>입떠＇시 시이＇마다</t>
  </si>
  <si>
    <t>입떠또 시:게 해네 심해게 해네/입떠설 심:해게 해네 이래</t>
  </si>
  <si>
    <t>입떠슬 마:~이 한다</t>
  </si>
  <si>
    <t>입떠비 심해다</t>
  </si>
  <si>
    <t>입씨르미 시마다(+?조)</t>
  </si>
  <si>
    <t>입떠시 시머다</t>
  </si>
  <si>
    <t>갓난아이</t>
  </si>
  <si>
    <t>깐난은나＇/깐난 언나＇</t>
  </si>
  <si>
    <t>어리내는 간나내기</t>
  </si>
  <si>
    <t>전메기라구두 하구/간나내기가 태:나구/간나내기가 이꾸</t>
  </si>
  <si>
    <t>간난배기라 그래지</t>
  </si>
  <si>
    <t>해다/해다라 그래야지</t>
  </si>
  <si>
    <t>간나내기/해대기</t>
  </si>
  <si>
    <t>어린아이</t>
  </si>
  <si>
    <t>은나＇아가/언나＇아라능거슨 애기＇시절</t>
  </si>
  <si>
    <t>어리내가 학꾤 가네 이래</t>
  </si>
  <si>
    <t>어르내기/어리나기</t>
  </si>
  <si>
    <t>어리내기라구</t>
  </si>
  <si>
    <t>즈:거두 언나로 드러가구/어린 아이/어린애라그래조</t>
  </si>
  <si>
    <t>언내/언나라고그래찌요 언내</t>
  </si>
  <si>
    <t>경기(驚氣)하다</t>
  </si>
  <si>
    <t>정풍＇한다그래지요</t>
  </si>
  <si>
    <t>정:끼</t>
  </si>
  <si>
    <t>애드리 정낄 한다 그래지/정끼</t>
  </si>
  <si>
    <t>장낄핸다/장끼</t>
  </si>
  <si>
    <t>정끼가 미숩따</t>
  </si>
  <si>
    <t>정끼한다</t>
  </si>
  <si>
    <t>눕히다</t>
  </si>
  <si>
    <t>누＇피고/애기＇는 뉘＇핀다/애기＇를 누＇페 놔＇아쓰니</t>
  </si>
  <si>
    <t>뉘키지</t>
  </si>
  <si>
    <t>뉘핀다</t>
  </si>
  <si>
    <t>누킨다</t>
  </si>
  <si>
    <t>뉘케야지/잘 누펴서</t>
  </si>
  <si>
    <t>뉘페 재워라/뉘펴서 재워라/뉘키능건</t>
  </si>
  <si>
    <t>계집아이</t>
  </si>
  <si>
    <t>예나＇/예나＇아</t>
  </si>
  <si>
    <t>기지배</t>
  </si>
  <si>
    <t>예시가/여자애기라 그래지/게지배/게:지바이</t>
  </si>
  <si>
    <t>지지배라구래나</t>
  </si>
  <si>
    <t>에피나:라고</t>
  </si>
  <si>
    <t>여시개/지지배라고두 허구</t>
  </si>
  <si>
    <t>예쁘다</t>
  </si>
  <si>
    <t>이이＇빠사 한번 아＇나주고 십따</t>
  </si>
  <si>
    <t>새색씨가 이:뿌다/이:뿌게 짜르자너.</t>
  </si>
  <si>
    <t>꼬치 이:뿌다/이뿌장하게 생게따하는 마리 마저</t>
  </si>
  <si>
    <t>이:뿌다</t>
  </si>
  <si>
    <t>예:뻐서/예:뿌다구/이:뿌다</t>
  </si>
  <si>
    <t>사내아이</t>
  </si>
  <si>
    <t>모수마＇</t>
  </si>
  <si>
    <t>동상/머시매</t>
  </si>
  <si>
    <t>저건 사나새끼</t>
  </si>
  <si>
    <t>머시매</t>
  </si>
  <si>
    <t>남자는 머수마라고그래고/머스마</t>
  </si>
  <si>
    <t>아우 타다</t>
  </si>
  <si>
    <t>아시＇탄다</t>
  </si>
  <si>
    <t>아수탄다능 거/성이 저절 모더더 머그니까 마르자너 그래서 아수탄다 그래</t>
  </si>
  <si>
    <t>동상/아우라구두 하구</t>
  </si>
  <si>
    <t>새:믈 논다</t>
  </si>
  <si>
    <t>아시탄다그래능까튼데/아수탄다그래요(+머)</t>
  </si>
  <si>
    <t>아스탄다구(+최광운)</t>
  </si>
  <si>
    <t>22209-1</t>
  </si>
  <si>
    <t>아우보다</t>
  </si>
  <si>
    <t>아:수본다구/아우본다구</t>
  </si>
  <si>
    <t>동사~이라고 그래구/동상을 본다하지</t>
  </si>
  <si>
    <t>동상본다그래게찌(?+제)/동사~을 본다</t>
  </si>
  <si>
    <t>동상을 본다구두 그래구 아울본다구두 그래구(+최광운)</t>
  </si>
  <si>
    <t>야위다</t>
  </si>
  <si>
    <t>패룹＇다/패라＇아따/패룹＇따라</t>
  </si>
  <si>
    <t>야워/야운다 그래구</t>
  </si>
  <si>
    <t>패리구/패래따고/패레따/먹찌 모태 패래지 머/야워따(+존)/벌:써 패래꾸만(+비)</t>
  </si>
  <si>
    <t>야애진다/야왜진다</t>
  </si>
  <si>
    <t>야워서/야우구/야워따</t>
  </si>
  <si>
    <t>패레서 보기실타/패리구</t>
  </si>
  <si>
    <t>쌍둥이</t>
  </si>
  <si>
    <t>쌍두＇~이</t>
  </si>
  <si>
    <t>쌍되~이야</t>
  </si>
  <si>
    <t>쌍대~이/쌍대~이라 그래지</t>
  </si>
  <si>
    <t>쌍동이</t>
  </si>
  <si>
    <t>쌍도~이/쌍데~이</t>
  </si>
  <si>
    <t>쌍둥이 나따구/쌍두~이</t>
  </si>
  <si>
    <t>오줌</t>
  </si>
  <si>
    <t>오줌＇ 싼다/아이 자아＇는 오세다 오주믈 잘 싼다＇</t>
  </si>
  <si>
    <t>오줌싸구</t>
  </si>
  <si>
    <t>오줌/소:변</t>
  </si>
  <si>
    <t>오주미</t>
  </si>
  <si>
    <t>오줌 마:~이 눌래기지/오줌두 싸고</t>
  </si>
  <si>
    <t>오줌 싼다</t>
  </si>
  <si>
    <t>똥</t>
  </si>
  <si>
    <t>똥＇ 싼다</t>
  </si>
  <si>
    <t>똥/똥싸구</t>
  </si>
  <si>
    <t>대:변/똥을 눈다구(+비)/또~이라 그래지</t>
  </si>
  <si>
    <t>똥을</t>
  </si>
  <si>
    <t>똥두싸고/똥두 마:~이 싸고</t>
  </si>
  <si>
    <t>똥을 마~이 싼다</t>
  </si>
  <si>
    <t>기저귀</t>
  </si>
  <si>
    <t>지저＇구</t>
  </si>
  <si>
    <t>기저구</t>
  </si>
  <si>
    <t>기저구야</t>
  </si>
  <si>
    <t>지저구</t>
  </si>
  <si>
    <t>뉘다(排便)</t>
  </si>
  <si>
    <t>누키＇일 때</t>
  </si>
  <si>
    <t>뉘킨다구/오주멀 이러케 안처 누키지</t>
  </si>
  <si>
    <t>아:더를 뉘킨다/오주믈 뉘케야지</t>
  </si>
  <si>
    <t>누키라구/누켜라</t>
  </si>
  <si>
    <t>빨리 뉘키고/뉘케라</t>
  </si>
  <si>
    <t>뉘케라/오줌 누키자/오주믈 누키라그래지요</t>
  </si>
  <si>
    <t>방귀</t>
  </si>
  <si>
    <t>바앙＇구</t>
  </si>
  <si>
    <t>방:구</t>
  </si>
  <si>
    <t>방:구고</t>
  </si>
  <si>
    <t>방굴 꾸ㅕ:라/방:구래능게</t>
  </si>
  <si>
    <t>방:구 퀴능거</t>
  </si>
  <si>
    <t>방:귀</t>
  </si>
  <si>
    <t>22216-1</t>
  </si>
  <si>
    <t>뀌다</t>
  </si>
  <si>
    <t>꿰＇에＇라/뀌인＇다</t>
  </si>
  <si>
    <t>방구두 크게두 뀌네</t>
  </si>
  <si>
    <t>방:구를 뀐:다 그래지</t>
  </si>
  <si>
    <t>꾸ㅕ:라/방굴 꿰:서 실타</t>
  </si>
  <si>
    <t>방:구르 누가 퀜:는지/방:구 퀸다구래지</t>
  </si>
  <si>
    <t>방:귀 뀐다구래지요/방:귀 꿰:서 냄새난다</t>
  </si>
  <si>
    <t>구린내</t>
  </si>
  <si>
    <t>쿨＇래가 난다</t>
  </si>
  <si>
    <t>쿠린내 난다구/쿠린내가 마:~이 나자너</t>
  </si>
  <si>
    <t>쿠룽내가 난다/쿨래가 나지/도칸 냄새난다 그래지/쿨래가 나서 냄:새가 난다/쿨래가 도카다</t>
  </si>
  <si>
    <t>쿠린내 나지</t>
  </si>
  <si>
    <t>퀸:내</t>
  </si>
  <si>
    <t>쿠룬내/쿠룬내라그래지요/똥내난다</t>
  </si>
  <si>
    <t>구리다</t>
  </si>
  <si>
    <t>쿠＇리다</t>
  </si>
  <si>
    <t>쿠리여/쿠려/아이 방:구도 쿠리해 이래</t>
  </si>
  <si>
    <t>쿠레서 시타/도카다 그래지 머/쿠리다</t>
  </si>
  <si>
    <t>방:굴 꿰서 쿠리다/쿠레서 실타</t>
  </si>
  <si>
    <t>퀴리다</t>
  </si>
  <si>
    <t>쿠룬내나따/쿠룬내난다그래지요</t>
  </si>
  <si>
    <t>포대기</t>
  </si>
  <si>
    <t>퍼디＇기</t>
  </si>
  <si>
    <t>퍼데기/퍼대기 애기이불</t>
  </si>
  <si>
    <t>퍼대기</t>
  </si>
  <si>
    <t>퍼데기</t>
  </si>
  <si>
    <t>기지개</t>
  </si>
  <si>
    <t>지이＇지개</t>
  </si>
  <si>
    <t>기:지개 피능 거</t>
  </si>
  <si>
    <t>기지개라구래</t>
  </si>
  <si>
    <t>지지개</t>
  </si>
  <si>
    <t>지지개쓴다</t>
  </si>
  <si>
    <t>22220-1</t>
  </si>
  <si>
    <t>기지개를 켜다/하다/쓰다/펴다</t>
  </si>
  <si>
    <t>지＇지개르 씬다＇하지요 씬다＇</t>
  </si>
  <si>
    <t>기지개두 이쁘게 피네 이래지/기지개 씬다 구래/기:지개 펜다 이래</t>
  </si>
  <si>
    <t>기지개를 펜다</t>
  </si>
  <si>
    <t>기지개 씬다/기지갤 씬다</t>
  </si>
  <si>
    <t>지지개 신다</t>
  </si>
  <si>
    <t>지지개쓴다구</t>
  </si>
  <si>
    <t>거짓말</t>
  </si>
  <si>
    <t>거어＇지뿔한다/거어＇진말</t>
  </si>
  <si>
    <t>그:지뿌리 핸다 그래/왜 그지뿌리 해니</t>
  </si>
  <si>
    <t>그:짐말/그:지뿌리</t>
  </si>
  <si>
    <t>그:진마를 핸다/그:진마를 해따</t>
  </si>
  <si>
    <t>거:짐말/거:짐말하지마라</t>
  </si>
  <si>
    <t>거:지뿌리/거:진마른</t>
  </si>
  <si>
    <t>남부끄럽다</t>
  </si>
  <si>
    <t>남새시＇룹따/남새시＇롸라</t>
  </si>
  <si>
    <t>남 부꾸럽끼두다구 해구/아유 남 부꾸러워 이래지</t>
  </si>
  <si>
    <t>자네한테 잘모태쓰니 남부끄러워서/남부끄럽따라/남부끄럽따 이래도 되지</t>
  </si>
  <si>
    <t>부꾸루워따/챙피시릅따/부꾸릅따</t>
  </si>
  <si>
    <t>남새시룹따</t>
  </si>
  <si>
    <t>남 부꾸루워</t>
  </si>
  <si>
    <t>겁쟁이</t>
  </si>
  <si>
    <t>겁쩨＇~이</t>
  </si>
  <si>
    <t>저건 겁떼~이여</t>
  </si>
  <si>
    <t>겁째~이</t>
  </si>
  <si>
    <t>겁쨍이라구래지</t>
  </si>
  <si>
    <t>겁째~이라고</t>
  </si>
  <si>
    <t>겁쨍이라그래요/겁쨍이라구</t>
  </si>
  <si>
    <t>불쌍하다</t>
  </si>
  <si>
    <t>불쌍＇하다</t>
  </si>
  <si>
    <t>잰: 부모도 업씨 커서 불쌍해 이래/불쌍해구</t>
  </si>
  <si>
    <t>불쌍해서/불쌍하다 그래지</t>
  </si>
  <si>
    <t>불쌍해다/너무 불쌍해서 도와준다</t>
  </si>
  <si>
    <t>불쌍허다그래요/불쌍해</t>
  </si>
  <si>
    <t>죄암죄암</t>
  </si>
  <si>
    <t>좨앰＇좨앰＇</t>
  </si>
  <si>
    <t>조막쪼막 이래</t>
  </si>
  <si>
    <t>좸:좸:/좸:좨미</t>
  </si>
  <si>
    <t>좸좸좸/재물재물</t>
  </si>
  <si>
    <t>좸:좸:</t>
  </si>
  <si>
    <t>잼:잼:헌다구</t>
  </si>
  <si>
    <t>곤지곤지</t>
  </si>
  <si>
    <t>송고송고송고</t>
  </si>
  <si>
    <t>어 째깡째깡 이래구</t>
  </si>
  <si>
    <t>곤지곤지곤지/제깡제깡제깡</t>
  </si>
  <si>
    <t>장개장개</t>
  </si>
  <si>
    <t>따로따로</t>
  </si>
  <si>
    <t>따리따리 서::마/섬::마 섬마 따리따리</t>
  </si>
  <si>
    <t>따루신다 이래구/따루서/이러케 세워노쿠 따루따루 이래구</t>
  </si>
  <si>
    <t>따루따루</t>
  </si>
  <si>
    <t>따로따로따로 이랜다고/따로:마 따로마/따로마따로마, 따롬마따롬마(+머)</t>
  </si>
  <si>
    <t>아 용타용타/따:루따루시라구(+할머니)</t>
  </si>
  <si>
    <t>도리도리</t>
  </si>
  <si>
    <t>도리도리/도리＇도리＇</t>
  </si>
  <si>
    <t>도:리도리라구</t>
  </si>
  <si>
    <t>짝짜꿍</t>
  </si>
  <si>
    <t>째쨍구</t>
  </si>
  <si>
    <t>도리도리 짝짜꿍 이래지</t>
  </si>
  <si>
    <t>짝짜꾸~이/짝짝꾸~이나/짝짜꿍</t>
  </si>
  <si>
    <t>짹짜궁</t>
  </si>
  <si>
    <t>짝짜꾸~이라해야(?제)</t>
  </si>
  <si>
    <t>짝짜꿍짝짜꿍</t>
  </si>
  <si>
    <t>부라부라</t>
  </si>
  <si>
    <t>풀::풀:: 풀미야 풀::풀:: 풀미야</t>
  </si>
  <si>
    <t>부라부라 하고 지:가 바란짝 여기 디더따</t>
  </si>
  <si>
    <t>풀:미/풀::미 풀미하지</t>
  </si>
  <si>
    <t>둥개둥개/질러리질러리질러리</t>
  </si>
  <si>
    <t>세:상달가상</t>
  </si>
  <si>
    <t>걸음마</t>
  </si>
  <si>
    <t>거름＇마</t>
  </si>
  <si>
    <t>거름마</t>
  </si>
  <si>
    <t>거름마 배운다고</t>
  </si>
  <si>
    <t>거르마거르마이래게찌</t>
  </si>
  <si>
    <t>거르마 탄다구</t>
  </si>
  <si>
    <t>아장아장</t>
  </si>
  <si>
    <t>아장아장(+표준말이라고 생각함.)</t>
  </si>
  <si>
    <t>아중아중 거러간다</t>
  </si>
  <si>
    <t>아장아장 건는다</t>
  </si>
  <si>
    <t>넘어지다</t>
  </si>
  <si>
    <t>너＇머정거슨</t>
  </si>
  <si>
    <t>돌뿌리에 차고 너머지지 머</t>
  </si>
  <si>
    <t>너머진다/너머저도 빨리 이러나라</t>
  </si>
  <si>
    <t>너머저따</t>
  </si>
  <si>
    <t>너머질라</t>
  </si>
  <si>
    <t>곤두박질</t>
  </si>
  <si>
    <t>가앙＇성베기 (+1번 박는 것)/꼰두박＇찔 (+2번 이상 뒹구는 행위)</t>
  </si>
  <si>
    <t>곤두박찔도 친다</t>
  </si>
  <si>
    <t>곤두박찔</t>
  </si>
  <si>
    <t>곤두루바기 처따</t>
  </si>
  <si>
    <t>곤두박찔처따</t>
  </si>
  <si>
    <t>강두배기해:따구</t>
  </si>
  <si>
    <t>안기다</t>
  </si>
  <si>
    <t>앙기＇인다</t>
  </si>
  <si>
    <t>앵켜/앵키지 멀 어떠게/앵겨/앵키능 거/끄러 앙키네 이래지</t>
  </si>
  <si>
    <t>앙긴다</t>
  </si>
  <si>
    <t>푸메 앙긴다/끄러 앙키지/앵긴다/놀:래서 앙킨다</t>
  </si>
  <si>
    <t>엄마푸메 앙킨다</t>
  </si>
  <si>
    <t>앵긴다구</t>
  </si>
  <si>
    <t>바람개비</t>
  </si>
  <si>
    <t>팔랑개＇비</t>
  </si>
  <si>
    <t>팔랑개비</t>
  </si>
  <si>
    <t>팔랑개비/팔랑가비</t>
  </si>
  <si>
    <t>팔랭개비라구래지요</t>
  </si>
  <si>
    <t>호드기</t>
  </si>
  <si>
    <t>휘띠＇기</t>
  </si>
  <si>
    <t>호:드기</t>
  </si>
  <si>
    <t>주:래/주:레여</t>
  </si>
  <si>
    <t>호돌기</t>
  </si>
  <si>
    <t>풀피리</t>
  </si>
  <si>
    <t>호돌기 호돌기라그래요</t>
  </si>
  <si>
    <t>숨바꼭질</t>
  </si>
  <si>
    <t>숨바꼭＇찔</t>
  </si>
  <si>
    <t>숨바꼭찔</t>
  </si>
  <si>
    <t>슘바꼭찌</t>
  </si>
  <si>
    <t>숨바꿈지리라고/숨바꿈질</t>
  </si>
  <si>
    <t>숨:끼내기</t>
  </si>
  <si>
    <t>소꿉놀이</t>
  </si>
  <si>
    <t>야 우리＇ 살림＇사알＇래./살림사안＇다/살림사안＇다 그래</t>
  </si>
  <si>
    <t>통굽찔</t>
  </si>
  <si>
    <t>소꼽짱난/소꼼노리/살림노리</t>
  </si>
  <si>
    <t>통곱짱난핸다구</t>
  </si>
  <si>
    <t>종곱찔</t>
  </si>
  <si>
    <t>송구파리/송:구파리</t>
  </si>
  <si>
    <t>사금파리</t>
  </si>
  <si>
    <t>섀금파＇리</t>
  </si>
  <si>
    <t>통구바리 {사금파리}</t>
  </si>
  <si>
    <t>사기쪼각/사기파리/사금파리도 되지</t>
  </si>
  <si>
    <t>사굼파리라구</t>
  </si>
  <si>
    <t>새금파리</t>
  </si>
  <si>
    <t>연</t>
  </si>
  <si>
    <t>나무예 머 여＇~이 걸레＇삐레따/연만들고 미띠기 치고</t>
  </si>
  <si>
    <t>연 날린다 구래</t>
  </si>
  <si>
    <t>연/여:니라능건 알지만</t>
  </si>
  <si>
    <t>연:/그냥 여:니야</t>
  </si>
  <si>
    <t>연/연: 날린다</t>
  </si>
  <si>
    <t>여늘 날린다</t>
  </si>
  <si>
    <t>22241-1</t>
  </si>
  <si>
    <t>방패연</t>
  </si>
  <si>
    <t>방＇패여느는</t>
  </si>
  <si>
    <t>방패연도 이꾸/그건 여니여 그냥(방패연은 그냥 ＇연＇)</t>
  </si>
  <si>
    <t>가오리연도</t>
  </si>
  <si>
    <t>22241-2</t>
  </si>
  <si>
    <t>가오리연</t>
  </si>
  <si>
    <t>가오＇리연</t>
  </si>
  <si>
    <t>가오리연두 이꾸요/올채~이 여니래</t>
  </si>
  <si>
    <t>가오리연/꼬리달렝건 가오리연</t>
  </si>
  <si>
    <t>태극끼연</t>
  </si>
  <si>
    <t>걸리다</t>
  </si>
  <si>
    <t>걸레＇에따/걸리＇인다</t>
  </si>
  <si>
    <t>나무까지에 걸련네</t>
  </si>
  <si>
    <t>여니 나무에 걸레따</t>
  </si>
  <si>
    <t>걸링건데/걸려따</t>
  </si>
  <si>
    <t>걸리:조/걸린다고 여:니/걸리문 내비레야지</t>
  </si>
  <si>
    <t>여니 걸레따/걸리구/걸린대로</t>
  </si>
  <si>
    <t>고누</t>
  </si>
  <si>
    <t>근＇데 꼬＇~이 저런거또 이꼬/예, 꼰 마제요/꼬네＇ 뛴다/꼰 뛰자</t>
  </si>
  <si>
    <t>*/사방치기라구래(+조?)</t>
  </si>
  <si>
    <t>꼬누노링게로구만/꼬누노리</t>
  </si>
  <si>
    <t>넉뚱머리</t>
  </si>
  <si>
    <t>땅뺏기</t>
  </si>
  <si>
    <t>갑뽀~＇이</t>
  </si>
  <si>
    <t>이거를 땅따먹끼여/먹치기라 그러등가 먹치기(+?제)</t>
  </si>
  <si>
    <t>땅빼끼</t>
  </si>
  <si>
    <t>땅빼끼(+다)/땅재기</t>
  </si>
  <si>
    <t>팽이</t>
  </si>
  <si>
    <t>빼~이＇/패~이＇</t>
  </si>
  <si>
    <t>패~이</t>
  </si>
  <si>
    <t>팽이노래~이지</t>
  </si>
  <si>
    <t>곤 패~이</t>
  </si>
  <si>
    <t>팽이 팽이치기</t>
  </si>
  <si>
    <t>딱지치기</t>
  </si>
  <si>
    <t>빠알＇쭈/빠알＇쭈치자</t>
  </si>
  <si>
    <t>딱치기</t>
  </si>
  <si>
    <t>딱찌치기 딱찌노리</t>
  </si>
  <si>
    <t>건 딱찌노르미지/딱찌라구래</t>
  </si>
  <si>
    <t>딱찌치기</t>
  </si>
  <si>
    <t>구슬</t>
  </si>
  <si>
    <t>구＇술치기/구＇술치기라고도/다마＇(+일본어라고 함.)</t>
  </si>
  <si>
    <t>구실/구시런</t>
  </si>
  <si>
    <t>구실/구슬</t>
  </si>
  <si>
    <t>구시리라그래요(+목에 거는 장식을 ＇구실＇이라고 함)/다마치기라구</t>
  </si>
  <si>
    <t>구스르 뀐:다구</t>
  </si>
  <si>
    <t>다마치기라구</t>
  </si>
  <si>
    <t>그네＇(+신)/춘천＇(+구)/그늘＇</t>
  </si>
  <si>
    <t>구네</t>
  </si>
  <si>
    <t>구누리고</t>
  </si>
  <si>
    <t>구네 뛰능거 구네</t>
  </si>
  <si>
    <t>22248-1</t>
  </si>
  <si>
    <t>그네를 뛰다/타다/구르다</t>
  </si>
  <si>
    <t>그늘 뛰＇러가자/예엔＇나렌 춘천 뛰＇러가자.</t>
  </si>
  <si>
    <t>구네 뛴다 그래지</t>
  </si>
  <si>
    <t>그네를 뛴다 트래지/그넬 탄다구두 하구/느:를 뛴다 그네를 뛴다</t>
  </si>
  <si>
    <t>구넬 뛴다</t>
  </si>
  <si>
    <t>구눌뛴다</t>
  </si>
  <si>
    <t>구네뛴다</t>
  </si>
  <si>
    <t>밑싣개</t>
  </si>
  <si>
    <t>요기＇ 발판＇</t>
  </si>
  <si>
    <t>올라서능 게 미씨깨다 참</t>
  </si>
  <si>
    <t>그네빠리게찌(+제?)</t>
  </si>
  <si>
    <t>찌깨라구래/발찌깨라구랜다구</t>
  </si>
  <si>
    <t>발바침/발바치미라고</t>
  </si>
  <si>
    <t>구네미찌깨</t>
  </si>
  <si>
    <t>굴렁쇠</t>
  </si>
  <si>
    <t>동차＇ 꾸불＇리기</t>
  </si>
  <si>
    <t>저 굴렁쇠 가주 와 우리 가지고 놀:자</t>
  </si>
  <si>
    <t>굴:렁새</t>
  </si>
  <si>
    <t>굴리다</t>
  </si>
  <si>
    <t>동차＇ 동차＇ 구불＇린다그래 동차＇</t>
  </si>
  <si>
    <t>굴:린다</t>
  </si>
  <si>
    <t>굴:린다그래지요</t>
  </si>
  <si>
    <t>22251-0-1</t>
  </si>
  <si>
    <t>꿈불＇린다./바 바쿠를 구불＇린다</t>
  </si>
  <si>
    <t>굴:리구덜 댕기지 {굴리고 다니지}</t>
  </si>
  <si>
    <t>쇠꼬블 굴:리고 이따</t>
  </si>
  <si>
    <t>굴:리기도하고</t>
  </si>
  <si>
    <t>굴:리구</t>
  </si>
  <si>
    <t>22251-0-2</t>
  </si>
  <si>
    <t>바＇쿠를 구불＇레라/꿈불＇레 오나＇라./구루＇마바쿠 꿈불＇레라</t>
  </si>
  <si>
    <t>굴:려가주군 그냥</t>
  </si>
  <si>
    <t>굴:례바라</t>
  </si>
  <si>
    <t>굴:려</t>
  </si>
  <si>
    <t>저짜로 굴:레라</t>
  </si>
  <si>
    <t>빨리 굴:레라그래지요</t>
  </si>
  <si>
    <t>자전거</t>
  </si>
  <si>
    <t>자정＇개</t>
  </si>
  <si>
    <t>자정거여 자정거</t>
  </si>
  <si>
    <t>자정거 두:발자정거</t>
  </si>
  <si>
    <t>자장거</t>
  </si>
  <si>
    <t>자전차</t>
  </si>
  <si>
    <t>자장거라구래</t>
  </si>
  <si>
    <t>목말</t>
  </si>
  <si>
    <t>몽말＇</t>
  </si>
  <si>
    <t>무:등 세운다</t>
  </si>
  <si>
    <t>몽말/몽말 태운다 그래지</t>
  </si>
  <si>
    <t>무등에</t>
  </si>
  <si>
    <t>그기 몽마리야(+머)/몽말</t>
  </si>
  <si>
    <t>몽말태우기</t>
  </si>
  <si>
    <t>말타기</t>
  </si>
  <si>
    <t>말타기한다 그래</t>
  </si>
  <si>
    <t>말로리</t>
  </si>
  <si>
    <t>용마리고/용말탄다/용말태운다</t>
  </si>
  <si>
    <t>몽말타기라구</t>
  </si>
  <si>
    <t>달음박질</t>
  </si>
  <si>
    <t>뜀박＇찔</t>
  </si>
  <si>
    <t>다름박찔</t>
  </si>
  <si>
    <t>뜀박찔</t>
  </si>
  <si>
    <t>뜀박찔핸다</t>
  </si>
  <si>
    <t>다름질</t>
  </si>
  <si>
    <t>썰매</t>
  </si>
  <si>
    <t>시게＇또(+얼음 위에서 타는 것)/설매＇(+눈 위에서 타는 것)/솔매＇</t>
  </si>
  <si>
    <t>쓰케 탄다 그래/써르매</t>
  </si>
  <si>
    <t>썰매(+눈 위에서 타는 것)/여:선 빙:구(+얼음 위에서 타는 것)</t>
  </si>
  <si>
    <t>발구(+얼음 위에서 타는 것)/썰:매노리라구래(+눈 위에서 타는 것)/쓰께야 타능게(+얼음 위에서 타는 것)</t>
  </si>
  <si>
    <t>안질배~이(+얼음 위에서 타는 기구)/누:네서 타능건 설매고(+눈 위에서 타나는 기구)</t>
  </si>
  <si>
    <t>시께또라그래요(+얼음에서 타는 것)/썰매(+눈에서 타는 것)</t>
  </si>
  <si>
    <t>22256-1</t>
  </si>
  <si>
    <t>얼음을(썰매를) 지치다/타다</t>
  </si>
  <si>
    <t>야 솔매＇ 타러 가자</t>
  </si>
  <si>
    <t>써르매 탄다 구래</t>
  </si>
  <si>
    <t>탄다 제긴다(빙구를)</t>
  </si>
  <si>
    <t>쓰껠 탄다</t>
  </si>
  <si>
    <t>안질배~이탄다</t>
  </si>
  <si>
    <t>시께또탄다구래지요</t>
  </si>
  <si>
    <t>22256-2</t>
  </si>
  <si>
    <t>소옹＇곧/예, 소옹＇고세 찔레＇따</t>
  </si>
  <si>
    <t>쓰껨막때기</t>
  </si>
  <si>
    <t>빙구꼬재~이</t>
  </si>
  <si>
    <t>발구찌께야</t>
  </si>
  <si>
    <t>안질배~이꼬재~이</t>
  </si>
  <si>
    <t>꼬:재~이라그래지/시께토꼬재~이라구래요</t>
  </si>
  <si>
    <t>엄살</t>
  </si>
  <si>
    <t>숭＇마 씬다 숭마</t>
  </si>
  <si>
    <t>엄사럴</t>
  </si>
  <si>
    <t>엄사리지</t>
  </si>
  <si>
    <t>엄사리 그걸 엄사리라구래</t>
  </si>
  <si>
    <t>엄살쓴다구래지요</t>
  </si>
  <si>
    <t>22257-1</t>
  </si>
  <si>
    <t>(엄살) 부리다/피우다/떨다/하다</t>
  </si>
  <si>
    <t>숭＇마 씬다</t>
  </si>
  <si>
    <t>왜 이러케 엄사럴 떠러</t>
  </si>
  <si>
    <t>엄살 부리지마라</t>
  </si>
  <si>
    <t>엄사럴 핸다</t>
  </si>
  <si>
    <t>야:가 엄살신다/엄살신다구래지</t>
  </si>
  <si>
    <t>엄살 쓴다구/엄살 즘 그만써라</t>
  </si>
  <si>
    <t>부아</t>
  </si>
  <si>
    <t>부우＇애가 사~해 주＇글 지겨＇~이다/부우＇애＇</t>
  </si>
  <si>
    <t>부와통이 터진다 그래/왜 이러게 부왈 질러/부와통이 터저 죽껜네</t>
  </si>
  <si>
    <t>부애도 난다/부애가 난다/부화가 난다고도 하지</t>
  </si>
  <si>
    <t>부와가 난다</t>
  </si>
  <si>
    <t>부홰가 치민다</t>
  </si>
  <si>
    <t>부애두 도다따그래구</t>
  </si>
  <si>
    <t>아버지</t>
  </si>
  <si>
    <t>아부＇지</t>
  </si>
  <si>
    <t>아버지도 그러치</t>
  </si>
  <si>
    <t>아부지</t>
  </si>
  <si>
    <t>22301-1</t>
  </si>
  <si>
    <t>아버지(호칭)</t>
  </si>
  <si>
    <t>아부＇지요</t>
  </si>
  <si>
    <t>아부지/아버지</t>
  </si>
  <si>
    <t>아번님뇨/아버지</t>
  </si>
  <si>
    <t>어머니</t>
  </si>
  <si>
    <t>어마＇~이</t>
  </si>
  <si>
    <t>어머니라 그래지</t>
  </si>
  <si>
    <t>어머~이가</t>
  </si>
  <si>
    <t>어머니라</t>
  </si>
  <si>
    <t>어머~이</t>
  </si>
  <si>
    <t>엄마</t>
  </si>
  <si>
    <t>22302-1</t>
  </si>
  <si>
    <t>어머니(호칭)</t>
  </si>
  <si>
    <t>어머＇~이</t>
  </si>
  <si>
    <t>어머니 이래지/엄마</t>
  </si>
  <si>
    <t>어먼님뇨/아버지 어머~이/어머~이요</t>
  </si>
  <si>
    <t>어무니</t>
  </si>
  <si>
    <t>할아버지</t>
  </si>
  <si>
    <t>하르＇바~이/하르＇바~이느</t>
  </si>
  <si>
    <t>하라부지</t>
  </si>
  <si>
    <t>하라버지지</t>
  </si>
  <si>
    <t>하르버~이지/손지가 날:보고 하라버~이라/우리하르버~이(+머)</t>
  </si>
  <si>
    <t>하라버지</t>
  </si>
  <si>
    <t>22303-1</t>
  </si>
  <si>
    <t>할아버지(호칭)</t>
  </si>
  <si>
    <t>하르＇바~이 하르＇바~이요 여＇어 와 좀 안지＇시오./하르＇바~이 아＇치므 드십＇씨요</t>
  </si>
  <si>
    <t>하라버~이하라버~이(+호)</t>
  </si>
  <si>
    <t>하라부지 하라부지</t>
  </si>
  <si>
    <t>할머니</t>
  </si>
  <si>
    <t>할마＇~이</t>
  </si>
  <si>
    <t>할머니/할머~이</t>
  </si>
  <si>
    <t>할머니라그러지</t>
  </si>
  <si>
    <t>할머~이</t>
  </si>
  <si>
    <t>할무니</t>
  </si>
  <si>
    <t>22304-1</t>
  </si>
  <si>
    <t>할머니(호칭)</t>
  </si>
  <si>
    <t>할마~＇이요/할머＇~이</t>
  </si>
  <si>
    <t>할머님</t>
  </si>
  <si>
    <t>남편</t>
  </si>
  <si>
    <t>남편＇/남＇편보다가/남＇편 낭군＇</t>
  </si>
  <si>
    <t>남펴널</t>
  </si>
  <si>
    <t>남펴니라고 그래지</t>
  </si>
  <si>
    <t>냄편/남펴늘 가따가</t>
  </si>
  <si>
    <t>남펴니라 부루던지</t>
  </si>
  <si>
    <t>22305-1</t>
  </si>
  <si>
    <t>남편(호칭)</t>
  </si>
  <si>
    <t>여보＇/누구＇에 아버＇지면 아버지/누구 아부＇지면 아부지＇</t>
  </si>
  <si>
    <t>으ㅡㅇ:감(늙었을 때)/＇여보＇ 그러게 불러(젊을 때)/**니 아빠여</t>
  </si>
  <si>
    <t>으ㅡㅇ:감(+늙었을 때)/아무개아빠라구(+젊었을 때)</t>
  </si>
  <si>
    <t>여보여보 그파게 그래찌/하르버~이라하조(+나이가 들어서)</t>
  </si>
  <si>
    <t>**이 하라버~이/여보(+젊을 때)/**이 하라바~이</t>
  </si>
  <si>
    <t>아내</t>
  </si>
  <si>
    <t>집＇싸람/안싸＇람</t>
  </si>
  <si>
    <t>칭구가 오먼 우리 안싸라미라/안싸람/우리 각씨라 그래</t>
  </si>
  <si>
    <t>아내라 그리고</t>
  </si>
  <si>
    <t>내 처라구/집싸라미라구</t>
  </si>
  <si>
    <t>할멈한테 얘:기할쩌게/우리 안씩꾸다/우리 안싸라미다/안더리 아는데</t>
  </si>
  <si>
    <t>우리 안싸람</t>
  </si>
  <si>
    <t>22306-1</t>
  </si>
  <si>
    <t>아내(호칭)</t>
  </si>
  <si>
    <t>여보＇도 쓰고</t>
  </si>
  <si>
    <t>여보 그래지/남자도 부를 쩌게 ＇여보＇ 그래구 여자두 그래구</t>
  </si>
  <si>
    <t>자게(+부인이 남편을 부를 때)/여보(부인이 남편을 부를 때)/상히엄마/할머미야</t>
  </si>
  <si>
    <t>여보라고 소리지르지</t>
  </si>
  <si>
    <t>어머~이가 이쓰먼 철쑤 어머~이</t>
  </si>
  <si>
    <t>형</t>
  </si>
  <si>
    <t>서＇~이</t>
  </si>
  <si>
    <t>성이 되먼 형이라고 불르고</t>
  </si>
  <si>
    <t>형니미라 부르지만/서~이 {형}</t>
  </si>
  <si>
    <t>성이라/성님</t>
  </si>
  <si>
    <t>혀~이라고/이부는 우리 맏 형니미고</t>
  </si>
  <si>
    <t>우리 형님/나 위에 성이 이쓰믄 크나부지/우리형니미꾸/그땐 성</t>
  </si>
  <si>
    <t>22307-1</t>
  </si>
  <si>
    <t>형(호칭)</t>
  </si>
  <si>
    <t>시＇~이</t>
  </si>
  <si>
    <t>성이래고 부르지(어렸을 때)/장개 들고 형니미라고 그래구/성이 되먼 형이라고 불르고/성 {형, 어렸을 때는 ＇성＇}/형니미라 그래지</t>
  </si>
  <si>
    <t>성(+젊었을 때)/그건 성이라구래/성님(+나이가 들었을 때)/여보 해자너</t>
  </si>
  <si>
    <t>혀~이라고 부루머는</t>
  </si>
  <si>
    <t>형님</t>
  </si>
  <si>
    <t>아우</t>
  </si>
  <si>
    <t>동상＇</t>
  </si>
  <si>
    <t>아우라 그래구/동상이먼/동상가주 아우래/내 여동생이라 그래</t>
  </si>
  <si>
    <t>야 내 동사~이라 그래지(+통칭)/내 아우라 그래지/동상</t>
  </si>
  <si>
    <t>동상/동생/아우라그래</t>
  </si>
  <si>
    <t>내 망내~이 동사~이고/내 동사~이 인는데</t>
  </si>
  <si>
    <t>동생이다/동새~이먼 자그나부지 불러요</t>
  </si>
  <si>
    <t>22308-1</t>
  </si>
  <si>
    <t>아우(호칭)</t>
  </si>
  <si>
    <t>영＇차나(+이름을 부름.)/아＇무깨 이사람 동생(+나이가 들면 이렇게 부름, 나이가 어리면 이름을 직접 부름.)</t>
  </si>
  <si>
    <t>*(+그냥 이름을 부른다)</t>
  </si>
  <si>
    <t>내동생/내 아우라고(+성인이 되었을 때)</t>
  </si>
  <si>
    <t>동상 일루와</t>
  </si>
  <si>
    <t>철쑤먼 철쑤(+동생의 경우는 이름을 직접 부름)</t>
  </si>
  <si>
    <t>누나</t>
  </si>
  <si>
    <t>누~우＇/누＇나</t>
  </si>
  <si>
    <t>누:나(+존)/누나(시집 가지 않았을 때)/누나(+존)</t>
  </si>
  <si>
    <t>누니미라 그래구/누:라 그래고</t>
  </si>
  <si>
    <t>누:나</t>
  </si>
  <si>
    <t>누:가 되자너/내 누:가</t>
  </si>
  <si>
    <t>누니미다/누나라 그래찌요/누님/우리누:니미꼬</t>
  </si>
  <si>
    <t>22309-1</t>
  </si>
  <si>
    <t>누나(호칭)</t>
  </si>
  <si>
    <t>누＇님/누~우＇야</t>
  </si>
  <si>
    <t>우리누나라 그래지/시지블 가먼 이제 누님 그래</t>
  </si>
  <si>
    <t>누님</t>
  </si>
  <si>
    <t>누:야 밤머그러 와/누: 저 밤머그러 와요</t>
  </si>
  <si>
    <t>누님 누님/누나/누나 누나</t>
  </si>
  <si>
    <t>누이</t>
  </si>
  <si>
    <t>여동상＇</t>
  </si>
  <si>
    <t>누:라구/내 뉴:라 그래구</t>
  </si>
  <si>
    <t>누이/내 누이동새~이라 그래지</t>
  </si>
  <si>
    <t>여동상이라구/내 여동상이라</t>
  </si>
  <si>
    <t>여동사~이라고 남동사~이라고/예동사~이다</t>
  </si>
  <si>
    <t>여동생/누이동생이라구두 쓰구</t>
  </si>
  <si>
    <t>22310-1</t>
  </si>
  <si>
    <t>누이(호칭)</t>
  </si>
  <si>
    <t>뉴:/막 부르능 건 누:</t>
  </si>
  <si>
    <t>누:니미라구</t>
  </si>
  <si>
    <t>동상 저 밤머그러 와(+커서)/순:자야(+어릴 때)</t>
  </si>
  <si>
    <t>영수가 영수가(+여동생은 이름을 직접 부름)</t>
  </si>
  <si>
    <t>자식</t>
  </si>
  <si>
    <t>자녀＇</t>
  </si>
  <si>
    <t>내 자시기라 그래구</t>
  </si>
  <si>
    <t>내 자시기라고 하지</t>
  </si>
  <si>
    <t>자식/자시글</t>
  </si>
  <si>
    <t>자시그요</t>
  </si>
  <si>
    <t>내 자식드리라고</t>
  </si>
  <si>
    <t>맏아들</t>
  </si>
  <si>
    <t>마다＇들</t>
  </si>
  <si>
    <t>우리 마다더리라 그래구 소개해지/마다더리라구두 해구/크나덜</t>
  </si>
  <si>
    <t>내 마다들</t>
  </si>
  <si>
    <t>마다들</t>
  </si>
  <si>
    <t>마다덜</t>
  </si>
  <si>
    <t>맏딸</t>
  </si>
  <si>
    <t>마＇딸</t>
  </si>
  <si>
    <t>큰따리라/마딸</t>
  </si>
  <si>
    <t>마딸</t>
  </si>
  <si>
    <t>막내</t>
  </si>
  <si>
    <t>망내＇~이아들/망내＇~이딸</t>
  </si>
  <si>
    <t>망내</t>
  </si>
  <si>
    <t>막똥이/망내</t>
  </si>
  <si>
    <t>망내~이</t>
  </si>
  <si>
    <t>오빠</t>
  </si>
  <si>
    <t>오빠＇/오래＇비/오라＇바~이(+존)</t>
  </si>
  <si>
    <t>건 오빠지/우리 오빠라 그래/우리 오라버~이(+옛날에 많이 사용, 지금은 오빠를 많이 사용함)/기지배먼 오빠라 그래지</t>
  </si>
  <si>
    <t>오라버니라 불러/오라버니라구두 하구/우리오빠라 그래지/장:개 앙가씀 오빠지/장:갤 들어씀 오라버니구/절머쓸쩨 오빠/늘거쓰~이 오라버니(+존)</t>
  </si>
  <si>
    <t>오빠가</t>
  </si>
  <si>
    <t>내 오빠다/오빠라고</t>
  </si>
  <si>
    <t>22315-1</t>
  </si>
  <si>
    <t>오빠(호칭)</t>
  </si>
  <si>
    <t>오라＇바~이 빨＇리 오세＇요.</t>
  </si>
  <si>
    <t>오라버니(+나이가 들면)</t>
  </si>
  <si>
    <t>오빠라고도 불르구</t>
  </si>
  <si>
    <t>오래비요/오빠라고 부루지요/오래비(+나이 들었을 때)/오빠(+젊을 때)</t>
  </si>
  <si>
    <t>오빠라구/점잔케 하먼 오라번님</t>
  </si>
  <si>
    <t>언니</t>
  </si>
  <si>
    <t>이사＇람 우리 시＇~이야</t>
  </si>
  <si>
    <t>언니라 그래/언니구(젊었거나 늙었거나, +다)</t>
  </si>
  <si>
    <t>언니라구/성님(+나이가 많이 들었을 때)</t>
  </si>
  <si>
    <t>언니라고 부루지</t>
  </si>
  <si>
    <t>지금더른 언니(+신)/옌:나레 성이라그래고 지그믄 언니라그래자나요./성이라그래찌요 옌:나레는(+구)</t>
  </si>
  <si>
    <t>22316-1</t>
  </si>
  <si>
    <t>언니(호칭)</t>
  </si>
  <si>
    <t>시＇~이야</t>
  </si>
  <si>
    <t>내 언니야</t>
  </si>
  <si>
    <t>성 성하고</t>
  </si>
  <si>
    <t>아비</t>
  </si>
  <si>
    <t>애＇비</t>
  </si>
  <si>
    <t>실랑이라구래/이건 아무개 애비여 이래구</t>
  </si>
  <si>
    <t>아버믄 얼루 가써</t>
  </si>
  <si>
    <t>아무개아빠</t>
  </si>
  <si>
    <t>아가라 불러(+자식이 없을 때)/애비/애비라구</t>
  </si>
  <si>
    <t>22317-1</t>
  </si>
  <si>
    <t>아비(호칭)</t>
  </si>
  <si>
    <t>우리 애＇비/애＇비야</t>
  </si>
  <si>
    <t>아무개 아빠라구/버마 {아범아}</t>
  </si>
  <si>
    <t>아 아버모게 이래지/아버모나라 그래지 {아범 오나라}</t>
  </si>
  <si>
    <t>애비야/아범 어디가따</t>
  </si>
  <si>
    <t>크나:라고/애비야</t>
  </si>
  <si>
    <t>철쑤야(+자식이 있을 때)/아무개애비</t>
  </si>
  <si>
    <t>어미</t>
  </si>
  <si>
    <t>에미＇</t>
  </si>
  <si>
    <t>우리 ** 처/아내라구/** 아내여(** 아내여)</t>
  </si>
  <si>
    <t>해다어머밀쎄/자부라 그래지</t>
  </si>
  <si>
    <t>애어머믄/애엄마</t>
  </si>
  <si>
    <t>이르므 부루미 에미라고</t>
  </si>
  <si>
    <t>22318-1</t>
  </si>
  <si>
    <t>어미(호칭)</t>
  </si>
  <si>
    <t>아가＇/에미＇야</t>
  </si>
  <si>
    <t>아가 이래 불르지/얘 아가</t>
  </si>
  <si>
    <t>해다어멈</t>
  </si>
  <si>
    <t>에미야 이래/야, 에미야</t>
  </si>
  <si>
    <t>아무개에미야</t>
  </si>
  <si>
    <t>손자</t>
  </si>
  <si>
    <t>손＇자</t>
  </si>
  <si>
    <t>손주예 손주는 또 징손/순주(남자)</t>
  </si>
  <si>
    <t>손지/손지더리</t>
  </si>
  <si>
    <t>아드레아드리 손지지/아드른 손자고</t>
  </si>
  <si>
    <t>손주</t>
  </si>
  <si>
    <t>손녀</t>
  </si>
  <si>
    <t>손＇녀</t>
  </si>
  <si>
    <t>손녜딸(여자)/손녜가 {손녀가}/우리 손녜딸/손주딸</t>
  </si>
  <si>
    <t>손녀딸</t>
  </si>
  <si>
    <t>손녀/손지따리 손녀지</t>
  </si>
  <si>
    <t>사위</t>
  </si>
  <si>
    <t>싸＇우가</t>
  </si>
  <si>
    <t>사우</t>
  </si>
  <si>
    <t>사우자너/사우를</t>
  </si>
  <si>
    <t>싸우라고 부루지/싸우지</t>
  </si>
  <si>
    <t>22321-1</t>
  </si>
  <si>
    <t>사위(호칭)</t>
  </si>
  <si>
    <t>싸＇우야 아침쩌＇네 완능＇가</t>
  </si>
  <si>
    <t>여보게 사우 어디 가나</t>
  </si>
  <si>
    <t>이제는 이서방도 불르구 하더구만/사우라구 부르지</t>
  </si>
  <si>
    <t>싸우(+다)/김서방(+이런 호칭도 있다고 함)</t>
  </si>
  <si>
    <t>아무개 아범 오라구/아무개 아범(+장인이 씀.)/김서방 이서방(+장모가 씀.)</t>
  </si>
  <si>
    <t>외손자</t>
  </si>
  <si>
    <t>외＇손주</t>
  </si>
  <si>
    <t>건 우리 외손주</t>
  </si>
  <si>
    <t>외손지지</t>
  </si>
  <si>
    <t>외손주</t>
  </si>
  <si>
    <t>외소니조/외소니고</t>
  </si>
  <si>
    <t>외:손주</t>
  </si>
  <si>
    <t>외손녀</t>
  </si>
  <si>
    <t>외＇손녀</t>
  </si>
  <si>
    <t>외손주딸/외손녜딸</t>
  </si>
  <si>
    <t>외손주딸</t>
  </si>
  <si>
    <t>외:손녀</t>
  </si>
  <si>
    <t>꾸짖다</t>
  </si>
  <si>
    <t>꾸진＇는다</t>
  </si>
  <si>
    <t>꾸지따 그래지 그냥/꾸진다구/꾸진는다구/꾸지름해지/꾸지르먼</t>
  </si>
  <si>
    <t>꾸지저야 된다/꾸지럼한다/꾸진는다</t>
  </si>
  <si>
    <t>꾸지른다/꾸진다/꾸지름핸다</t>
  </si>
  <si>
    <t>꾸진는다</t>
  </si>
  <si>
    <t>꾸지러믈 든는다/꾸지러믈 마:니 하능거지</t>
  </si>
  <si>
    <t>22324-0-1</t>
  </si>
  <si>
    <t>꾸직＇꾸이따/꾸지＇저준다</t>
  </si>
  <si>
    <t>왜 꾸지르니</t>
  </si>
  <si>
    <t>꾸지꼬 이따</t>
  </si>
  <si>
    <t>꾸지러따</t>
  </si>
  <si>
    <t>꾸지끼도 하고</t>
  </si>
  <si>
    <t>22324-1</t>
  </si>
  <si>
    <t>나무라다</t>
  </si>
  <si>
    <t>나물＇구고/나물＇군다</t>
  </si>
  <si>
    <t>나물른다</t>
  </si>
  <si>
    <t>그냥 나무래지/나무르기두 하구/나무래능거/나무래서/아이더를 라무란다/나무랄때</t>
  </si>
  <si>
    <t>나무러따/나무른다</t>
  </si>
  <si>
    <t>나무래기도 하고/나무랜다</t>
  </si>
  <si>
    <t>나무르진다/나무른다구두 허구/나무르지요</t>
  </si>
  <si>
    <t>총각</t>
  </si>
  <si>
    <t>총＇각</t>
  </si>
  <si>
    <t>총:각</t>
  </si>
  <si>
    <t>총:가기지</t>
  </si>
  <si>
    <t>처녀</t>
  </si>
  <si>
    <t>처어＇녀 처:녀＇</t>
  </si>
  <si>
    <t>처:녀/츠:녀 보는 누니 엄청 놉꾸나 {처녀 보는 눈이 엄청 높구나}</t>
  </si>
  <si>
    <t>처:녀</t>
  </si>
  <si>
    <t>츠:녀</t>
  </si>
  <si>
    <t>처:녀고</t>
  </si>
  <si>
    <t>혼인</t>
  </si>
  <si>
    <t>호닌＇/성원＇한단다</t>
  </si>
  <si>
    <t>호닌</t>
  </si>
  <si>
    <t>겨로니야 잔채지</t>
  </si>
  <si>
    <t>호니를</t>
  </si>
  <si>
    <t>겨론한다</t>
  </si>
  <si>
    <t>22327-1</t>
  </si>
  <si>
    <t>혼인식</t>
  </si>
  <si>
    <t>성원＇식 호닌＇식</t>
  </si>
  <si>
    <t>겨론시게/겨론식/구:식 잔치</t>
  </si>
  <si>
    <t>혼녜식</t>
  </si>
  <si>
    <t>겨론시글/호닌식</t>
  </si>
  <si>
    <t>겨론시글 한다</t>
  </si>
  <si>
    <t>호닌식/겨론식(+다)/홀:레식</t>
  </si>
  <si>
    <t>혼인 잔치</t>
  </si>
  <si>
    <t>잔채＇</t>
  </si>
  <si>
    <t>동:네잔치핸다 그래지</t>
  </si>
  <si>
    <t>잔채를 하게되먼 홀례시글 올리지/잔치라구두 하지 잔치</t>
  </si>
  <si>
    <t>잔치</t>
  </si>
  <si>
    <t>결혼잔치/겨론식잔차다</t>
  </si>
  <si>
    <t>잔치 잔치/아무개 잔치헌다</t>
  </si>
  <si>
    <t>장가가다</t>
  </si>
  <si>
    <t>자앙＇개르 간다</t>
  </si>
  <si>
    <t>장:개를 가먼 그래도 오빠여</t>
  </si>
  <si>
    <t>장:개가고 시지까고</t>
  </si>
  <si>
    <t>장:개가라</t>
  </si>
  <si>
    <t>장:갠 앙가도/장:개가고</t>
  </si>
  <si>
    <t>장:가가고/장가간다</t>
  </si>
  <si>
    <t>22329-1</t>
  </si>
  <si>
    <t>시집가다</t>
  </si>
  <si>
    <t>시지＇깐다</t>
  </si>
  <si>
    <t>시직까구 장개가구 {시집가고 장가가고}</t>
  </si>
  <si>
    <t>시:직까고</t>
  </si>
  <si>
    <t>빨리 시지까라/시지블 가라</t>
  </si>
  <si>
    <t>처:녀는 시:지까고</t>
  </si>
  <si>
    <t>시지깐다/시지까고</t>
  </si>
  <si>
    <t>혼숫감</t>
  </si>
  <si>
    <t>혼수＇는/혼수＇ 홈＇모기라 함미다/혼수＇품</t>
  </si>
  <si>
    <t>혼수 해간다 그래</t>
  </si>
  <si>
    <t>홀례품/혼수품이라 그래구/혼수는 오까주구 혼수라그래지</t>
  </si>
  <si>
    <t>혼수</t>
  </si>
  <si>
    <t>혼수까:미라구두 허구 혼수푸미라고두 허구 그래요/혼수품</t>
  </si>
  <si>
    <t>함</t>
  </si>
  <si>
    <t>그 하아＇므는</t>
  </si>
  <si>
    <t>함:</t>
  </si>
  <si>
    <t>하:미라 그래</t>
  </si>
  <si>
    <t>하:미라 한다고</t>
  </si>
  <si>
    <t>겹사돈</t>
  </si>
  <si>
    <t>접사＇돈</t>
  </si>
  <si>
    <t>접싸둔/새색씨가 이:뿌다</t>
  </si>
  <si>
    <t>접싸두니지</t>
  </si>
  <si>
    <t>접싸두니라그래</t>
  </si>
  <si>
    <t>접싸돈 이싸 이따고/접싸도니</t>
  </si>
  <si>
    <t>접싸두니라그래지요</t>
  </si>
  <si>
    <t>새색시</t>
  </si>
  <si>
    <t>섀액＇씨</t>
  </si>
  <si>
    <t>새색씨/저 집 새새대기라 구래/새메누리</t>
  </si>
  <si>
    <t>새다기라 그래지 새닥/새다기지</t>
  </si>
  <si>
    <t>새다글(+구)/새악씨/새다기라구/시어머~이가/샥:씨(+신)</t>
  </si>
  <si>
    <t>새다기라고</t>
  </si>
  <si>
    <t>새애기</t>
  </si>
  <si>
    <t>22333-1</t>
  </si>
  <si>
    <t>새색시(호칭)</t>
  </si>
  <si>
    <t>아아＇무개 각＇씨/섀댁＇</t>
  </si>
  <si>
    <t>＇새아가＇ 이래구 불르고</t>
  </si>
  <si>
    <t>아 여보게 새닥</t>
  </si>
  <si>
    <t>샥:씨/새닥</t>
  </si>
  <si>
    <t>새새닥</t>
  </si>
  <si>
    <t>철쑤야 이래믄(+남편 이름을 부름.)/새댁 가치가(+여자들이 부를 때)</t>
  </si>
  <si>
    <t>시아버지</t>
  </si>
  <si>
    <t>씨아＇바~이/시아＇바이</t>
  </si>
  <si>
    <t>시아부지(지칭)</t>
  </si>
  <si>
    <t>시아버짐니다/시아버지/시아번님</t>
  </si>
  <si>
    <t>시아버지지/시아버이</t>
  </si>
  <si>
    <t>시아버~이지/시아번니미라고/우리 아번니미다</t>
  </si>
  <si>
    <t>시아부지라그래지요</t>
  </si>
  <si>
    <t>22334-1</t>
  </si>
  <si>
    <t>시아버지(호칭)</t>
  </si>
  <si>
    <t>아＇번님</t>
  </si>
  <si>
    <t>아번님(호칭)</t>
  </si>
  <si>
    <t>아번님/아번니미라 부르지</t>
  </si>
  <si>
    <t>아번님/아번니미라구</t>
  </si>
  <si>
    <t>아번니미라</t>
  </si>
  <si>
    <t>아번님 아번님그래요</t>
  </si>
  <si>
    <t>시어머니</t>
  </si>
  <si>
    <t>시어마＇~이/시어머＇~이/서어＇마~이</t>
  </si>
  <si>
    <t>시어머~이</t>
  </si>
  <si>
    <t>시어머니/시어먼님/시어머~이/이거 시어머~이가</t>
  </si>
  <si>
    <t>시어머니/시어머니라</t>
  </si>
  <si>
    <t>시어머니먼 시어먼님</t>
  </si>
  <si>
    <t>22335-1</t>
  </si>
  <si>
    <t>시어머니(호칭)</t>
  </si>
  <si>
    <t>어마＇~이요/시어마＇~이 시어마~이</t>
  </si>
  <si>
    <t>어머님</t>
  </si>
  <si>
    <t>어먼님</t>
  </si>
  <si>
    <t>어먼니미라그래요</t>
  </si>
  <si>
    <t>비위</t>
  </si>
  <si>
    <t>비＇유</t>
  </si>
  <si>
    <t>비유 잘 마처준다구</t>
  </si>
  <si>
    <t>비유라구래</t>
  </si>
  <si>
    <t>비유를 잘 마춰야조</t>
  </si>
  <si>
    <t>비우</t>
  </si>
  <si>
    <t>아주버니</t>
  </si>
  <si>
    <t>아주＇바~이/아주＇번님/아주＇버~이/맏 히＇숙</t>
  </si>
  <si>
    <t>시아주버~이/우리 시아주버니/시아주버~이(지칭)</t>
  </si>
  <si>
    <t>시숙/시수기라 그래지</t>
  </si>
  <si>
    <t>아주번님(+머)/아주번니미라고</t>
  </si>
  <si>
    <t>시아주번님</t>
  </si>
  <si>
    <t>22337-1</t>
  </si>
  <si>
    <t>아주버니(호칭)</t>
  </si>
  <si>
    <t>시아주번＇님 암부루고/아주＇번님</t>
  </si>
  <si>
    <t>아주번님(호칭)</t>
  </si>
  <si>
    <t>아주버~이 마:~이 불르지</t>
  </si>
  <si>
    <t>아주번님이라 그래(+머)</t>
  </si>
  <si>
    <t>시아주버니/아주버니 그냥 불러요/시아주번님</t>
  </si>
  <si>
    <t>서방님</t>
  </si>
  <si>
    <t>서방＇님</t>
  </si>
  <si>
    <t>새서방님 이래지(지칭)/시동상(지칭)</t>
  </si>
  <si>
    <t>서방니미라고 마:~이 해</t>
  </si>
  <si>
    <t>시동생이라/서방니미라</t>
  </si>
  <si>
    <t>시동사~이라고</t>
  </si>
  <si>
    <t>시:동상아주번님(+조?)</t>
  </si>
  <si>
    <t>22338-1</t>
  </si>
  <si>
    <t>서방님(호칭)</t>
  </si>
  <si>
    <t>부룰＇때 서방＇니미라고도</t>
  </si>
  <si>
    <t>서방님(+남편의 남동생이 결혼했을 때,지칭)/서방님(호칭)</t>
  </si>
  <si>
    <t>자근서방님/대렌님(+결혼한 경우)</t>
  </si>
  <si>
    <t>되렌니미고/되렌니미라고</t>
  </si>
  <si>
    <t>아주버니라 다 불러요</t>
  </si>
  <si>
    <t>도련님</t>
  </si>
  <si>
    <t>데＇레님/데＇렌님</t>
  </si>
  <si>
    <t>시동상(지칭)/우리 대렌님이라구(소개할 때, 지칭)</t>
  </si>
  <si>
    <t>시동새~이라 그래지/시동생으로 부르지</t>
  </si>
  <si>
    <t>대렌님</t>
  </si>
  <si>
    <t>시동사~이지</t>
  </si>
  <si>
    <t>시도령</t>
  </si>
  <si>
    <t>22339-1</t>
  </si>
  <si>
    <t>도련님(호칭)</t>
  </si>
  <si>
    <t>대＇렌님</t>
  </si>
  <si>
    <t>대련님(호칭)/대렌님(호칭)/대렌님(+결혼하지 않은 남동생 호칭)</t>
  </si>
  <si>
    <t>도련님 마:~이 불러/도런니미지 머</t>
  </si>
  <si>
    <t>시도령님 시도령님(+조?)</t>
  </si>
  <si>
    <t>성＇님</t>
  </si>
  <si>
    <t>형님/남자먼 성이라 그래구 형이라 그래구</t>
  </si>
  <si>
    <t>형니미지(시댁 맏동서에게)/형니미라 그래지 머</t>
  </si>
  <si>
    <t>마똥세/동서그래지</t>
  </si>
  <si>
    <t>마똥세/마똥사다</t>
  </si>
  <si>
    <t>형니미라그래요</t>
  </si>
  <si>
    <t>22340-1</t>
  </si>
  <si>
    <t>형님(호칭)</t>
  </si>
  <si>
    <t>그냥 성＇님/성＇님뇨 오늘 저 어대</t>
  </si>
  <si>
    <t>성님</t>
  </si>
  <si>
    <t>형님 형님</t>
  </si>
  <si>
    <t>시누이</t>
  </si>
  <si>
    <t>시이＇누/시이＇누마는</t>
  </si>
  <si>
    <t>시누(지칭)</t>
  </si>
  <si>
    <t>시누/시누이지 시누이</t>
  </si>
  <si>
    <t>시누가 되능거야/시누야</t>
  </si>
  <si>
    <t>시누:/여자 시누:는(+머)</t>
  </si>
  <si>
    <t>시:누</t>
  </si>
  <si>
    <t>22341-1</t>
  </si>
  <si>
    <t>시누이(호칭)</t>
  </si>
  <si>
    <t>누~우＇야 그냥/누~우＇요 빨리빨리 지금 저</t>
  </si>
  <si>
    <t>＇애기씨＇ 이래구 불르지(+결혼 전, 호칭)</t>
  </si>
  <si>
    <t>아가씨는</t>
  </si>
  <si>
    <t>아기씨</t>
  </si>
  <si>
    <t>시누 시누그래요/시눈니미라그래고(+나이가 많을 때)</t>
  </si>
  <si>
    <t>22341-2</t>
  </si>
  <si>
    <t>아가씨</t>
  </si>
  <si>
    <t>마찬가＇지 시이＇누래요</t>
  </si>
  <si>
    <t>아가씨라그래구</t>
  </si>
  <si>
    <t>아이씨(+머)/자:근 고모 킁고모</t>
  </si>
  <si>
    <t>우리 시누라구</t>
  </si>
  <si>
    <t>22341-3</t>
  </si>
  <si>
    <t>아가씨(호칭)</t>
  </si>
  <si>
    <t>마찬가＇지 시이＇누 부루고</t>
  </si>
  <si>
    <t>그때도 ＇애기씨＇(+결혼 후, 호칭)/그때두 ＇애기씨＇(+결혼 전, 호칭)</t>
  </si>
  <si>
    <t>아가씨지</t>
  </si>
  <si>
    <t>아가씨 아가씨</t>
  </si>
  <si>
    <t>올케</t>
  </si>
  <si>
    <t>월캐＇</t>
  </si>
  <si>
    <t>오빠예 부이늘 우리 올개라 그래구</t>
  </si>
  <si>
    <t>올캐라 그래지</t>
  </si>
  <si>
    <t>올게라고</t>
  </si>
  <si>
    <t>22342-1</t>
  </si>
  <si>
    <t>올케(호칭)</t>
  </si>
  <si>
    <t>월캐＇야</t>
  </si>
  <si>
    <t>올개 이래고 불르던지 그래</t>
  </si>
  <si>
    <t>큰올케 자근올케</t>
  </si>
  <si>
    <t>올게/올케(+머)</t>
  </si>
  <si>
    <t>올케 올케</t>
  </si>
  <si>
    <t>매형</t>
  </si>
  <si>
    <t>매형＇</t>
  </si>
  <si>
    <t>매형이라 그래(지칭)</t>
  </si>
  <si>
    <t>매혀~라 그래지 매형</t>
  </si>
  <si>
    <t>매향이지</t>
  </si>
  <si>
    <t>매혀~이지</t>
  </si>
  <si>
    <t>우리 매형이라고</t>
  </si>
  <si>
    <t>22343-1</t>
  </si>
  <si>
    <t>매형(호칭)</t>
  </si>
  <si>
    <t>매형＇/배＇부</t>
  </si>
  <si>
    <t>부를 쩨두 매형</t>
  </si>
  <si>
    <t>매혀~이라 불르구</t>
  </si>
  <si>
    <t>매향</t>
  </si>
  <si>
    <t>매혀~이라고</t>
  </si>
  <si>
    <t>매형이라 불러요</t>
  </si>
  <si>
    <t>매제</t>
  </si>
  <si>
    <t>매제＇라고도 하고/배＇부라고도 하＇고</t>
  </si>
  <si>
    <t>아재(시누 남편,호칭)</t>
  </si>
  <si>
    <t>매부라고도 하고 기래구</t>
  </si>
  <si>
    <t>매제구</t>
  </si>
  <si>
    <t>여동상남편 매부/이 사라믄 내 매부라고</t>
  </si>
  <si>
    <t>매:부/매:부 매부</t>
  </si>
  <si>
    <t>22344-1</t>
  </si>
  <si>
    <t>매제(호칭)</t>
  </si>
  <si>
    <t>매＇부야 그/야, 매제＇야</t>
  </si>
  <si>
    <t>매제 일루 와</t>
  </si>
  <si>
    <t>메제라</t>
  </si>
  <si>
    <t>큰아버지</t>
  </si>
  <si>
    <t>백뿌＇/크나부＇지</t>
  </si>
  <si>
    <t>크나부지/크나버지</t>
  </si>
  <si>
    <t>크나버지</t>
  </si>
  <si>
    <t>크나버지라</t>
  </si>
  <si>
    <t>크나버지고/마크나버지고</t>
  </si>
  <si>
    <t>크나부지/맏 크나부지/나 위에 성이 이쓰믄 크나부지/크나부지라 불러요/크나버~이/맏크나부지/크나부지구</t>
  </si>
  <si>
    <t>22345-1</t>
  </si>
  <si>
    <t>큰아버지(호칭)</t>
  </si>
  <si>
    <t>맨 맨우＇예 크나부＇지요</t>
  </si>
  <si>
    <t>크나버지라고/크나부지(+부를 때)</t>
  </si>
  <si>
    <t>크나부지라</t>
  </si>
  <si>
    <t>22345-2</t>
  </si>
  <si>
    <t>아버지의 둘째 형(호칭)</t>
  </si>
  <si>
    <t>복판＇크아부＇지요</t>
  </si>
  <si>
    <t>소누는 다 크나부지 {손위는 다 큰아버지}</t>
  </si>
  <si>
    <t>그 다으메 이제 자근아버지</t>
  </si>
  <si>
    <t>자그나버지</t>
  </si>
  <si>
    <t>둘째크나버지</t>
  </si>
  <si>
    <t>둘:째는 둘:째크나부지</t>
  </si>
  <si>
    <t>22345-3</t>
  </si>
  <si>
    <t>아버지의 셋째 형(호칭)</t>
  </si>
  <si>
    <t>끄＇테크나부＇지요</t>
  </si>
  <si>
    <t>세:째삼춘</t>
  </si>
  <si>
    <t>세:째크나버지</t>
  </si>
  <si>
    <t>세:째는 세:째크나부지</t>
  </si>
  <si>
    <t>큰어머니</t>
  </si>
  <si>
    <t>크너＇마~이</t>
  </si>
  <si>
    <t>크너머~이</t>
  </si>
  <si>
    <t>크너머~이지/크넘마</t>
  </si>
  <si>
    <t>크너머니</t>
  </si>
  <si>
    <t>맏 크나머님/크너무니</t>
  </si>
  <si>
    <t>22346-1</t>
  </si>
  <si>
    <t>큰어머니(호칭)</t>
  </si>
  <si>
    <t>아무깨＇ 크너＇머~이요.</t>
  </si>
  <si>
    <t>크너머~이라 불르지(호칭)</t>
  </si>
  <si>
    <t>크너머~이/크너머니</t>
  </si>
  <si>
    <t>마크너머~이/크너머~이라고 불러야지</t>
  </si>
  <si>
    <t>마크너머니</t>
  </si>
  <si>
    <t>22346-2</t>
  </si>
  <si>
    <t>아버지 둘째 형의 아내(호칭)</t>
  </si>
  <si>
    <t>머 두울＇째크너머~이라 하등가/두울＇째도 크너＇머~이</t>
  </si>
  <si>
    <t>자근어머~이(둘째)</t>
  </si>
  <si>
    <t>자그너머~이</t>
  </si>
  <si>
    <t>둘째크너머~이</t>
  </si>
  <si>
    <t>둘:째크너머니</t>
  </si>
  <si>
    <t>22346-3</t>
  </si>
  <si>
    <t>아버지 셋째 형의 아내(호칭)</t>
  </si>
  <si>
    <t>세에＇째먼 끄＇테크너＇머~이라하등가</t>
  </si>
  <si>
    <t>자근어머~이(셋째)</t>
  </si>
  <si>
    <t>고다으메 자그너머~이</t>
  </si>
  <si>
    <t>세:째크너머~이</t>
  </si>
  <si>
    <t>세:째크너머니</t>
  </si>
  <si>
    <t>큰집</t>
  </si>
  <si>
    <t>큰지＇베 간다 큰대＇게 간다</t>
  </si>
  <si>
    <t>애더리 가머는 큰지비 가머는/큰지비 간다 {큰집에 간다}</t>
  </si>
  <si>
    <t>큰지비야</t>
  </si>
  <si>
    <t>큰집/큰지베 제사보러 간다</t>
  </si>
  <si>
    <t>큰지비/큰지비루 가지요/큰대게</t>
  </si>
  <si>
    <t>작은아버지</t>
  </si>
  <si>
    <t>자그나부＇지</t>
  </si>
  <si>
    <t>그게 자그나부지가 되지(지칭)</t>
  </si>
  <si>
    <t>미투룬 자그나버지고</t>
  </si>
  <si>
    <t>자그나부지</t>
  </si>
  <si>
    <t>22348-1</t>
  </si>
  <si>
    <t>작은아버지(호칭)</t>
  </si>
  <si>
    <t>겨론하든 자근아부＇지/겨론해애＇씀 자근아부＇지요.</t>
  </si>
  <si>
    <t>＇자그나부지＇ 이래(호칭)</t>
  </si>
  <si>
    <t>자그나부지(+부를 때)</t>
  </si>
  <si>
    <t>자그나부지 자그나부지</t>
  </si>
  <si>
    <t>작은어머니</t>
  </si>
  <si>
    <t>숭모＇/자근＇어머＇~이/자그마＇~이</t>
  </si>
  <si>
    <t>자그너머~이(지칭)</t>
  </si>
  <si>
    <t>자근어머~이</t>
  </si>
  <si>
    <t>자그너무니</t>
  </si>
  <si>
    <t>22349-1</t>
  </si>
  <si>
    <t>작은어머니(호칭)</t>
  </si>
  <si>
    <t>자그마＇~이요 이래고</t>
  </si>
  <si>
    <t>자그너머~이(호칭)</t>
  </si>
  <si>
    <t>자그너머니 자그너머니</t>
  </si>
  <si>
    <t>삼촌</t>
  </si>
  <si>
    <t>삼＇춘/삼＇촌</t>
  </si>
  <si>
    <t>그때두 자근아버~이여</t>
  </si>
  <si>
    <t>삼추니라 그래</t>
  </si>
  <si>
    <t>삼추니지</t>
  </si>
  <si>
    <t>삼춘</t>
  </si>
  <si>
    <t>22350-1</t>
  </si>
  <si>
    <t>삼촌(호칭)</t>
  </si>
  <si>
    <t>삼＇춘</t>
  </si>
  <si>
    <t>삼초니라구래지</t>
  </si>
  <si>
    <t>삼춘 삼춘부르지요</t>
  </si>
  <si>
    <t>아저씨</t>
  </si>
  <si>
    <t>아저＇씨란 용어를 쓰조</t>
  </si>
  <si>
    <t>오춘 당수기라고 그래</t>
  </si>
  <si>
    <t>오촌당수기지 머</t>
  </si>
  <si>
    <t>사추니먼 아저씨가</t>
  </si>
  <si>
    <t>아저씨라고</t>
  </si>
  <si>
    <t>아저씨지/장:가도 앙가고그랭건 아재라고 불르고(+결혼하지 않았을 때)</t>
  </si>
  <si>
    <t>22351-1</t>
  </si>
  <si>
    <t>아저씨(호칭)</t>
  </si>
  <si>
    <t>아저＇씨/아저＇씨 오세써요.</t>
  </si>
  <si>
    <t>당숙</t>
  </si>
  <si>
    <t>아저씨야</t>
  </si>
  <si>
    <t>아저씨라고 불러야지</t>
  </si>
  <si>
    <t>아저씨 아저씨(+결혼 했을 대)/아재 아재</t>
  </si>
  <si>
    <t>아주머니</t>
  </si>
  <si>
    <t>아＇지미/아주머＇~이</t>
  </si>
  <si>
    <t>고모여</t>
  </si>
  <si>
    <t>아주머니나</t>
  </si>
  <si>
    <t>아재/여자는 아재라고 그래고</t>
  </si>
  <si>
    <t>아줌마예요/아주머니</t>
  </si>
  <si>
    <t>22352-1</t>
  </si>
  <si>
    <t>아주머니(호칭)</t>
  </si>
  <si>
    <t>형수＇요.(+비슷한 나이의 중년일 때)/아＇지미요</t>
  </si>
  <si>
    <t>아재라고(+부를 때)</t>
  </si>
  <si>
    <t>아줌마 아줌마/아주머니 아주머니</t>
  </si>
  <si>
    <t>조카</t>
  </si>
  <si>
    <t>조카＇/조캐＇요</t>
  </si>
  <si>
    <t>내 생기리라 그래/내 생길/조카래구두 해구</t>
  </si>
  <si>
    <t>조카따리지/우리조카라 그래지/그럼 조카야</t>
  </si>
  <si>
    <t>조카라구래지</t>
  </si>
  <si>
    <t>내 조카라고</t>
  </si>
  <si>
    <t>조카딸</t>
  </si>
  <si>
    <t>조카＇딸</t>
  </si>
  <si>
    <t>누나가 낭 건 생길</t>
  </si>
  <si>
    <t>생기라녀/조카딸</t>
  </si>
  <si>
    <t>조카따리다</t>
  </si>
  <si>
    <t>고모</t>
  </si>
  <si>
    <t>고＇무</t>
  </si>
  <si>
    <t>고모(지칭)</t>
  </si>
  <si>
    <t>고모라 그래지/고모여/자긍고모 킁고모</t>
  </si>
  <si>
    <t>그건 고모야/조카지 뭐</t>
  </si>
  <si>
    <t>고모라고/고모가 되조</t>
  </si>
  <si>
    <t>22355-1</t>
  </si>
  <si>
    <t>고모(호칭)</t>
  </si>
  <si>
    <t>고＇무야 고＇무요</t>
  </si>
  <si>
    <t>대:개 고몬니미라 그래/고모(호칭)</t>
  </si>
  <si>
    <t>고몬님 오세쏘 고모부 오세쏘</t>
  </si>
  <si>
    <t>고몬님</t>
  </si>
  <si>
    <t>고몬님 식싸하러 오시요</t>
  </si>
  <si>
    <t>고모님</t>
  </si>
  <si>
    <t>고모부</t>
  </si>
  <si>
    <t>고＇무부</t>
  </si>
  <si>
    <t>고모부라구두해구</t>
  </si>
  <si>
    <t>고모부/고모부라고</t>
  </si>
  <si>
    <t>22356-1</t>
  </si>
  <si>
    <t>고모부(호칭)</t>
  </si>
  <si>
    <t>아저＇씨/아니면 고무＇부</t>
  </si>
  <si>
    <t>고몬님 오세쏘 고모부 오세쏘/고모부지</t>
  </si>
  <si>
    <t>고모분님</t>
  </si>
  <si>
    <t>고모부 고모부</t>
  </si>
  <si>
    <t>고종</t>
  </si>
  <si>
    <t>고＇종사추~이라 함미다</t>
  </si>
  <si>
    <t>그럼 고종사춘</t>
  </si>
  <si>
    <t>고종사춘</t>
  </si>
  <si>
    <t>고종사추니다</t>
  </si>
  <si>
    <t>고종사춘/고종사추니요</t>
  </si>
  <si>
    <t>고모사춘/고모에 사촌 고종사초니구</t>
  </si>
  <si>
    <t>이모</t>
  </si>
  <si>
    <t>이＇모</t>
  </si>
  <si>
    <t>이모지</t>
  </si>
  <si>
    <t>이모가/고종사추니라그래구</t>
  </si>
  <si>
    <t>그뚜 이모지요</t>
  </si>
  <si>
    <t>22358-1</t>
  </si>
  <si>
    <t>이모(호칭)</t>
  </si>
  <si>
    <t>고옹＇통쩌그로 이＇모</t>
  </si>
  <si>
    <t>이모님(호칭)</t>
  </si>
  <si>
    <t>이몬니미라</t>
  </si>
  <si>
    <t>이모라고 불러야지</t>
  </si>
  <si>
    <t>이모님/이몬님 이몬님</t>
  </si>
  <si>
    <t>이모부</t>
  </si>
  <si>
    <t>남펴는 이모부＇ 아니면 아저＇씨</t>
  </si>
  <si>
    <t>22359-1</t>
  </si>
  <si>
    <t>이모부(호칭)</t>
  </si>
  <si>
    <t>부룰＇때 이모＇부</t>
  </si>
  <si>
    <t>이모부 이모부</t>
  </si>
  <si>
    <t>이종</t>
  </si>
  <si>
    <t>이＇종사촌</t>
  </si>
  <si>
    <t>이종사춘</t>
  </si>
  <si>
    <t>이종사추니다/이종사춘</t>
  </si>
  <si>
    <t>이종사춘가~이지</t>
  </si>
  <si>
    <t>이모사춘/이종사추니구</t>
  </si>
  <si>
    <t>외삼촌</t>
  </si>
  <si>
    <t>외외삼＇춘</t>
  </si>
  <si>
    <t>외삼추는 외삼추니라구</t>
  </si>
  <si>
    <t>외삼춘/외삼추네다</t>
  </si>
  <si>
    <t>오삼추니</t>
  </si>
  <si>
    <t>외삼춘</t>
  </si>
  <si>
    <t>22361-1</t>
  </si>
  <si>
    <t>외삼촌(호칭)</t>
  </si>
  <si>
    <t>외외＇삼춘뇨 외외＇삼춘님</t>
  </si>
  <si>
    <t>아이 외삼춘 이래여(호칭)</t>
  </si>
  <si>
    <t>오삼춘</t>
  </si>
  <si>
    <t>외삼추니라 불러야지</t>
  </si>
  <si>
    <t>외숙모</t>
  </si>
  <si>
    <t>외외＇숭무</t>
  </si>
  <si>
    <t>외숭모</t>
  </si>
  <si>
    <t>아주머니라</t>
  </si>
  <si>
    <t>외숭무라그래요</t>
  </si>
  <si>
    <t>22362-1</t>
  </si>
  <si>
    <t>외숙모(호칭)</t>
  </si>
  <si>
    <t>숭모＇요 숭몬＇님</t>
  </si>
  <si>
    <t>대:개 ＇외숭모＇라 그래</t>
  </si>
  <si>
    <t>외숭모라고</t>
  </si>
  <si>
    <t>외숭무님</t>
  </si>
  <si>
    <t>외종</t>
  </si>
  <si>
    <t>고종＇외외＇종</t>
  </si>
  <si>
    <t>외사추니 돼</t>
  </si>
  <si>
    <t>*/외삼추네</t>
  </si>
  <si>
    <t>외사춘가니</t>
  </si>
  <si>
    <t>외사춘/웨사춘</t>
  </si>
  <si>
    <t>외할아버지</t>
  </si>
  <si>
    <t>외하르＇바~이/외＇하라바~이지요</t>
  </si>
  <si>
    <t>외하라부지</t>
  </si>
  <si>
    <t>외하라버지</t>
  </si>
  <si>
    <t>외하르버~이</t>
  </si>
  <si>
    <t>22364-1</t>
  </si>
  <si>
    <t>외할아버지(호칭)</t>
  </si>
  <si>
    <t>하라＇바~이요</t>
  </si>
  <si>
    <t>외하러버~이 식사하러 오시요</t>
  </si>
  <si>
    <t>외하라번님</t>
  </si>
  <si>
    <t>외할머니</t>
  </si>
  <si>
    <t>외할마＇~이/원＇치근 외할마＇~인대</t>
  </si>
  <si>
    <t>외할머~이</t>
  </si>
  <si>
    <t>외할무니</t>
  </si>
  <si>
    <t>22365-1</t>
  </si>
  <si>
    <t>외할머니(호칭)</t>
  </si>
  <si>
    <t>할머＇~이</t>
  </si>
  <si>
    <t>외할머~이 식사하러</t>
  </si>
  <si>
    <t>외할머님 외할머님</t>
  </si>
  <si>
    <t>장인</t>
  </si>
  <si>
    <t>자아~인 어르는 미::끈＇ 이싸야 오내/재~인＇</t>
  </si>
  <si>
    <t>자인</t>
  </si>
  <si>
    <t>장이니라고 하지(+다)/병장니미라고도 하지(+소)/자~이니라고 하지</t>
  </si>
  <si>
    <t>자:이늘/자인</t>
  </si>
  <si>
    <t>자~이니라고/자:~이니지</t>
  </si>
  <si>
    <t>자~이니라/자인/자인장모를</t>
  </si>
  <si>
    <t>22366-1</t>
  </si>
  <si>
    <t>장인(호칭)</t>
  </si>
  <si>
    <t>우리 재앤＇영감</t>
  </si>
  <si>
    <t>자인님</t>
  </si>
  <si>
    <t>자~인양반 식싸하러 오시요</t>
  </si>
  <si>
    <t>자인님 자인님(+조?)</t>
  </si>
  <si>
    <t>장모</t>
  </si>
  <si>
    <t>자앙＇모</t>
  </si>
  <si>
    <t>장:모님</t>
  </si>
  <si>
    <t>장:모님/장:몬님</t>
  </si>
  <si>
    <t>장:몬 장:모라고</t>
  </si>
  <si>
    <t>아내어머~이 장:모이고/장:모라고</t>
  </si>
  <si>
    <t>장:무님</t>
  </si>
  <si>
    <t>22367-1</t>
  </si>
  <si>
    <t>장모(호칭)</t>
  </si>
  <si>
    <t>자앙＇몬님 여＇기 좀 와 안지＇시오/자앙＇몬님 자＇~아 가치 갑씨＇다/자앙＇모님</t>
  </si>
  <si>
    <t>장:몬님 오세요</t>
  </si>
  <si>
    <t>장:몬님 식사하러 오시요</t>
  </si>
  <si>
    <t>장무님장무님</t>
  </si>
  <si>
    <t>처남</t>
  </si>
  <si>
    <t>처남＇</t>
  </si>
  <si>
    <t>소누예도 처남 소나래도 처남/그거또 처남(아내의 오빠)/처나미구</t>
  </si>
  <si>
    <t>처나미구</t>
  </si>
  <si>
    <t>처나미라고</t>
  </si>
  <si>
    <t>22368-1</t>
  </si>
  <si>
    <t>처남(호칭)</t>
  </si>
  <si>
    <t>처나미지</t>
  </si>
  <si>
    <t>처남 식싸하러 와</t>
  </si>
  <si>
    <t>처남 처남</t>
  </si>
  <si>
    <t>처남댁</t>
  </si>
  <si>
    <t>처남＇댁/처나＇암댁글</t>
  </si>
  <si>
    <t>처나머댁</t>
  </si>
  <si>
    <t>아줌마/처나메댁 아줌마라고</t>
  </si>
  <si>
    <t>22369-1</t>
  </si>
  <si>
    <t>처남댁(호칭)</t>
  </si>
  <si>
    <t>아＇지미요두(+비)/처나＇므댁 이러지요(+존)</t>
  </si>
  <si>
    <t>아주머~이</t>
  </si>
  <si>
    <t>아주머~이 증:심 머그러 오라고</t>
  </si>
  <si>
    <t>처남땍 처남땍</t>
  </si>
  <si>
    <t>홀아비</t>
  </si>
  <si>
    <t>호부래＇비</t>
  </si>
  <si>
    <t>호래빈 남자가 호래비지/호래비넌</t>
  </si>
  <si>
    <t>호래비</t>
  </si>
  <si>
    <t>호래비라고</t>
  </si>
  <si>
    <t>호래비라그래요</t>
  </si>
  <si>
    <t>홀어미</t>
  </si>
  <si>
    <t>과아＇부 과아＇부/호러머＇~이/과아＇부조</t>
  </si>
  <si>
    <t>과:부라 그래지/여자는 과:부</t>
  </si>
  <si>
    <t>과:부/과:부라 글고</t>
  </si>
  <si>
    <t>과:부</t>
  </si>
  <si>
    <t>과:부/과:부라그래고</t>
  </si>
  <si>
    <t>계모</t>
  </si>
  <si>
    <t>계에＇모</t>
  </si>
  <si>
    <t>게:모는 색:씨 장개 드능 게 게모구/시집 까따 옹 거는 스:모구/게:모라구두 해구(여자가 초혼인 경우)/새어머~이라구두 해구/스:모라구두 해구(+여자가 재혼인 경우)/이부더머~이라구두 해구(+구)</t>
  </si>
  <si>
    <t>서:모(+학식이 있는 사람이 사용)/이:부더머~이라고도 하고(+무식한 사람이 사용)</t>
  </si>
  <si>
    <t>이부덤마/게:모</t>
  </si>
  <si>
    <t>게:모</t>
  </si>
  <si>
    <t>서:모/서모라그래요</t>
  </si>
  <si>
    <t>22372-1</t>
  </si>
  <si>
    <t>계부</t>
  </si>
  <si>
    <t>그래 그게 이이＇붇 아버지(+＇이붓어머니＇는 쓰지 않음)</t>
  </si>
  <si>
    <t>이부다버~이(+구)/인:나레는 이부다버~이라 그래(+구, 듣는 데서 ＇의붓아버지＇라 하지 못함)/새아버지(+신, 듣는 데서는 ＇새아버지＇라고만 함)/새아버~이라 그래던데</t>
  </si>
  <si>
    <t>이:부</t>
  </si>
  <si>
    <t>이부다버지라구</t>
  </si>
  <si>
    <t>게:부</t>
  </si>
  <si>
    <t>아저＇씨이래부루고/아지＇씨</t>
  </si>
  <si>
    <t>아저씨문 아저씨</t>
  </si>
  <si>
    <t>게:모지 게:모(+미혼인 여자)/서:모(+기혼인 여자)/아저씨니 성니미니</t>
  </si>
  <si>
    <t>아저씨라 그래고</t>
  </si>
  <si>
    <t>이욷 아저씨/아저씨라그래요</t>
  </si>
  <si>
    <t>22373-1</t>
  </si>
  <si>
    <t>아저＇씨요</t>
  </si>
  <si>
    <t>아저씨/이부다버~이</t>
  </si>
  <si>
    <t>아무개 아저씨(+젊은 경우)/나: 마:느먼 하르버~이라 그래고(+나이 든 경우)</t>
  </si>
  <si>
    <t>아저씨 아저씨</t>
  </si>
  <si>
    <t>아＇지매란 용어가</t>
  </si>
  <si>
    <t>아줌마라 그래</t>
  </si>
  <si>
    <t>아주머니라구</t>
  </si>
  <si>
    <t>아즈머~이/절믐 아주머~이고/늘금 할머~이고</t>
  </si>
  <si>
    <t>아줌마라그래요</t>
  </si>
  <si>
    <t>22374-1</t>
  </si>
  <si>
    <t>아아＇무깨 어머＇~이/아＇지매</t>
  </si>
  <si>
    <t>다 아줌마라고 불러</t>
  </si>
  <si>
    <t>기낭 아줌마 아줌마</t>
  </si>
  <si>
    <t>사나이</t>
  </si>
  <si>
    <t>사나＇아</t>
  </si>
  <si>
    <t>장정이라구래지</t>
  </si>
  <si>
    <t>사내/사내라능건 남자가주/장:골/사내머스마라 그래지/장:고리라 그래지</t>
  </si>
  <si>
    <t>대:장부/무신 사내라구/사나이</t>
  </si>
  <si>
    <t>장:저~이라고</t>
  </si>
  <si>
    <t>절문 사나를 으더써./절문사내</t>
  </si>
  <si>
    <t>영감</t>
  </si>
  <si>
    <t>으ㅡ응＇감</t>
  </si>
  <si>
    <t>으ㅡㅇ:감</t>
  </si>
  <si>
    <t>영:감</t>
  </si>
  <si>
    <t>으ㅡㅇ:가미라지/으ㅡㅇ:감</t>
  </si>
  <si>
    <t>하르버~이라고/우리짐 영:감</t>
  </si>
  <si>
    <t>늘거선 머 영:가미라 그래구/으ㅡㅇ:가미라그래요 영:감</t>
  </si>
  <si>
    <t>22376-1</t>
  </si>
  <si>
    <t>할머니를 낮추어 말할 때(저 놈의 할망구)</t>
  </si>
  <si>
    <t>할마＇시/할막따＇구/우리 할머＇미 아라요.</t>
  </si>
  <si>
    <t>그노무 할멈 쏘리가 나가지/그노무할멍구</t>
  </si>
  <si>
    <t>할멈</t>
  </si>
  <si>
    <t>할망구</t>
  </si>
  <si>
    <t>할멈(+할아버지가 할머니를 부를 때)</t>
  </si>
  <si>
    <t>나이</t>
  </si>
  <si>
    <t>나이＇/나아＇ 멍는＇다</t>
  </si>
  <si>
    <t>나이/그후에 나마는 사라믄 {그 후에 나이 많은 사람은}</t>
  </si>
  <si>
    <t>나이멍는다</t>
  </si>
  <si>
    <t>나: 멍는다/저 사라믄 나이만타</t>
  </si>
  <si>
    <t>나이 멍는다</t>
  </si>
  <si>
    <t>22377-0-1</t>
  </si>
  <si>
    <t>나:만＇ 멍는다</t>
  </si>
  <si>
    <t>나이럴 한살 멍는다구</t>
  </si>
  <si>
    <t>나이를 한살씩 더먹찌</t>
  </si>
  <si>
    <t>나이를</t>
  </si>
  <si>
    <t>나:를 멍는다/고 나:에 따라서</t>
  </si>
  <si>
    <t>나이가 만타</t>
  </si>
  <si>
    <t>환갑</t>
  </si>
  <si>
    <t>화앙＇갑</t>
  </si>
  <si>
    <t>항:가번 육씹 하나가 항:가비지 {환갑은 육십하나가 환갑이지}</t>
  </si>
  <si>
    <t>항:갑</t>
  </si>
  <si>
    <t>항:가비라</t>
  </si>
  <si>
    <t>항:갑/항:가비 도러와따</t>
  </si>
  <si>
    <t>항:갑/항:가비라그래여</t>
  </si>
  <si>
    <t>22378-1</t>
  </si>
  <si>
    <t>환갑잔치</t>
  </si>
  <si>
    <t>하앙＇갑 잔채＇/항＇갑잔채＇한단다</t>
  </si>
  <si>
    <t>항:갑짠치</t>
  </si>
  <si>
    <t>사투＇리</t>
  </si>
  <si>
    <t>사투리라구</t>
  </si>
  <si>
    <t>사:투리라구 그래지/사투리가 다르더라구</t>
  </si>
  <si>
    <t>사투린 사투리지/사투리라고</t>
  </si>
  <si>
    <t>사투리/사투리르 마니 씬다</t>
  </si>
  <si>
    <t>사:투리</t>
  </si>
  <si>
    <t>물고기</t>
  </si>
  <si>
    <t>해애＇물꼬기 (바다물고기)</t>
  </si>
  <si>
    <t>킁 괴기 종뉸데</t>
  </si>
  <si>
    <t>물꼬기</t>
  </si>
  <si>
    <t>고기라구/무레사는 괴기</t>
  </si>
  <si>
    <t>물꼬기라그래지요</t>
  </si>
  <si>
    <t>민물고기</t>
  </si>
  <si>
    <t>민＇물꼬기</t>
  </si>
  <si>
    <t>민물꼬기 따로 바다꼬기 따로 그래요(김은애 할머니)/여기 밈물꼬기</t>
  </si>
  <si>
    <t>밈물꼬기</t>
  </si>
  <si>
    <t>이런덴 밈물꼬기</t>
  </si>
  <si>
    <t>피라미</t>
  </si>
  <si>
    <t>피라＇미</t>
  </si>
  <si>
    <t>부러지라 그러지/이게 부러지여/피래미</t>
  </si>
  <si>
    <t>피래미라구두 하구</t>
  </si>
  <si>
    <t>피래미라구래구</t>
  </si>
  <si>
    <t>개:린 좀 크고/개:리 {피라미}</t>
  </si>
  <si>
    <t>게:리(+다른 곳에서는 ＇피래미＇라고 함.)</t>
  </si>
  <si>
    <t>지느러미</t>
  </si>
  <si>
    <t>지느러＇미</t>
  </si>
  <si>
    <t>지느러미요</t>
  </si>
  <si>
    <t>지네미/등찌네미</t>
  </si>
  <si>
    <t>지시레미라구래</t>
  </si>
  <si>
    <t>고기날개라그래조</t>
  </si>
  <si>
    <t>지레미</t>
  </si>
  <si>
    <t>아가미</t>
  </si>
  <si>
    <t>아개＇미</t>
  </si>
  <si>
    <t>고건 아가미</t>
  </si>
  <si>
    <t>아개미</t>
  </si>
  <si>
    <t>아구미</t>
  </si>
  <si>
    <t>아굼지/아구미(+다)</t>
  </si>
  <si>
    <t>창자</t>
  </si>
  <si>
    <t>창지＇</t>
  </si>
  <si>
    <t>창지</t>
  </si>
  <si>
    <t>배:리라 그래지 밸:(+다)/창자라능건(+소)/고이기 밸:(+다)</t>
  </si>
  <si>
    <t>창재</t>
  </si>
  <si>
    <t>고기창지라그래조</t>
  </si>
  <si>
    <t>창자도 이짜나요</t>
  </si>
  <si>
    <t>송사리</t>
  </si>
  <si>
    <t>용고＇기</t>
  </si>
  <si>
    <t>중타리/송:사리</t>
  </si>
  <si>
    <t>송사리/송사리두</t>
  </si>
  <si>
    <t>송사리/송:사리</t>
  </si>
  <si>
    <t>버들게~이 쨀:고/버들게~이 개:리 {송사리, 피라미}</t>
  </si>
  <si>
    <t>쇠:리라그래요</t>
  </si>
  <si>
    <t>헤엄</t>
  </si>
  <si>
    <t>헤에＇미 친다</t>
  </si>
  <si>
    <t>셤:친다구 {헤엄친다고}</t>
  </si>
  <si>
    <t>수ㅕ:ㅁ 친다구</t>
  </si>
  <si>
    <t>헤:미</t>
  </si>
  <si>
    <t>히엄/히엄치지요</t>
  </si>
  <si>
    <t>메기</t>
  </si>
  <si>
    <t>미＇이기느 아아＇지요./메에＇기는 그게 어업＇싸요/미이＇기</t>
  </si>
  <si>
    <t>요거 메:기네요 메:기</t>
  </si>
  <si>
    <t>미에기/메:기</t>
  </si>
  <si>
    <t>며:기/미여기두 이꾸</t>
  </si>
  <si>
    <t>미에기가/미여기도 쉐:미가</t>
  </si>
  <si>
    <t>메:기</t>
  </si>
  <si>
    <t>자라</t>
  </si>
  <si>
    <t>자래＇</t>
  </si>
  <si>
    <t>자래</t>
  </si>
  <si>
    <t>자라도</t>
  </si>
  <si>
    <t>자래기</t>
  </si>
  <si>
    <t>거북</t>
  </si>
  <si>
    <t>거＇부기가 마안＇타</t>
  </si>
  <si>
    <t>거부기라 앙 그래요</t>
  </si>
  <si>
    <t>거부이기 {거북이}</t>
  </si>
  <si>
    <t>거부긴데</t>
  </si>
  <si>
    <t>거부기</t>
  </si>
  <si>
    <t>근 거부기 아니요</t>
  </si>
  <si>
    <t>미꾸라지</t>
  </si>
  <si>
    <t>미꾸라＇지</t>
  </si>
  <si>
    <t>미꾸랑지두 이꾸/미꾸린데/수수미꾸리라 그래구</t>
  </si>
  <si>
    <t>미꾸람지/미꾸리두 이꾸</t>
  </si>
  <si>
    <t>미꾸라지/미꾸라지처름 생깅게</t>
  </si>
  <si>
    <t>개구리</t>
  </si>
  <si>
    <t>깨구＇리</t>
  </si>
  <si>
    <t>개구리가 돼여 이게</t>
  </si>
  <si>
    <t>개구리가</t>
  </si>
  <si>
    <t>깨구리/비단깨구리(+개구리의 일종)/엉머구리(+개구리의 일종)</t>
  </si>
  <si>
    <t>깨구리</t>
  </si>
  <si>
    <t>올챙이</t>
  </si>
  <si>
    <t>올채＇~이는</t>
  </si>
  <si>
    <t>올챙이가/이게 올:챙이여/올:창이</t>
  </si>
  <si>
    <t>올:채~이</t>
  </si>
  <si>
    <t>올채~이가</t>
  </si>
  <si>
    <t>두꺼비</t>
  </si>
  <si>
    <t>뚜께＇비</t>
  </si>
  <si>
    <t>두꺼비/두께비여</t>
  </si>
  <si>
    <t>뚜께비</t>
  </si>
  <si>
    <t>뚜꺼비요</t>
  </si>
  <si>
    <t>뚜께비라그래요</t>
  </si>
  <si>
    <t>거머리</t>
  </si>
  <si>
    <t>그으＇마리</t>
  </si>
  <si>
    <t>그:머리</t>
  </si>
  <si>
    <t>거마리</t>
  </si>
  <si>
    <t>그:머리지</t>
  </si>
  <si>
    <t>그:마리고(+논에서 피 빨아 먹는 벌레)</t>
  </si>
  <si>
    <t>그:마리</t>
  </si>
  <si>
    <t>다슬기</t>
  </si>
  <si>
    <t>골비＇~/골배＇~이/골베＇~</t>
  </si>
  <si>
    <t>다슬기라구</t>
  </si>
  <si>
    <t>골:배~이</t>
  </si>
  <si>
    <t>골베~이가 노네 이따고/야, 골베~이</t>
  </si>
  <si>
    <t>여긴 골:배~이라그래요</t>
  </si>
  <si>
    <t>우렁이</t>
  </si>
  <si>
    <t>농꼴비＇~이/농꼴배＇~이</t>
  </si>
  <si>
    <t>이게 울:베~이여/울:벵이라</t>
  </si>
  <si>
    <t>이거가주 우러~이라고도 하지</t>
  </si>
  <si>
    <t>이건 울:배~이/울뱅이야(+논에 있는 큰 것)</t>
  </si>
  <si>
    <t>우레~이라능기/우레~이가</t>
  </si>
  <si>
    <t>울벵이 키워서 머/울:벵이</t>
  </si>
  <si>
    <t>고둥</t>
  </si>
  <si>
    <t>달팽이</t>
  </si>
  <si>
    <t>드을＇패~이</t>
  </si>
  <si>
    <t>달:패~이</t>
  </si>
  <si>
    <t>다시리(+제?)/달페~이가 이제</t>
  </si>
  <si>
    <t>딸팽이야/탈팽이(+작은 것)</t>
  </si>
  <si>
    <t>달패~이</t>
  </si>
  <si>
    <t>탈:팽이</t>
  </si>
  <si>
    <t>새우</t>
  </si>
  <si>
    <t>새＇~우/섀＇~우</t>
  </si>
  <si>
    <t>새우자나요</t>
  </si>
  <si>
    <t>이건 섀우</t>
  </si>
  <si>
    <t>이건 새우</t>
  </si>
  <si>
    <t>새~우</t>
  </si>
  <si>
    <t>22421-1</t>
  </si>
  <si>
    <t>새우(대)_민물</t>
  </si>
  <si>
    <t>징:게(민물 큰새우)/징:게미/밈무레 인능 거 까::망 게 징:게라구</t>
  </si>
  <si>
    <t>징:게미라그래는데 징:게미(+민물에서 사는 큰 새우)</t>
  </si>
  <si>
    <t>22421-2</t>
  </si>
  <si>
    <t>새우(소)_민물</t>
  </si>
  <si>
    <t>새＇~우</t>
  </si>
  <si>
    <t>밈물쌔우두 이꾸</t>
  </si>
  <si>
    <t>새우라그래고(+민물에서 사는 작은 새우)/밈물새우</t>
  </si>
  <si>
    <t>22421-3</t>
  </si>
  <si>
    <t>새우(대)_바다</t>
  </si>
  <si>
    <t>그거또 마찬가지 새＇~움미다</t>
  </si>
  <si>
    <t>큰새우고</t>
  </si>
  <si>
    <t>대함마저</t>
  </si>
  <si>
    <t>징:게미(+크며 바다에 산다)</t>
  </si>
  <si>
    <t>킁거 새우라그래자나요(+바다에 사는 큰 새우)</t>
  </si>
  <si>
    <t>22421-4</t>
  </si>
  <si>
    <t>새우(소)_바다</t>
  </si>
  <si>
    <t>자아＇근거또 새＇~우고</t>
  </si>
  <si>
    <t>자근새우고</t>
  </si>
  <si>
    <t>바다새우두 이꾸</t>
  </si>
  <si>
    <t>생우(+바다에서만 남)</t>
  </si>
  <si>
    <t>새우(+바다에 사는 작은 새우)/바다새우</t>
  </si>
  <si>
    <t>새우젓</t>
  </si>
  <si>
    <t>새우 젇</t>
  </si>
  <si>
    <t>새우젇</t>
  </si>
  <si>
    <t>섀우젇</t>
  </si>
  <si>
    <t>생우젇</t>
  </si>
  <si>
    <t>22422-0-1</t>
  </si>
  <si>
    <t>새＇~우저지 짜굽따라.</t>
  </si>
  <si>
    <t>새우저지 마시떠라</t>
  </si>
  <si>
    <t>새우저지 짜다</t>
  </si>
  <si>
    <t>새우저지라구</t>
  </si>
  <si>
    <t>생우저지라고/째좀항건 생우저지라고그래는데</t>
  </si>
  <si>
    <t>새우저지라그래지요</t>
  </si>
  <si>
    <t>가재</t>
  </si>
  <si>
    <t>까아＇재</t>
  </si>
  <si>
    <t>가:재두</t>
  </si>
  <si>
    <t>가:재</t>
  </si>
  <si>
    <t>가:재래능거야(+그림책에 있는 것은 바닷가재이며, 민물가재는 많지 않음)/밈물까재 바다까재</t>
  </si>
  <si>
    <t>까:재/가:재</t>
  </si>
  <si>
    <t>갈치</t>
  </si>
  <si>
    <t>칼치＇</t>
  </si>
  <si>
    <t>칼치네 뭐</t>
  </si>
  <si>
    <t>칼치</t>
  </si>
  <si>
    <t>고등어</t>
  </si>
  <si>
    <t>고둥＇에</t>
  </si>
  <si>
    <t>고등에</t>
  </si>
  <si>
    <t>고드~어</t>
  </si>
  <si>
    <t>고동애/고등아도(+여)</t>
  </si>
  <si>
    <t>고드~어/고등어</t>
  </si>
  <si>
    <t>고동어</t>
  </si>
  <si>
    <t>가오리</t>
  </si>
  <si>
    <t>가오＇리</t>
  </si>
  <si>
    <t>가오리라구두 하구</t>
  </si>
  <si>
    <t>가오루</t>
  </si>
  <si>
    <t>가자미</t>
  </si>
  <si>
    <t>까재＇미</t>
  </si>
  <si>
    <t>가재미</t>
  </si>
  <si>
    <t>가재미라</t>
  </si>
  <si>
    <t>멸치</t>
  </si>
  <si>
    <t>메르＇치</t>
  </si>
  <si>
    <t>메르치 아녜여</t>
  </si>
  <si>
    <t>메르치저지라/메레치</t>
  </si>
  <si>
    <t>메리치래요</t>
  </si>
  <si>
    <t>며르치/메르치</t>
  </si>
  <si>
    <t>명태</t>
  </si>
  <si>
    <t>명＇태</t>
  </si>
  <si>
    <t>명태 말릉 거</t>
  </si>
  <si>
    <t>이건 명태</t>
  </si>
  <si>
    <t>동:태</t>
  </si>
  <si>
    <t>명태라고(+잡은 그 상태)/부게르 가따 명태라 해(생 것과 마른 것 모두 ＇북에＇ 또는 ＇명태＇라 함)/부게가 아니요</t>
  </si>
  <si>
    <t>동태라두 허구</t>
  </si>
  <si>
    <t>22429-1</t>
  </si>
  <si>
    <t>동태</t>
  </si>
  <si>
    <t>도옹＇태</t>
  </si>
  <si>
    <t>동:태구/동태:구</t>
  </si>
  <si>
    <t>얼군건 동태얘유</t>
  </si>
  <si>
    <t>동:태라고(+?제)/동:태(+?제)</t>
  </si>
  <si>
    <t>동태라그래요(+얼린 것)/생거는 동태</t>
  </si>
  <si>
    <t>22429-2</t>
  </si>
  <si>
    <t>황태</t>
  </si>
  <si>
    <t>황＇태</t>
  </si>
  <si>
    <t>항태요 그게/황:태</t>
  </si>
  <si>
    <t>잘 말릉건 노랑태라(+＇노랑태＇가 제일 맛이 좋음)</t>
  </si>
  <si>
    <t>황태르 맹근다고/황태는(+얼었다가 녹았다가 해서 만든 것)</t>
  </si>
  <si>
    <t>22429-3</t>
  </si>
  <si>
    <t>노가리</t>
  </si>
  <si>
    <t>노가＇리</t>
  </si>
  <si>
    <t>노가리라 그래조 노라기</t>
  </si>
  <si>
    <t>22429-4</t>
  </si>
  <si>
    <t>북어</t>
  </si>
  <si>
    <t>부거＇</t>
  </si>
  <si>
    <t>부게 고등에를 이러케/부거 부거/북에 다라 노쿠 {북어 달아 놓고}</t>
  </si>
  <si>
    <t>부거지</t>
  </si>
  <si>
    <t>부거/부게(+말린 것)/요건 부건데(+여)</t>
  </si>
  <si>
    <t>마름부게라/말리며는 마름부께고 쌩부게고/부게새끼르가따 노가리라구래</t>
  </si>
  <si>
    <t>말링건 부거</t>
  </si>
  <si>
    <t>22429-5</t>
  </si>
  <si>
    <t>생태</t>
  </si>
  <si>
    <t>그＇냥 명＇태지요</t>
  </si>
  <si>
    <t>쌩태/생태라 그래던데</t>
  </si>
  <si>
    <t>생명태라 그러지 대:개</t>
  </si>
  <si>
    <t>동:태는 날거가따 동:태라그래</t>
  </si>
  <si>
    <t>쌩부게(+살아 있을 때)</t>
  </si>
  <si>
    <t>생태는(+금방 잡은 것)</t>
  </si>
  <si>
    <t>조기</t>
  </si>
  <si>
    <t>조＇기</t>
  </si>
  <si>
    <t>조구 함마리 매:다라 노쿠/조구라구두 해구</t>
  </si>
  <si>
    <t>조기/참조기가 이꾸 메조기가/멍는 조기</t>
  </si>
  <si>
    <t>조기라</t>
  </si>
  <si>
    <t>조기 조기</t>
  </si>
  <si>
    <t>도미</t>
  </si>
  <si>
    <t>도미도 이써요</t>
  </si>
  <si>
    <t>뱀장어</t>
  </si>
  <si>
    <t>뱀자＇~우</t>
  </si>
  <si>
    <t>뱀:종아</t>
  </si>
  <si>
    <t>뱀:장어</t>
  </si>
  <si>
    <t>뱀:종아/뱀:종아는</t>
  </si>
  <si>
    <t>뱀자~우</t>
  </si>
  <si>
    <t>뱀:장아</t>
  </si>
  <si>
    <t>낚시</t>
  </si>
  <si>
    <t>낙쑤＇</t>
  </si>
  <si>
    <t>낙씨라 그래요/낙:씨</t>
  </si>
  <si>
    <t>낙쑤/옌:나렌 낙쑤지리지./낙쑤지 낙쑤(+구)/낙씨(+신)</t>
  </si>
  <si>
    <t>낙쑤지 낙쑤질간다</t>
  </si>
  <si>
    <t>낙쑤/낙쑤질/낙쑤지란다</t>
  </si>
  <si>
    <t>낙씨</t>
  </si>
  <si>
    <t>미끼</t>
  </si>
  <si>
    <t>꼬내＇기</t>
  </si>
  <si>
    <t>미끼지</t>
  </si>
  <si>
    <t>메~이 {모이}/고기미끼/메끼를 다러논는다고/메끼르 다라가</t>
  </si>
  <si>
    <t>낚싯대</t>
  </si>
  <si>
    <t>낙쑤＇때</t>
  </si>
  <si>
    <t>낙씯때</t>
  </si>
  <si>
    <t>낙쑤때</t>
  </si>
  <si>
    <t>낙쑤르 던진다</t>
  </si>
  <si>
    <t>낙씨때</t>
  </si>
  <si>
    <t>얼레</t>
  </si>
  <si>
    <t>얼레에다</t>
  </si>
  <si>
    <t>얼게</t>
  </si>
  <si>
    <t>연 실:패래</t>
  </si>
  <si>
    <t>조개</t>
  </si>
  <si>
    <t>짜＇복</t>
  </si>
  <si>
    <t>조가빈데</t>
  </si>
  <si>
    <t>대:하비라능기지</t>
  </si>
  <si>
    <t>조개/조개래능건</t>
  </si>
  <si>
    <t>조개두 이꾸</t>
  </si>
  <si>
    <t>소라</t>
  </si>
  <si>
    <t>소라＇</t>
  </si>
  <si>
    <t>소:라두 이꾸</t>
  </si>
  <si>
    <t>바다골:배~이</t>
  </si>
  <si>
    <t>소:라</t>
  </si>
  <si>
    <t>벌레</t>
  </si>
  <si>
    <t>벌거＇지</t>
  </si>
  <si>
    <t>쌀뻘게는 싸레난 쌀뻘거지라 그래요/벌레라 그래여/개:똥은 벌러진데/콩에는 콩뻘레</t>
  </si>
  <si>
    <t>벌거지/벌거지가 돼:서</t>
  </si>
  <si>
    <t>벌거지</t>
  </si>
  <si>
    <t>벌거지라고/벌거지르 뀌는데</t>
  </si>
  <si>
    <t>벌러지라구래</t>
  </si>
  <si>
    <t>날벌레</t>
  </si>
  <si>
    <t>날벌거＇지</t>
  </si>
  <si>
    <t>날뻘레</t>
  </si>
  <si>
    <t>날뻘레빼껜</t>
  </si>
  <si>
    <t>날파리</t>
  </si>
  <si>
    <t>날뻘거지라구래고</t>
  </si>
  <si>
    <t>날뻘러지</t>
  </si>
  <si>
    <t>파리</t>
  </si>
  <si>
    <t>파리＇~이</t>
  </si>
  <si>
    <t>파:리</t>
  </si>
  <si>
    <t>파:리/파리</t>
  </si>
  <si>
    <t>파리고/파:리가 나라댕긴다</t>
  </si>
  <si>
    <t>22503-1</t>
  </si>
  <si>
    <t>쉬파리</t>
  </si>
  <si>
    <t>쉬파리＇~이</t>
  </si>
  <si>
    <t>쉬파리라 그래요/쉬:파리</t>
  </si>
  <si>
    <t>쉬파리가 이꾸/쉴파리라구</t>
  </si>
  <si>
    <t>쉬파리라구</t>
  </si>
  <si>
    <t>쉬슬다</t>
  </si>
  <si>
    <t>쉬르＇ 씰＇과따</t>
  </si>
  <si>
    <t>쉬: 씰런다구두/쉬: 까린다/쉬 씨러따 그래요</t>
  </si>
  <si>
    <t>쉬쓴다/쉬씨러쓰니까/쉬쓰르믄</t>
  </si>
  <si>
    <t>쉬를 씬:다/쉬르 씬다구래지</t>
  </si>
  <si>
    <t>쉬시러따/쉬씰른다/쉬르 씰른다</t>
  </si>
  <si>
    <t>쉬파리가 쉬씨러따/쉬 씨러따</t>
  </si>
  <si>
    <t>가시</t>
  </si>
  <si>
    <t>가＇시/가＇시가 이＇라따</t>
  </si>
  <si>
    <t>장또게 가시가 나떠라 그래지(+다)/구데기(+소)/파:리가 쉬씨렁 가시</t>
  </si>
  <si>
    <t>구데긴데</t>
  </si>
  <si>
    <t>까시라고 장까시라고/장:까시</t>
  </si>
  <si>
    <t>가시 나따구/장까시</t>
  </si>
  <si>
    <t>진딧물</t>
  </si>
  <si>
    <t>진딘＇무른 콩바＇테도 이＇꼬/진딘＇무리</t>
  </si>
  <si>
    <t>진데무리 따로 이써요</t>
  </si>
  <si>
    <t>진댄물</t>
  </si>
  <si>
    <t>진덴물</t>
  </si>
  <si>
    <t>진진물/그 진진무리 이러가주 진진물 벌거진데</t>
  </si>
  <si>
    <t>진데물</t>
  </si>
  <si>
    <t>22506-1</t>
  </si>
  <si>
    <t>(진딧물이) 끼다/앉다/생기다</t>
  </si>
  <si>
    <t>진딘＇무리 마::~이 생＇게따라</t>
  </si>
  <si>
    <t>진덴무리 찌:먼 안돼요/진덴물 찐:다</t>
  </si>
  <si>
    <t>진댄무리 마:~이 생게떠라</t>
  </si>
  <si>
    <t>진덴무리 생기먼</t>
  </si>
  <si>
    <t>진진무리 생게따</t>
  </si>
  <si>
    <t>진덴무리 끼어따/진덴무리 마~이 안저따그래지요</t>
  </si>
  <si>
    <t>잠자리</t>
  </si>
  <si>
    <t>소금재＇~이</t>
  </si>
  <si>
    <t>메물잠자리/왕짬자리/고추잠자리/이건 왕잠자린데/잠자리라 그래는데요/물잠자리도 이써요</t>
  </si>
  <si>
    <t>잠:자리</t>
  </si>
  <si>
    <t>잠자리/짬자리/잠자리야/메물짬자리/노랑쨈자리</t>
  </si>
  <si>
    <t>소굼재~이/또 노:덩 거대문 또 아주 즈:근 소굼재~이 이꼬</t>
  </si>
  <si>
    <t>고추짬자리/잠자리</t>
  </si>
  <si>
    <t>방아깨비</t>
  </si>
  <si>
    <t>방아깨＇비래고 하는데 미띠＇기</t>
  </si>
  <si>
    <t>방:개비라고도 마:~이 불러요(+다)</t>
  </si>
  <si>
    <t>방애다리(+암수 모두)</t>
  </si>
  <si>
    <t>방:개라구(+조?)</t>
  </si>
  <si>
    <t>방:깨비(+머)</t>
  </si>
  <si>
    <t>여기선 걸 방:개라그래요</t>
  </si>
  <si>
    <t>22508-1</t>
  </si>
  <si>
    <t>암컷</t>
  </si>
  <si>
    <t>큰늠 방아깨＇비래요</t>
  </si>
  <si>
    <t>그냥 방:개</t>
  </si>
  <si>
    <t>방아다리(+암수 모두)</t>
  </si>
  <si>
    <t>암노믄 방:개고</t>
  </si>
  <si>
    <t>22508-2</t>
  </si>
  <si>
    <t>수컷</t>
  </si>
  <si>
    <t>자근늠 그냥 메떼＇기</t>
  </si>
  <si>
    <t>떼까츤 순놈 {떼깣은 숫놈}/떼까치</t>
  </si>
  <si>
    <t>떼까치라구(+수놈)</t>
  </si>
  <si>
    <t>순노믄 까두데기라그래요</t>
  </si>
  <si>
    <t>메뚜기</t>
  </si>
  <si>
    <t>소옹＇장미띠기</t>
  </si>
  <si>
    <t>메:떼기/메:뚜기/메띠기 가튼데</t>
  </si>
  <si>
    <t>메뚜기구/메뚜기야</t>
  </si>
  <si>
    <t>이기 메뚜기/풀메뚜기아녀/미뚜기(+머)</t>
  </si>
  <si>
    <t>메:뛰기</t>
  </si>
  <si>
    <t>여치</t>
  </si>
  <si>
    <t>예에＇치</t>
  </si>
  <si>
    <t>으ㅡ:치/이게 으ㅡ:치네</t>
  </si>
  <si>
    <t>찌르레기 {여치}/찌르레기여</t>
  </si>
  <si>
    <t>으ㅡ:치/으ㅡ:치라구</t>
  </si>
  <si>
    <t>벼짤개</t>
  </si>
  <si>
    <t>오줌찌깨</t>
  </si>
  <si>
    <t>사:마구</t>
  </si>
  <si>
    <t>으ㅡㅇ:가시/으ㅡㅇ:가시야</t>
  </si>
  <si>
    <t>사:마구메뚜기가(+머)</t>
  </si>
  <si>
    <t>호랑아제비</t>
  </si>
  <si>
    <t>벌</t>
  </si>
  <si>
    <t>버어＇리#/버어＇리가 사람을 막 쏘다＇라</t>
  </si>
  <si>
    <t>꿀버럴/버:리구/버:리 드러가서요/버:란테 쏘인 사람두 망:쿠 {벌한테 쏘인 사람도 많고}</t>
  </si>
  <si>
    <t>벌:</t>
  </si>
  <si>
    <t>붤:</t>
  </si>
  <si>
    <t>버:르/벌</t>
  </si>
  <si>
    <t>붜:리 만:타/붤:</t>
  </si>
  <si>
    <t>22512-1</t>
  </si>
  <si>
    <t>(벌을) 치다/기르다/키우다</t>
  </si>
  <si>
    <t>버어＇르 키＇운다</t>
  </si>
  <si>
    <t>벌: 친다구</t>
  </si>
  <si>
    <t>버:를 처바끼 때메 나두</t>
  </si>
  <si>
    <t>버를 논:다</t>
  </si>
  <si>
    <t>벌 키운다/벌: 친다고도 하고</t>
  </si>
  <si>
    <t>붤: 키운다구</t>
  </si>
  <si>
    <t>땅벌</t>
  </si>
  <si>
    <t>땡삐＇</t>
  </si>
  <si>
    <t>땡삐구(사람 쏘는 벌)/땡삐요</t>
  </si>
  <si>
    <t>땡삐</t>
  </si>
  <si>
    <t>땡삐는</t>
  </si>
  <si>
    <t>땡:삐</t>
  </si>
  <si>
    <t>나비</t>
  </si>
  <si>
    <t>나＇부</t>
  </si>
  <si>
    <t>호랑나비</t>
  </si>
  <si>
    <t>나비/나비두 또 여러가지지</t>
  </si>
  <si>
    <t>나비지</t>
  </si>
  <si>
    <t>나부</t>
  </si>
  <si>
    <t>하루살이</t>
  </si>
  <si>
    <t>하루사＇리</t>
  </si>
  <si>
    <t>하루사리/하루사리가 하루 살구</t>
  </si>
  <si>
    <t>하루사리</t>
  </si>
  <si>
    <t>하루사리라고 인는데</t>
  </si>
  <si>
    <t>하루사리/하루사리라그래/하루사리라 그래요</t>
  </si>
  <si>
    <t>풍뎅이</t>
  </si>
  <si>
    <t>풍＇데~이</t>
  </si>
  <si>
    <t>풍뎅이도 이써요</t>
  </si>
  <si>
    <t>물방기라고 하는데</t>
  </si>
  <si>
    <t>가추게/풍뎅이야/물레방개/물방아</t>
  </si>
  <si>
    <t>피림베~이</t>
  </si>
  <si>
    <t>모기</t>
  </si>
  <si>
    <t>모기＇~이/모기＇~이가</t>
  </si>
  <si>
    <t>모:기요/모개~이라구두 해구 모:구라구두 해구/모:구 파리/모구도 아닌데/모:갱~이라 그래/왕모기게찌/모:개~이가</t>
  </si>
  <si>
    <t>스:래모구/그저 모:기/모개~이가 된다</t>
  </si>
  <si>
    <t>머기야 머기/머기가(+모음 ＇어＇가 ＇오＇에 가깝게 들림)</t>
  </si>
  <si>
    <t>모게~이/모게~이가 되능기</t>
  </si>
  <si>
    <t>머기</t>
  </si>
  <si>
    <t>장구벌레</t>
  </si>
  <si>
    <t>장:구벌레</t>
  </si>
  <si>
    <t>이기 쇠동벌레다/이 개똥벌레</t>
  </si>
  <si>
    <t>매미</t>
  </si>
  <si>
    <t>매애＇미</t>
  </si>
  <si>
    <t>이건 말매미 가태/뜰래미(+매미보다 작은 것)/지레~이매미/매민 움:는데 {매미는 없는데}/참매미여 이게</t>
  </si>
  <si>
    <t>매:미</t>
  </si>
  <si>
    <t>풀매:미라그래요</t>
  </si>
  <si>
    <t>매:미라그래지요 매:미</t>
  </si>
  <si>
    <t>개똥벌레</t>
  </si>
  <si>
    <t>개애＇똥벌기/개똥벌＇기/개애＇똥벌거＇지</t>
  </si>
  <si>
    <t>개:똥벌레요</t>
  </si>
  <si>
    <t>개똥불/개똥불 나라간다 이래는데</t>
  </si>
  <si>
    <t>개:똥벌레/개똥불/개똥부리 만:타</t>
  </si>
  <si>
    <t>반딧불</t>
  </si>
  <si>
    <t>개똥＇불</t>
  </si>
  <si>
    <t>개:똥부리유 그게</t>
  </si>
  <si>
    <t>반대뿔/반짝뿌리라 그랜데/반디뿔</t>
  </si>
  <si>
    <t>개똥부리라 그래지</t>
  </si>
  <si>
    <t>개똥부리라 그래고</t>
  </si>
  <si>
    <t>개:똥불</t>
  </si>
  <si>
    <t>거미</t>
  </si>
  <si>
    <t>거＇무</t>
  </si>
  <si>
    <t>거:미/왕:거무두 이꾸/거:미유 거미</t>
  </si>
  <si>
    <t>거무/거무가 게:간다</t>
  </si>
  <si>
    <t>거:무야</t>
  </si>
  <si>
    <t>거무</t>
  </si>
  <si>
    <t>굼벵이</t>
  </si>
  <si>
    <t>구움＇베~이/구움＇비~이</t>
  </si>
  <si>
    <t>굼:베~이/굼:벵이</t>
  </si>
  <si>
    <t>굼:배~이가</t>
  </si>
  <si>
    <t>굼:베~이두/굼:벵이라구/굼벙이야</t>
  </si>
  <si>
    <t>굼:베~이</t>
  </si>
  <si>
    <t>굼:벵이</t>
  </si>
  <si>
    <t>구더기</t>
  </si>
  <si>
    <t>구＇데기</t>
  </si>
  <si>
    <t>구더기/쉬 까려서 구데기여</t>
  </si>
  <si>
    <t>구데기</t>
  </si>
  <si>
    <t>구데기라 그래요</t>
  </si>
  <si>
    <t>노래기</t>
  </si>
  <si>
    <t>노＇이기</t>
  </si>
  <si>
    <t>노:내기</t>
  </si>
  <si>
    <t>노내기/노내기라구래지</t>
  </si>
  <si>
    <t>노내기라구래</t>
  </si>
  <si>
    <t>노내기라고</t>
  </si>
  <si>
    <t>노네기</t>
  </si>
  <si>
    <t>그리마</t>
  </si>
  <si>
    <t>기린＇</t>
  </si>
  <si>
    <t>그르마/그르마래</t>
  </si>
  <si>
    <t>노른재/노린재벌거지</t>
  </si>
  <si>
    <t>돔뻘레</t>
  </si>
  <si>
    <t>동:꾸루마</t>
  </si>
  <si>
    <t>지네</t>
  </si>
  <si>
    <t>지＇네</t>
  </si>
  <si>
    <t>개미</t>
  </si>
  <si>
    <t>개애＇미</t>
  </si>
  <si>
    <t>개:미요/개:민데요</t>
  </si>
  <si>
    <t>개:미/개:미두 머</t>
  </si>
  <si>
    <t>개:민데</t>
  </si>
  <si>
    <t>이게 개:미아~여</t>
  </si>
  <si>
    <t>개:미</t>
  </si>
  <si>
    <t>바아＇게미가 이라따</t>
  </si>
  <si>
    <t>바:그미</t>
  </si>
  <si>
    <t>바:게미</t>
  </si>
  <si>
    <t>바구니야</t>
  </si>
  <si>
    <t>바:구미</t>
  </si>
  <si>
    <t>진드기</t>
  </si>
  <si>
    <t>진＇두</t>
  </si>
  <si>
    <t>진:데기</t>
  </si>
  <si>
    <t>으:녜~이(이것이 커서 진드기가 됨)/드~에</t>
  </si>
  <si>
    <t>진데기라구/찐데기라구래</t>
  </si>
  <si>
    <t>진:두/진:두구 그러타고/진두(+머)</t>
  </si>
  <si>
    <t>찐디기라구</t>
  </si>
  <si>
    <t>벼룩</t>
  </si>
  <si>
    <t>베리＇기</t>
  </si>
  <si>
    <t>베뤼기도 뛰긴 뚜ㅕ:/베뤼깅가 봬 그람</t>
  </si>
  <si>
    <t>이게 베레기여/베루기</t>
  </si>
  <si>
    <t>뻬루기야/뻬레기</t>
  </si>
  <si>
    <t>베리기 이떠라고</t>
  </si>
  <si>
    <t>베리기</t>
  </si>
  <si>
    <t>이(蝨)</t>
  </si>
  <si>
    <t>깔강＇이(+크기가 작은 이)/머＇레 이가＇ 마안타</t>
  </si>
  <si>
    <t>이</t>
  </si>
  <si>
    <t>이가 대지.</t>
  </si>
  <si>
    <t>22532-1</t>
  </si>
  <si>
    <t>서캐</t>
  </si>
  <si>
    <t>쎼가＇리</t>
  </si>
  <si>
    <t>써개</t>
  </si>
  <si>
    <t>서캐가 대구</t>
  </si>
  <si>
    <t>써캐</t>
  </si>
  <si>
    <t>22532-2</t>
  </si>
  <si>
    <t>빈대</t>
  </si>
  <si>
    <t>빈대＇</t>
  </si>
  <si>
    <t>빈대가 이꾸</t>
  </si>
  <si>
    <t>송충이</t>
  </si>
  <si>
    <t>소옹＇추~이</t>
  </si>
  <si>
    <t>송:충이/송:쳉이</t>
  </si>
  <si>
    <t>송추~이</t>
  </si>
  <si>
    <t>송:쳉이</t>
  </si>
  <si>
    <t>송:추~이라고 그래는데</t>
  </si>
  <si>
    <t>송체~이</t>
  </si>
  <si>
    <t>귀뚜라미</t>
  </si>
  <si>
    <t>귀뚜라＇미</t>
  </si>
  <si>
    <t>귀뚜레미</t>
  </si>
  <si>
    <t>귀뚜래미</t>
  </si>
  <si>
    <t>누에</t>
  </si>
  <si>
    <t>누＇~에</t>
  </si>
  <si>
    <t>누엔데</t>
  </si>
  <si>
    <t>누~에</t>
  </si>
  <si>
    <t>눼:</t>
  </si>
  <si>
    <t>뉘에/뉘에라그래요</t>
  </si>
  <si>
    <t>고치</t>
  </si>
  <si>
    <t>꼬＇치</t>
  </si>
  <si>
    <t>눼:꼬추/꼬추에서 나옹 거</t>
  </si>
  <si>
    <t>누에꼬추라능건/고추</t>
  </si>
  <si>
    <t>누에고치(+머)</t>
  </si>
  <si>
    <t>번데기</t>
  </si>
  <si>
    <t>본데＇기</t>
  </si>
  <si>
    <t>번:데기/번데기/이게 번데기가 돼요</t>
  </si>
  <si>
    <t>뻔데기라구</t>
  </si>
  <si>
    <t>번도지</t>
  </si>
  <si>
    <t>뉘에 번:디기</t>
  </si>
  <si>
    <t>지렁이</t>
  </si>
  <si>
    <t>찔＇:꿔~이를 보고 하나?/찌일＇꼬~이</t>
  </si>
  <si>
    <t>지:레~이나 머/지렝인데</t>
  </si>
  <si>
    <t>지:레~이/지:러~이</t>
  </si>
  <si>
    <t>지레~이두/지렁이</t>
  </si>
  <si>
    <t>지:레~이</t>
  </si>
  <si>
    <t>지렝이</t>
  </si>
  <si>
    <t>회충(蛔蟲)</t>
  </si>
  <si>
    <t>꺼＇꾸</t>
  </si>
  <si>
    <t>거시 거시</t>
  </si>
  <si>
    <t>회:추~이 마저</t>
  </si>
  <si>
    <t>거시야 그건</t>
  </si>
  <si>
    <t>거우 거우라한다고</t>
  </si>
  <si>
    <t>거시라구</t>
  </si>
  <si>
    <t>소금쟁이</t>
  </si>
  <si>
    <t>여짱새＇</t>
  </si>
  <si>
    <t>물무당</t>
  </si>
  <si>
    <t>소굼재~잉가 소굼재~이</t>
  </si>
  <si>
    <t>물꺼미</t>
  </si>
  <si>
    <t>방개</t>
  </si>
  <si>
    <t>물방＇개</t>
  </si>
  <si>
    <t>물방개</t>
  </si>
  <si>
    <t>물방기</t>
  </si>
  <si>
    <t>방:개라고도 하고/이기 방:개야(+머)</t>
  </si>
  <si>
    <t>가축</t>
  </si>
  <si>
    <t>가＇축</t>
  </si>
  <si>
    <t>가축 가축</t>
  </si>
  <si>
    <t>가추근 이제 소가주구/나는 소만가주구 가추기라는줄 아라떼~이 {나는 소만 가지고 가축이라는 줄 알았더니}</t>
  </si>
  <si>
    <t>가추기라 그래지</t>
  </si>
  <si>
    <t>가추기라그래요</t>
  </si>
  <si>
    <t>암소</t>
  </si>
  <si>
    <t>암쇠＇는</t>
  </si>
  <si>
    <t>암소요</t>
  </si>
  <si>
    <t>암소/암쇠</t>
  </si>
  <si>
    <t>송아지</t>
  </si>
  <si>
    <t>깐니＇이</t>
  </si>
  <si>
    <t>송아지지/겐 암송아지/화송아지</t>
  </si>
  <si>
    <t>송아지/쇠새끼</t>
  </si>
  <si>
    <t>송아지/암송아지</t>
  </si>
  <si>
    <t>송아지 부르는 소리</t>
  </si>
  <si>
    <t>까안＇니 너::와</t>
  </si>
  <si>
    <t>네:미네미(송아지 부르는 소리)</t>
  </si>
  <si>
    <t>매:요매요 부르지</t>
  </si>
  <si>
    <t>맴맴맴맴</t>
  </si>
  <si>
    <t>매요매요</t>
  </si>
  <si>
    <t>움메움메(+송아지를 부를 때)</t>
  </si>
  <si>
    <t>황소</t>
  </si>
  <si>
    <t>화쇠＇는</t>
  </si>
  <si>
    <t>화소래기두 해구</t>
  </si>
  <si>
    <t>화소</t>
  </si>
  <si>
    <t>숟쏘</t>
  </si>
  <si>
    <t>수쐬라고/화쇠/화쇠라고(+다)</t>
  </si>
  <si>
    <t>황소라그래지요/수쏘</t>
  </si>
  <si>
    <t>길들이다</t>
  </si>
  <si>
    <t>지를＇ 자::알 디레＇야</t>
  </si>
  <si>
    <t>질드린다 그래요</t>
  </si>
  <si>
    <t>지를 드레야/지를 드린다 그래지</t>
  </si>
  <si>
    <t>지를 디린다/지를 디려야</t>
  </si>
  <si>
    <t>지르 잘 디레야된다</t>
  </si>
  <si>
    <t>지디린다는거지요/지를 잘드레야된다</t>
  </si>
  <si>
    <t>22606-1</t>
  </si>
  <si>
    <t>소 모는 소리_앞으로 가라</t>
  </si>
  <si>
    <t>이러＇/이러＇ 가＇자</t>
  </si>
  <si>
    <t>이러이러(앞으로 가라고 할 때)</t>
  </si>
  <si>
    <t>이러 하지</t>
  </si>
  <si>
    <t>이러</t>
  </si>
  <si>
    <t>이러이러</t>
  </si>
  <si>
    <t>이러 이러(+앞으로 가라고 할 때)</t>
  </si>
  <si>
    <t>22606-2</t>
  </si>
  <si>
    <t>소 모는 소리_그 자리에 서라</t>
  </si>
  <si>
    <t>서＇랑거는 와아</t>
  </si>
  <si>
    <t>워워(그 자리에 서라고 할 때)</t>
  </si>
  <si>
    <t>와:함 스구</t>
  </si>
  <si>
    <t>*(+고삐를 잡아당겨서 소를 세움)</t>
  </si>
  <si>
    <t>워워 이래</t>
  </si>
  <si>
    <t>워워(+그 자리에 서라고 할 때)</t>
  </si>
  <si>
    <t>22606-3</t>
  </si>
  <si>
    <t>소 모는 소리_오른쪽으로 돌라</t>
  </si>
  <si>
    <t>올＇라서라</t>
  </si>
  <si>
    <t>돌머레 가선 도러서라</t>
  </si>
  <si>
    <t>오른쪼그로 가자(고삐를 오른쪽으로 잡아당기면서)/이러 오른쪼그로 이래지</t>
  </si>
  <si>
    <t>*(+고삐로 조종을 함)</t>
  </si>
  <si>
    <t>올러서</t>
  </si>
  <si>
    <t>어후(+오른쪽으로 갈 때, 고삐를 잡아당기면서)/＇어후＇라구(+오른쪽으로 갈 때)</t>
  </si>
  <si>
    <t>22606-4</t>
  </si>
  <si>
    <t>소 모는 소리_왼쪽으로 돌라</t>
  </si>
  <si>
    <t>내＇러서라며는</t>
  </si>
  <si>
    <t>돌머레 가선 도러서라/도러서라구 이러케</t>
  </si>
  <si>
    <t>이러 왼쪼그로 이래지</t>
  </si>
  <si>
    <t>내러서</t>
  </si>
  <si>
    <t>＇어후＇예요(+왼쪽으로 갈 때, 고삐를 잡아당기면서)</t>
  </si>
  <si>
    <t>22606-5</t>
  </si>
  <si>
    <t>소 모는 소리_뒤로 물러나라</t>
  </si>
  <si>
    <t>*(+고삐를 그냥 당기면 물러섬.)</t>
  </si>
  <si>
    <t>물러서라 물러서라</t>
  </si>
  <si>
    <t>내레서</t>
  </si>
  <si>
    <t>물러물러</t>
  </si>
  <si>
    <t>물러서 이래</t>
  </si>
  <si>
    <t>워워(+물러나라고 할 때)/뒤루 물러서(+물러나라고 할 때)</t>
  </si>
  <si>
    <t>쇠고기</t>
  </si>
  <si>
    <t>쇠외＇고기</t>
  </si>
  <si>
    <t>소고기</t>
  </si>
  <si>
    <t>소고이기 {쇠고기}</t>
  </si>
  <si>
    <t>소고기 주세요</t>
  </si>
  <si>
    <t>소고기 산다그래지</t>
  </si>
  <si>
    <t>고기(肉)</t>
  </si>
  <si>
    <t>고＇기 꽈＇아 먹짜</t>
  </si>
  <si>
    <t>고이기/돼:지고이기/닥꼬이기</t>
  </si>
  <si>
    <t>고기</t>
  </si>
  <si>
    <t>고기 좀 꿔먹짜</t>
  </si>
  <si>
    <t>고기 궈 먹짜</t>
  </si>
  <si>
    <t>둘치</t>
  </si>
  <si>
    <t>들쐬＇(+소의 경우에 해당함)/들치＇이</t>
  </si>
  <si>
    <t>둘:개라 그래지(+새끼 못 낳는 개)/둘소(+새끼 못 낳는 소)/소는 둘:소/둘:짜(+새끼 못 낳는 짐승을 총칭하여, 사람도 애 못 낳으면 둘짜)</t>
  </si>
  <si>
    <t>둘소가(+송아지를 못 낳는 소)/두레~이가 이지/둘소가저꾸만/두렝이</t>
  </si>
  <si>
    <t>둘개라구리구/글 둘쏘라 그래</t>
  </si>
  <si>
    <t>둘치라고</t>
  </si>
  <si>
    <t>개:는 둘개/둘소</t>
  </si>
  <si>
    <t>꼬리</t>
  </si>
  <si>
    <t>꼬레＇~이/꼬리＇~이</t>
  </si>
  <si>
    <t>꼬랑지가/꼬리 꼬래~이/꼬라지가/쟁끼꼬리라 그래요</t>
  </si>
  <si>
    <t>꼬랑지/올채~이 꼬래기모냥으루(+여)/꼬리라구랜다구</t>
  </si>
  <si>
    <t>꽁데기가/꼬레~이</t>
  </si>
  <si>
    <t>꽁지</t>
  </si>
  <si>
    <t>망아지</t>
  </si>
  <si>
    <t>망아＇지</t>
  </si>
  <si>
    <t>망아지/마~아지</t>
  </si>
  <si>
    <t>망아지라</t>
  </si>
  <si>
    <t>말새끼</t>
  </si>
  <si>
    <t>당나귀</t>
  </si>
  <si>
    <t>당나＇구</t>
  </si>
  <si>
    <t>말보다 저근 놈 노:새지 노:새/그걸 노:새라 그래자너요</t>
  </si>
  <si>
    <t>당나구</t>
  </si>
  <si>
    <t>갈기</t>
  </si>
  <si>
    <t>말갈기 거치 {말갈기 같이}/말갈기라 그래/말갈기 거따 그러던데 말갈기</t>
  </si>
  <si>
    <t>갈키가 난다/등쏠/소:리 {솔이}/말갈키</t>
  </si>
  <si>
    <t>마레지터리게찌(+제?)/*</t>
  </si>
  <si>
    <t>갈기라그래지요/말갈기</t>
  </si>
  <si>
    <t>돼지</t>
  </si>
  <si>
    <t>돼애＇지도 더틀＇ 크게 해노면 돼애＇지도</t>
  </si>
  <si>
    <t>이건 돼:지 압따리/돼:지구/돼:지 목떨미/돼:지 갈기/이건 돼:지 뒤따리</t>
  </si>
  <si>
    <t>돼:지</t>
  </si>
  <si>
    <t>집때지/돼:지</t>
  </si>
  <si>
    <t>22614-1</t>
  </si>
  <si>
    <t>멧돼지</t>
  </si>
  <si>
    <t>도＇치인대 참모꺼리며는(+숫돼지를 ＇도치＇라 함.)/메뙈＇지(+신)/일반 산＇뙈지도 돼애＇지라 하긴 하는데</t>
  </si>
  <si>
    <t>산뙈지</t>
  </si>
  <si>
    <t>산때지 메때지</t>
  </si>
  <si>
    <t>돼:진 메뙈지라그래요</t>
  </si>
  <si>
    <t>주둥이</t>
  </si>
  <si>
    <t>돼애＇지 당나＇발</t>
  </si>
  <si>
    <t>돼:지 주되~이라/돼:지 주되~이라 그래요</t>
  </si>
  <si>
    <t>주데~이루</t>
  </si>
  <si>
    <t>주데~이라구</t>
  </si>
  <si>
    <t>돼:지주데~이 가따가 나발가지라고/돼:지나발가지</t>
  </si>
  <si>
    <t>주둥아리라 그래지/돼:지 아가리라그래지요/그낭 주둥아리</t>
  </si>
  <si>
    <t>돼지 머리</t>
  </si>
  <si>
    <t>돼애＇지 대가＇리</t>
  </si>
  <si>
    <t>돼:지머리</t>
  </si>
  <si>
    <t>돼:지대가리</t>
  </si>
  <si>
    <t>돼지대가리</t>
  </si>
  <si>
    <t>돼지대가리/돼:지대가리</t>
  </si>
  <si>
    <t>돼:진 대가리라그래요/보통 돼:지대가리라고/돼:지머리라(+치성을 드릴 때)</t>
  </si>
  <si>
    <t>돼지우리</t>
  </si>
  <si>
    <t>돼지우＇리</t>
  </si>
  <si>
    <t>돼:지우리</t>
  </si>
  <si>
    <t>돼:지우리 튼트나다</t>
  </si>
  <si>
    <t>돼:지우리야</t>
  </si>
  <si>
    <t>22617-1</t>
  </si>
  <si>
    <t>오래오래</t>
  </si>
  <si>
    <t>똘똘똘 하지요</t>
  </si>
  <si>
    <t>오래오래오래(돼지 먹이를 줄 때)</t>
  </si>
  <si>
    <t>죽쭉쭉쭉 이래먼 오지</t>
  </si>
  <si>
    <t>졸롤롤로</t>
  </si>
  <si>
    <t>뚤뚤뚤뚤 이래문</t>
  </si>
  <si>
    <t>꿀꿀꿀하먼 나와요</t>
  </si>
  <si>
    <t>개(犬)</t>
  </si>
  <si>
    <t>개애＇가 마안타</t>
  </si>
  <si>
    <t>개:요 개</t>
  </si>
  <si>
    <t>개:라구래자너 개:</t>
  </si>
  <si>
    <t>개:가 진는다</t>
  </si>
  <si>
    <t>개/개:가 만타</t>
  </si>
  <si>
    <t>22618-1</t>
  </si>
  <si>
    <t>수캐</t>
  </si>
  <si>
    <t>쑤깨＇/순느믄 수깨＇</t>
  </si>
  <si>
    <t>수캐요</t>
  </si>
  <si>
    <t>수깨</t>
  </si>
  <si>
    <t>22618-2</t>
  </si>
  <si>
    <t>암캐</t>
  </si>
  <si>
    <t>암느＇믄 앙깨＇</t>
  </si>
  <si>
    <t>앙캐구</t>
  </si>
  <si>
    <t>암깨</t>
  </si>
  <si>
    <t>앙캐</t>
  </si>
  <si>
    <t>강아지</t>
  </si>
  <si>
    <t>가~아＇지</t>
  </si>
  <si>
    <t>새끼는 강아지</t>
  </si>
  <si>
    <t>강아지새끼라고 개:새끼라고</t>
  </si>
  <si>
    <t>염소</t>
  </si>
  <si>
    <t>염쇠＇</t>
  </si>
  <si>
    <t>염소네요</t>
  </si>
  <si>
    <t>염소야</t>
  </si>
  <si>
    <t>염쇠</t>
  </si>
  <si>
    <t>염소새끼라구래지요/염소라그래요</t>
  </si>
  <si>
    <t>고양이</t>
  </si>
  <si>
    <t>고오＇얘~이</t>
  </si>
  <si>
    <t>고양이요/고양이 그건</t>
  </si>
  <si>
    <t>고:냬~이</t>
  </si>
  <si>
    <t>고냥이구/고양이</t>
  </si>
  <si>
    <t>고:내~이</t>
  </si>
  <si>
    <t>22621-1</t>
  </si>
  <si>
    <t>수고양이</t>
  </si>
  <si>
    <t>순느믄 수꼬＇얘~이/쑤꼬＇얘~이</t>
  </si>
  <si>
    <t>수코양이</t>
  </si>
  <si>
    <t>수꼬냬~이</t>
  </si>
  <si>
    <t>수코내~이</t>
  </si>
  <si>
    <t>22621-2</t>
  </si>
  <si>
    <t>암고양이</t>
  </si>
  <si>
    <t>암느믄 앙꼬＇얘~이</t>
  </si>
  <si>
    <t>앙코양이</t>
  </si>
  <si>
    <t>앙꼬냬~이라 그래지</t>
  </si>
  <si>
    <t>앙고냬~이</t>
  </si>
  <si>
    <t>앙꼬냬~이</t>
  </si>
  <si>
    <t>앙코내~이</t>
  </si>
  <si>
    <t>토끼</t>
  </si>
  <si>
    <t>산＇토끼/토끼＇/토께＇~이</t>
  </si>
  <si>
    <t>토끼네요/산토끼이래요/집토끼요</t>
  </si>
  <si>
    <t>산토키 집토키/토끼/퇴끼</t>
  </si>
  <si>
    <t>산퇴끼/요건 퇴끼고/집퇴끼</t>
  </si>
  <si>
    <t>집토끼/기낭 토끼</t>
  </si>
  <si>
    <t>거위(鵝)</t>
  </si>
  <si>
    <t>거우/거＇위</t>
  </si>
  <si>
    <t>게우가/게우가 크자나/거우두 이꾸</t>
  </si>
  <si>
    <t>거우</t>
  </si>
  <si>
    <t>게우야 게우</t>
  </si>
  <si>
    <t>가위/가우</t>
  </si>
  <si>
    <t>게:우</t>
  </si>
  <si>
    <t>암탉</t>
  </si>
  <si>
    <t>암따리#</t>
  </si>
  <si>
    <t>암타긴데 그건/에미닥/암타기유</t>
  </si>
  <si>
    <t>암딱</t>
  </si>
  <si>
    <t>암탁/암타기</t>
  </si>
  <si>
    <t>암딸기 크다/암딱</t>
  </si>
  <si>
    <t>암타기 만:타/암탁</t>
  </si>
  <si>
    <t>병아리</t>
  </si>
  <si>
    <t>벵아＇리/삐아＇리</t>
  </si>
  <si>
    <t>병아리/뼝아리 병아리</t>
  </si>
  <si>
    <t>베~아리</t>
  </si>
  <si>
    <t>비~아리</t>
  </si>
  <si>
    <t>모으다</t>
  </si>
  <si>
    <t>모둔＇는다</t>
  </si>
  <si>
    <t>검부제기 모:능 거/뫄:서/모아서</t>
  </si>
  <si>
    <t>모터라/뫄:야/몬:는다/마:야지/모운다/모우고 이따/모와서 시끄럽따/모코 이따라</t>
  </si>
  <si>
    <t>뫄가주구/몬:다</t>
  </si>
  <si>
    <t>마:야 된다/뫄:서/모아야 된다/항고스로 몬:는다/모:코이따/모아서</t>
  </si>
  <si>
    <t>모아야지요/씨러서 몬:다구</t>
  </si>
  <si>
    <t>수탉</t>
  </si>
  <si>
    <t>장딸＇#/장따＇리#</t>
  </si>
  <si>
    <t>수타기구/그게 장딱 킁 거</t>
  </si>
  <si>
    <t>수탁</t>
  </si>
  <si>
    <t>요 수딱</t>
  </si>
  <si>
    <t>22627-0-1</t>
  </si>
  <si>
    <t>장딸＇기라 함미다</t>
  </si>
  <si>
    <t>우떤 사라믄 장때기라 그래구/수타기라 그래요/우린 수태기라고 그래구/장때기라고 마니 그래 그걸</t>
  </si>
  <si>
    <t>수따기 울믄</t>
  </si>
  <si>
    <t>수타기/수타근</t>
  </si>
  <si>
    <t>수딸기 크다</t>
  </si>
  <si>
    <t>거 수타기네</t>
  </si>
  <si>
    <t>볏(鷄冠)</t>
  </si>
  <si>
    <t>다르베＇실/벼＇실</t>
  </si>
  <si>
    <t>벼실</t>
  </si>
  <si>
    <t>닥뻬실/면두</t>
  </si>
  <si>
    <t>그걸 면:도라구래</t>
  </si>
  <si>
    <t>베시리/닥뻬시리 크다/닥뻬실</t>
  </si>
  <si>
    <t>부리</t>
  </si>
  <si>
    <t>부＇리</t>
  </si>
  <si>
    <t>닥쭈데~이라 그래요/주뎅이</t>
  </si>
  <si>
    <t>주데~이로 쪼찌</t>
  </si>
  <si>
    <t>달게 주데~이지</t>
  </si>
  <si>
    <t>닥쭈데~이</t>
  </si>
  <si>
    <t>부리 닥뿌리/주둥아리/닥 주둥아리라그래요 주둥아리</t>
  </si>
  <si>
    <t>모이</t>
  </si>
  <si>
    <t>모이＇</t>
  </si>
  <si>
    <t>모이준다 그래요</t>
  </si>
  <si>
    <t>달거모이</t>
  </si>
  <si>
    <t>메~이 준다</t>
  </si>
  <si>
    <t>당 메 {닭 모이}/며:준다그래지</t>
  </si>
  <si>
    <t>22630-0-1</t>
  </si>
  <si>
    <t>모이＇가 마안＇타</t>
  </si>
  <si>
    <t>모이를 쪼어 멍는다</t>
  </si>
  <si>
    <t>모이를</t>
  </si>
  <si>
    <t>메~이를 준다</t>
  </si>
  <si>
    <t>당 메 줘라</t>
  </si>
  <si>
    <t>22630-1</t>
  </si>
  <si>
    <t>모이다</t>
  </si>
  <si>
    <t>모여＇라(+신)/모예＇에라(+구)</t>
  </si>
  <si>
    <t>함 마으레 모여 산다 그래/모여가주 흔들흔들 주먼 다 모여 오지</t>
  </si>
  <si>
    <t>마:~이 모인다/모이지</t>
  </si>
  <si>
    <t>다 모이지/모여따</t>
  </si>
  <si>
    <t>항군데로 모인다/모옌나?</t>
  </si>
  <si>
    <t>모인다구/한쪼그로 모이자나요</t>
  </si>
  <si>
    <t>닭털</t>
  </si>
  <si>
    <t>닥터리＇기</t>
  </si>
  <si>
    <t>그건 닥터리조 머</t>
  </si>
  <si>
    <t>달거터를 뽀버와라/달거털</t>
  </si>
  <si>
    <t>달게터라구/닥터라구</t>
  </si>
  <si>
    <t>달거터리가 떠러진다</t>
  </si>
  <si>
    <t>닥털</t>
  </si>
  <si>
    <t>닭똥</t>
  </si>
  <si>
    <t>다르똥＇</t>
  </si>
  <si>
    <t>닥똥이라 그래조 머</t>
  </si>
  <si>
    <t>달거똥</t>
  </si>
  <si>
    <t>달게똥이라구</t>
  </si>
  <si>
    <t>달게똥</t>
  </si>
  <si>
    <t>어리</t>
  </si>
  <si>
    <t>닥 우＇리</t>
  </si>
  <si>
    <t>달게둥우리</t>
  </si>
  <si>
    <t>달거둥지리</t>
  </si>
  <si>
    <t>병아리집/달게둥주리</t>
  </si>
  <si>
    <t>닭장</t>
  </si>
  <si>
    <t>다리게장＇</t>
  </si>
  <si>
    <t>크게 진: 건 닥찌비라 그래는데요/닥 지비요</t>
  </si>
  <si>
    <t>달거우리</t>
  </si>
  <si>
    <t>우리지</t>
  </si>
  <si>
    <t>달거장</t>
  </si>
  <si>
    <t>달게장</t>
  </si>
  <si>
    <t>둥우리</t>
  </si>
  <si>
    <t>삐아＇리둥지＇리/둥지＇리라고 함미다</t>
  </si>
  <si>
    <t>닥둥우리라 그래</t>
  </si>
  <si>
    <t>둥지리</t>
  </si>
  <si>
    <t>둥어리</t>
  </si>
  <si>
    <t>알둥지리/알란는 둥지리고</t>
  </si>
  <si>
    <t>둥우리/달게둥지</t>
  </si>
  <si>
    <t>날개</t>
  </si>
  <si>
    <t>날개＇도 안 당 기 날라 한대이</t>
  </si>
  <si>
    <t>날개/날개라구</t>
  </si>
  <si>
    <t>날개르</t>
  </si>
  <si>
    <t>깃</t>
  </si>
  <si>
    <t>지시＇ 떠러저따/지시＇라 아나＇고/예, 짇</t>
  </si>
  <si>
    <t>지시라 그래자너요 닥 {깃이라 그러잖아요 닭}</t>
  </si>
  <si>
    <t>달거짇/달거지시지</t>
  </si>
  <si>
    <t>날개지시라구래지</t>
  </si>
  <si>
    <t>장꼬리/장꼬레~이</t>
  </si>
  <si>
    <t>22637-0-1</t>
  </si>
  <si>
    <t>지시＇ 조오＇타</t>
  </si>
  <si>
    <t>꽁어지슬/달거지슬 뽀버라</t>
  </si>
  <si>
    <t>날개지슬 뽐는다</t>
  </si>
  <si>
    <t>장꼬레~이라 그래는데/장꼬리라고</t>
  </si>
  <si>
    <t>꽁지라구</t>
  </si>
  <si>
    <t>호랑이</t>
  </si>
  <si>
    <t>호오＇래~이</t>
  </si>
  <si>
    <t>호:랭이/아이고 호랭인데 머</t>
  </si>
  <si>
    <t>호래~이</t>
  </si>
  <si>
    <t>호랑이/버:미라</t>
  </si>
  <si>
    <t>호:레~이</t>
  </si>
  <si>
    <t>호랑이라그래요(+다)/호래~이래능건(+소)</t>
  </si>
  <si>
    <t>살쾡이</t>
  </si>
  <si>
    <t>살게~＇이/갈가＇지가 살케＇~이 종뉴거든뇨</t>
  </si>
  <si>
    <t>살쾌~이 아녀/살쾡이/살개~이라 그래지</t>
  </si>
  <si>
    <t>살쾌~이</t>
  </si>
  <si>
    <t>그건 살괭이라구래/살개~이</t>
  </si>
  <si>
    <t>살게~이</t>
  </si>
  <si>
    <t>여우</t>
  </si>
  <si>
    <t>여께＇~이</t>
  </si>
  <si>
    <t>여우야 여우</t>
  </si>
  <si>
    <t>영우/불려우</t>
  </si>
  <si>
    <t>여우/요건 여우고</t>
  </si>
  <si>
    <t>영우/영우아~이요?</t>
  </si>
  <si>
    <t>여우라그래요 여우/머이 여우나 꽁지 보니깐 여운데 여우라고그래요</t>
  </si>
  <si>
    <t>원숭이</t>
  </si>
  <si>
    <t>워언＇시~이</t>
  </si>
  <si>
    <t>원:숭이/또까태 원:세~이나 원:숭이나</t>
  </si>
  <si>
    <t>원:수~이/잔내비라고도 하구</t>
  </si>
  <si>
    <t>원세~이</t>
  </si>
  <si>
    <t>원:세~이</t>
  </si>
  <si>
    <t>원:숭이아녜요</t>
  </si>
  <si>
    <t>사슴</t>
  </si>
  <si>
    <t>사＇심/사＇심도 마안＇타</t>
  </si>
  <si>
    <t>뿌리씸 사시미지 {뿔이 있으면 사슴이지}</t>
  </si>
  <si>
    <t>사슴 말:구 노루가 이꾸/사심 {사슴}</t>
  </si>
  <si>
    <t>사시미/사시미야/사시믈 자부러가자</t>
  </si>
  <si>
    <t>사스미 아니래요?/사시미</t>
  </si>
  <si>
    <t>노루</t>
  </si>
  <si>
    <t>고라＇~인줄 아란데 놀기＇~이더라/놀게＇~이</t>
  </si>
  <si>
    <t>노:루고</t>
  </si>
  <si>
    <t>노루/놀기에 벼:~이 드러따</t>
  </si>
  <si>
    <t>노루는</t>
  </si>
  <si>
    <t>놀게~이/놀게~이 가틍거</t>
  </si>
  <si>
    <t>요건 노루라그래요 노루</t>
  </si>
  <si>
    <t>22706-0-1</t>
  </si>
  <si>
    <t>놀기＇~이가 마안＇타</t>
  </si>
  <si>
    <t>놀기라고 마:~이 하지(+다)/놀기가 만:타/노루가 만:타(+소)/노루가 만타</t>
  </si>
  <si>
    <t>노루가</t>
  </si>
  <si>
    <t>놀게~이가 만타</t>
  </si>
  <si>
    <t>노루가 만:타</t>
  </si>
  <si>
    <t>22706-0-2</t>
  </si>
  <si>
    <t>놀기＇~이르 자＇바라</t>
  </si>
  <si>
    <t>놀기를 자바라</t>
  </si>
  <si>
    <t>노루를 자버따</t>
  </si>
  <si>
    <t>놀게~이르 자바따</t>
  </si>
  <si>
    <t>노루 자바라</t>
  </si>
  <si>
    <t>고슴도치</t>
  </si>
  <si>
    <t>고＇심도치/꼬＇심도치</t>
  </si>
  <si>
    <t>고돔도치/고돔도치 아녀</t>
  </si>
  <si>
    <t>고숨도치라구래</t>
  </si>
  <si>
    <t>고숨도치</t>
  </si>
  <si>
    <t>고둔도치/고든두치</t>
  </si>
  <si>
    <t>두더지</t>
  </si>
  <si>
    <t>뒤＇지기</t>
  </si>
  <si>
    <t>이건 두더지야</t>
  </si>
  <si>
    <t>두두지</t>
  </si>
  <si>
    <t>두더지라구</t>
  </si>
  <si>
    <t>족제비</t>
  </si>
  <si>
    <t>쪽쩨＇피라는 거는</t>
  </si>
  <si>
    <t>쪽쩨빙가 본대 쪽쩨비 쪽쩨비</t>
  </si>
  <si>
    <t>쪽쩨피</t>
  </si>
  <si>
    <t>쪽쩨비</t>
  </si>
  <si>
    <t>족쩨비</t>
  </si>
  <si>
    <t>쪽쩨피라그래요 쪽쩨피</t>
  </si>
  <si>
    <t>뱀</t>
  </si>
  <si>
    <t>배애＇미도 만타/배애＇미#/배애＇미는 조옹＇뉴가 여러가진데/배애＇미가 흘＇레를 할＇때는</t>
  </si>
  <si>
    <t>배:미유 뱀</t>
  </si>
  <si>
    <t>뱀:</t>
  </si>
  <si>
    <t>뱀:두/배:미 간다</t>
  </si>
  <si>
    <t>사네도 배:미두 만:타/배:미가 게:댕긴다</t>
  </si>
  <si>
    <t>사네 배:미 만타/뱀:</t>
  </si>
  <si>
    <t>도마뱀</t>
  </si>
  <si>
    <t>도＇매뱀</t>
  </si>
  <si>
    <t>도매배미라 그래</t>
  </si>
  <si>
    <t>도매뱀</t>
  </si>
  <si>
    <t>도매뱀/이건 도매뱀</t>
  </si>
  <si>
    <t>도마배미도 만:타</t>
  </si>
  <si>
    <t>구렁이</t>
  </si>
  <si>
    <t>구＇:레~이</t>
  </si>
  <si>
    <t>구:레~이 구:레~이 담 너머 간다/구:레이</t>
  </si>
  <si>
    <t>구:레~이</t>
  </si>
  <si>
    <t>구렝이라구/구러~이/구레~이두(+여)</t>
  </si>
  <si>
    <t>구:레~이가 담너머간다</t>
  </si>
  <si>
    <t>구:레~이/구:레~이 담넘는다</t>
  </si>
  <si>
    <t>살무사</t>
  </si>
  <si>
    <t>살무＇새가 도기＇ 젤: 마는 뱀 무＇순 거고</t>
  </si>
  <si>
    <t>살무새/독:쌔/독쌔가 아주 그러케</t>
  </si>
  <si>
    <t>살무새</t>
  </si>
  <si>
    <t>글 살무새라구래는데</t>
  </si>
  <si>
    <t>생쥐</t>
  </si>
  <si>
    <t>꼬약＇쮜</t>
  </si>
  <si>
    <t>골방쥐 골방쥐</t>
  </si>
  <si>
    <t>골방쥐/새앙쥐/생:쥐라 그래지</t>
  </si>
  <si>
    <t>골:방쥐라구래</t>
  </si>
  <si>
    <t>골방쥐</t>
  </si>
  <si>
    <t>박쥐</t>
  </si>
  <si>
    <t>빠알＇쭈</t>
  </si>
  <si>
    <t>박:쮜</t>
  </si>
  <si>
    <t>박쮜</t>
  </si>
  <si>
    <t>박:쮜/이건 박:쮜라구래</t>
  </si>
  <si>
    <t>빨:쮜</t>
  </si>
  <si>
    <t>박:쮜라그래요 박:쮜</t>
  </si>
  <si>
    <t>거꾸로</t>
  </si>
  <si>
    <t>까꿀＇로</t>
  </si>
  <si>
    <t>까:꾸루 저 너머가니깐/까꾸루 사라유 이거</t>
  </si>
  <si>
    <t>까꾸루 매달레지/꺼꿀루/꺼꾸루 매다레따</t>
  </si>
  <si>
    <t>까꾸로 매달린다</t>
  </si>
  <si>
    <t>까꼴로 매:달린다</t>
  </si>
  <si>
    <t>꺼꾸루</t>
  </si>
  <si>
    <t>다람쥐</t>
  </si>
  <si>
    <t>다래＇미 다래＇미 춤촤라＇ 너 에＇미 자앙＇구 춘다/다래＇미 다람＇쥐가 아~이＇고</t>
  </si>
  <si>
    <t>다람쥐/도토리 깡는 다람쥐여</t>
  </si>
  <si>
    <t>날따래미/다람쥐/날때래미/날따람쥐</t>
  </si>
  <si>
    <t>다람쥐/다레미 {다람쥐}</t>
  </si>
  <si>
    <t>다람쥐/날따람쥐</t>
  </si>
  <si>
    <t>새(鳥)</t>
  </si>
  <si>
    <t>새애＇가 나＇라 다닌다/새애＇떼가 마안＇타</t>
  </si>
  <si>
    <t>새:두 이꾸 머</t>
  </si>
  <si>
    <t>새:떼</t>
  </si>
  <si>
    <t>새:가 난다</t>
  </si>
  <si>
    <t>새:가 하느를 난다</t>
  </si>
  <si>
    <t>새:가 날라간다</t>
  </si>
  <si>
    <t>섀꼬리＇~이 {새꽁지}/꼬리＇~이가 더 사투＇림미다/꽁무＇니에 지시＇/새꽁무＇니에</t>
  </si>
  <si>
    <t>꼬래~이 이써/꽁지래두 되구 머/새:꼬리</t>
  </si>
  <si>
    <t>새:꽁지</t>
  </si>
  <si>
    <t>꽁지라구래지</t>
  </si>
  <si>
    <t>꽁꽁데~이/꽁무니에</t>
  </si>
  <si>
    <t>새꽁지/새:꽁지라구</t>
  </si>
  <si>
    <t>솔개</t>
  </si>
  <si>
    <t>솔개＇는/솔개＇미가 공주＇~에 날＇며는</t>
  </si>
  <si>
    <t>솔개미/솔:개미가 자바 멍는데</t>
  </si>
  <si>
    <t>솔개미</t>
  </si>
  <si>
    <t>솔개미래능게 이거야</t>
  </si>
  <si>
    <t>꽁소리개라고도 하고/수루개</t>
  </si>
  <si>
    <t>솔:개라고 부르는 사람도 이꾸 그래요/새:매/새: 매:라구</t>
  </si>
  <si>
    <t>독수리</t>
  </si>
  <si>
    <t>그기＇ 수리＇래요/매애＇보다 킁거＇ 수리＇~이</t>
  </si>
  <si>
    <t>솔개미가 둑쑤리 아녀/독:쑤리여 그건</t>
  </si>
  <si>
    <t>독쑤리</t>
  </si>
  <si>
    <t>이건 수리야요/독쑤리</t>
  </si>
  <si>
    <t>꽁둑쑤리</t>
  </si>
  <si>
    <t>제비(燕)</t>
  </si>
  <si>
    <t>제에＇비</t>
  </si>
  <si>
    <t>제:비네요</t>
  </si>
  <si>
    <t>제:비</t>
  </si>
  <si>
    <t>지:비</t>
  </si>
  <si>
    <t>강낭가떤 제:비가</t>
  </si>
  <si>
    <t>두루미</t>
  </si>
  <si>
    <t>왜＇가리 모강지 짜르＇고 내 모강＇지 지::다. {왜가리 목은 짧고, 내 목은 길다.}/두루＇미라 왜＇가리라 그래는데</t>
  </si>
  <si>
    <t>왜:가리/황:새 {두루미}/왜가리하구{두루미}</t>
  </si>
  <si>
    <t>황:새/항:새가 나라간다</t>
  </si>
  <si>
    <t>황:새</t>
  </si>
  <si>
    <t>소쩍새</t>
  </si>
  <si>
    <t>소＇뽕새가/두견＇새라고 그래는데</t>
  </si>
  <si>
    <t>소쩍쌔</t>
  </si>
  <si>
    <t>서쪽쌔라구/서쭉 서쭉 그래서 써쭉새라/쪽빡쌔</t>
  </si>
  <si>
    <t>소쪽쌔</t>
  </si>
  <si>
    <t>소쫑새</t>
  </si>
  <si>
    <t>꿩</t>
  </si>
  <si>
    <t>꽁</t>
  </si>
  <si>
    <t>꽁이/꿩인데 이건 쟁끼</t>
  </si>
  <si>
    <t>꿩/꽁이야 꽁</t>
  </si>
  <si>
    <t>꽁/요건 앙꼬~이고</t>
  </si>
  <si>
    <t>꿩이라그래요</t>
  </si>
  <si>
    <t>장끼</t>
  </si>
  <si>
    <t>쟁＇끼</t>
  </si>
  <si>
    <t>쟁끼</t>
  </si>
  <si>
    <t>쟁끼/쟁끼 가틍거</t>
  </si>
  <si>
    <t>까투리</t>
  </si>
  <si>
    <t>까투＇리/까트＇리</t>
  </si>
  <si>
    <t>까투리라 그래요</t>
  </si>
  <si>
    <t>까토리</t>
  </si>
  <si>
    <t>까투리라그래요</t>
  </si>
  <si>
    <t>22727-1</t>
  </si>
  <si>
    <t>꺼병이</t>
  </si>
  <si>
    <t>꼬비아＇리</t>
  </si>
  <si>
    <t>꽁병아리라 그러던데</t>
  </si>
  <si>
    <t>꽁비~아리</t>
  </si>
  <si>
    <t>병아리라구래지(+닭이나 꿩이나 새끼는 모두 ＇병아리＇라고 함)</t>
  </si>
  <si>
    <t>꽁새끼라고</t>
  </si>
  <si>
    <t>꿩병아리</t>
  </si>
  <si>
    <t>종달새</t>
  </si>
  <si>
    <t>종달＇쌔/종달＇쌔 베까드탄다 {종달새 벼 까듯 한다}</t>
  </si>
  <si>
    <t>노고지리 쉰:질 뜬다 그래요/노고지리라구요</t>
  </si>
  <si>
    <t>종달쌔가 종뉴가 달라요</t>
  </si>
  <si>
    <t>종달쌔</t>
  </si>
  <si>
    <t>종잘새</t>
  </si>
  <si>
    <t>뻐꾸기</t>
  </si>
  <si>
    <t>뿌꾸＇지</t>
  </si>
  <si>
    <t>뻐꾹쌔</t>
  </si>
  <si>
    <t>뻐꾸기야</t>
  </si>
  <si>
    <t>뻐꾸기/뻐꾹쌔</t>
  </si>
  <si>
    <t>뻐꾹쌔/뻐꾸기</t>
  </si>
  <si>
    <t>기러기</t>
  </si>
  <si>
    <t>기러＇기</t>
  </si>
  <si>
    <t>기러기/기러기 기러기떼</t>
  </si>
  <si>
    <t>그게 기러기야</t>
  </si>
  <si>
    <t>기레기</t>
  </si>
  <si>
    <t>뜸부기</t>
  </si>
  <si>
    <t>그게 뜸부깅가 배/뜸부기 뜸부기</t>
  </si>
  <si>
    <t>뜸부기여</t>
  </si>
  <si>
    <t>뜸북쌘데/뜸부기라구래는데</t>
  </si>
  <si>
    <t>뜸벅쌔</t>
  </si>
  <si>
    <t>올빼미</t>
  </si>
  <si>
    <t>올＇빼미</t>
  </si>
  <si>
    <t>올빼미 아녀</t>
  </si>
  <si>
    <t>이거 올빼미여</t>
  </si>
  <si>
    <t>올:빼미</t>
  </si>
  <si>
    <t>부헤~이 부헤~이/부헝</t>
  </si>
  <si>
    <t>구구새라구/부엉인 구구새보다 커요</t>
  </si>
  <si>
    <t>까치</t>
  </si>
  <si>
    <t>까치＇~이</t>
  </si>
  <si>
    <t>까:치구요</t>
  </si>
  <si>
    <t>까:치/떼까치</t>
  </si>
  <si>
    <t>요건 까:치</t>
  </si>
  <si>
    <t>까:치</t>
  </si>
  <si>
    <t>딱따구리</t>
  </si>
  <si>
    <t>딱따구＇리</t>
  </si>
  <si>
    <t>딱따구리 아녀/딱따구리고</t>
  </si>
  <si>
    <t>딱따구리구</t>
  </si>
  <si>
    <t>딱짜구리</t>
  </si>
  <si>
    <t>딱따구리라그래요</t>
  </si>
  <si>
    <t>덫</t>
  </si>
  <si>
    <t>더튼＇ 주로/더시＇랑 거는 머＇냐며는</t>
  </si>
  <si>
    <t>더치기 덥치기/던 논는다 그래요/쫴:기/꽁차우</t>
  </si>
  <si>
    <t>덛</t>
  </si>
  <si>
    <t>돋/창애라구래는데(+꿩을 잡는데 사용)</t>
  </si>
  <si>
    <t>차~애/창애/쥐차~애라고/더치라 그래지요/쪼개/더뚜</t>
  </si>
  <si>
    <t>더치라그래지요/더치 크다</t>
  </si>
  <si>
    <t>22735-0-1</t>
  </si>
  <si>
    <t>더틀＇ 크게 해노면/더치＇라 한다고/그기＇ 더침＇미다</t>
  </si>
  <si>
    <t>더틀 놔:라</t>
  </si>
  <si>
    <t>더설 맹긴다/더시</t>
  </si>
  <si>
    <t>더틀 해 넌는다구</t>
  </si>
  <si>
    <t>더츨 놔:따</t>
  </si>
  <si>
    <t>올가미</t>
  </si>
  <si>
    <t>옹노＇라 하능 거시 홀로＇~이고/철포＇(+철망이 내려와서 갇히게 하는 도구)/홀롱＇ 논는＇다/철포＇ 문는＇다/홀롱＇(+구, 짐승의 발이 닿으면 발을 옭죄는 도구)/옹노＇라 이래는데(+신)</t>
  </si>
  <si>
    <t>옹:무/올:개미라 그래지요 머</t>
  </si>
  <si>
    <t>옹노가 마즐끼여/올:개미/올무라구두 하구(+소)/옹노에 걸레따고도 하고/옹노라 그래지(+다)</t>
  </si>
  <si>
    <t>쪼:기라 그랜다구(+돼지를 잡는데 사용)/옹매기(+토끼나 돼지를 잡는데 사용)</t>
  </si>
  <si>
    <t>홀랑가지해가주구</t>
  </si>
  <si>
    <t>옹네기/쬐기(+짐승의 발이 닿았을 때 조이는 사냥 도구)</t>
  </si>
  <si>
    <t>진달래꽃</t>
  </si>
  <si>
    <t>여기사는 창꼬＇치라 함미다/분＇:홍새근 진달＇래/여＇기서는 창꼳</t>
  </si>
  <si>
    <t>보메 피는 창꼳/창꼬친데/창꼬치/창꼬슨 머거도</t>
  </si>
  <si>
    <t>창꼳/창꼬치라 그래</t>
  </si>
  <si>
    <t>참꼬시라 그래요/참꼬슨 머거두</t>
  </si>
  <si>
    <t>창꼳/창꼬치 아니요</t>
  </si>
  <si>
    <t>창꼬시라그래찌요(+구, +소)/창꼬시라그래요/진달래꼬시 피어따(+신, +다)/진달래라그래요/진달래꼳</t>
  </si>
  <si>
    <t>철쭉꽃</t>
  </si>
  <si>
    <t>개애＇꼳</t>
  </si>
  <si>
    <t>철뚝꼳/철뚝꼬천 몸 멍는 거 이건 창꼳/철뚝꼳 그거하고/철뚝꼬슨 몸 머거요</t>
  </si>
  <si>
    <t>철쭉</t>
  </si>
  <si>
    <t>철쭈꼬슨/철쭈꼬시라고 이써</t>
  </si>
  <si>
    <t>철쭉꼳/철뚜꼳/철쭈꼬치 만:타</t>
  </si>
  <si>
    <t>철쭈꼬시 피어따/철쭈꼬슨 몸먹찌요./철쭈꼳</t>
  </si>
  <si>
    <t>민들레</t>
  </si>
  <si>
    <t>민들＇래/맨들＇레하고 조옹＇뉴가 틀＇레요</t>
  </si>
  <si>
    <t>그건 민들레요/요건 민들레</t>
  </si>
  <si>
    <t>민들래/민:들레</t>
  </si>
  <si>
    <t>민:들레</t>
  </si>
  <si>
    <t>씨게~이꼬치라 그래는데/씨게~이꼬치라고</t>
  </si>
  <si>
    <t>맨드라미</t>
  </si>
  <si>
    <t>맨드라＇미</t>
  </si>
  <si>
    <t>맨두래미</t>
  </si>
  <si>
    <t>맨도레미</t>
  </si>
  <si>
    <t>만두레미</t>
  </si>
  <si>
    <t>맨드래미</t>
  </si>
  <si>
    <t>봉선화</t>
  </si>
  <si>
    <t>보옹＇서놔</t>
  </si>
  <si>
    <t>이건 봉숭아</t>
  </si>
  <si>
    <t>봉숭아</t>
  </si>
  <si>
    <t>봉송아/봉송아야</t>
  </si>
  <si>
    <t>봉:수꼬치라고/봉수꼳</t>
  </si>
  <si>
    <t>봉:사 봉:사꼬시라그래요</t>
  </si>
  <si>
    <t>꽈리</t>
  </si>
  <si>
    <t>꽤＇리</t>
  </si>
  <si>
    <t>꽈:리/꽈:리두 아니구</t>
  </si>
  <si>
    <t>퉁과리/꽤:리</t>
  </si>
  <si>
    <t>꽈:리</t>
  </si>
  <si>
    <t>꽤:리</t>
  </si>
  <si>
    <t>해바라기</t>
  </si>
  <si>
    <t>해바라＇기</t>
  </si>
  <si>
    <t>이건 해바래기구요</t>
  </si>
  <si>
    <t>이건 해바라기야</t>
  </si>
  <si>
    <t>해바래기</t>
  </si>
  <si>
    <t>꽃봉오리</t>
  </si>
  <si>
    <t>꼬뽕우＇리</t>
  </si>
  <si>
    <t>몽오리 생겨따 구래지/꼼몽오리 생겨따/몽오리 저따 그래요</t>
  </si>
  <si>
    <t>꼬뽕오리</t>
  </si>
  <si>
    <t>꼰멍어리</t>
  </si>
  <si>
    <t>꼬뽕소~이/꼬뽕세~이</t>
  </si>
  <si>
    <t>꼰머리 터진다/꼰멍어리</t>
  </si>
  <si>
    <t>시들다</t>
  </si>
  <si>
    <t>쑤둔＇다/가무＇리 들아사 쑤두＇라따/쑤둔＇다(시들다)</t>
  </si>
  <si>
    <t>시든다 그래요/시들자너/시드릉 거요/시드러/비럴 몸 마저 시들자너/시드능 거/시드러서</t>
  </si>
  <si>
    <t>쑤둘다구 하구/쑤두룬다</t>
  </si>
  <si>
    <t>푸리 시드러따/시든다</t>
  </si>
  <si>
    <t>가무러서 말러 씨드러서 몸:멍는다/씨든다</t>
  </si>
  <si>
    <t>시:드러따/시:드러 마르지요</t>
  </si>
  <si>
    <t>질경이</t>
  </si>
  <si>
    <t>뻼짜＇우</t>
  </si>
  <si>
    <t>질겡이/질게~이/질겅이나무리조/이거 질겅이네 질겅이</t>
  </si>
  <si>
    <t>뻽짱우</t>
  </si>
  <si>
    <t>질겡이/질게~이(+식물 이름이나 반찬 이름 모두 동일함)/질겡이야/질:게~이</t>
  </si>
  <si>
    <t>뻼짜~우</t>
  </si>
  <si>
    <t>찔쩨~이/찔쩨~이라그래</t>
  </si>
  <si>
    <t>22810-1</t>
  </si>
  <si>
    <t>질경이(식물 이름)</t>
  </si>
  <si>
    <t>뻼짜＇~우</t>
  </si>
  <si>
    <t>질게~이(+식물 이름이나 반찬 이름 모두 동일함)</t>
  </si>
  <si>
    <t>찔쩨~이나물</t>
  </si>
  <si>
    <t>22810-2</t>
  </si>
  <si>
    <t>질경이(식용(반찬) 이름)</t>
  </si>
  <si>
    <t>뻼짜~우나물</t>
  </si>
  <si>
    <t>찔쩨~이(+반찬)</t>
  </si>
  <si>
    <t>삘기</t>
  </si>
  <si>
    <t>삐삐기</t>
  </si>
  <si>
    <t>시그미라그래 시금/시금 머거요</t>
  </si>
  <si>
    <t>참비＇름은 나물＇로/참비＇르미라고 이＇싸요.</t>
  </si>
  <si>
    <t>비르미요/참비름/이건 참비르미라고</t>
  </si>
  <si>
    <t>비르미지</t>
  </si>
  <si>
    <t>참비르미 이꾸/비름</t>
  </si>
  <si>
    <t>멍는 참비림/이기 참비리미래요.</t>
  </si>
  <si>
    <t>비르미요</t>
  </si>
  <si>
    <t>쇠비름</t>
  </si>
  <si>
    <t>돌비＇름/돌비＇느리고/돌비＇늘</t>
  </si>
  <si>
    <t>쇠비름 가튼데</t>
  </si>
  <si>
    <t>쇠비르미지/쇠비름 가튼데</t>
  </si>
  <si>
    <t>들비르미라(+조?)/쇠:비름</t>
  </si>
  <si>
    <t>개:비림/몸:멍는 개비림</t>
  </si>
  <si>
    <t>씀바귀</t>
  </si>
  <si>
    <t>씀바＇~우/씀바＇우/씀바＇귀</t>
  </si>
  <si>
    <t>칼쏙쌔(+씀바귀의 일종)/씸바구도 두 가지자너(씸바귀는 두 가지로, 큰 것은 ＇꼬들뺑이＇, 작은 것은 ＇쏙새＇)/이게 쏙:쌔 가튼데 자러서/이건 칼 쏙쌘데</t>
  </si>
  <si>
    <t>씀:바구/씀바구</t>
  </si>
  <si>
    <t>요건 쏙:쌔구/쏙:쌔가 이꾸(+가는 것)</t>
  </si>
  <si>
    <t>씸바구가</t>
  </si>
  <si>
    <t>씸바구/씸바구두 머꾸</t>
  </si>
  <si>
    <t>고들빼기</t>
  </si>
  <si>
    <t>꼬질빼＇기/꼬질뻬＇기/꼬질빠＇~우/꼬질빠＇~우가 꼬질뻬＇김미다</t>
  </si>
  <si>
    <t>꼬들빼~이 꼬들빼~이/꼬들뺑이는 굴:긍 게 꼬들뺑이구/쏙쌔는 자로망 게 쏙쌔구</t>
  </si>
  <si>
    <t>꼬들빼기래요.</t>
  </si>
  <si>
    <t>꼬둘빼~이두/꼬둘빼기라구/꼬들빼~이가(+굵은 것)</t>
  </si>
  <si>
    <t>이거 고들빼긴데/고들빼기가 비스룸하다</t>
  </si>
  <si>
    <t>꼬둘빼기라그래지요</t>
  </si>
  <si>
    <t>22815-1</t>
  </si>
  <si>
    <t>고들빼기(식물 이름)</t>
  </si>
  <si>
    <t>꼬질빼＇기라하고 꼬질빠＇~우라고도 하고그래요</t>
  </si>
  <si>
    <t>고돌빼기</t>
  </si>
  <si>
    <t>꼬둘빼기</t>
  </si>
  <si>
    <t>22815-2</t>
  </si>
  <si>
    <t>고들빼기(식용(반찬) 이름)</t>
  </si>
  <si>
    <t>꼬질빼＇기</t>
  </si>
  <si>
    <t>꼬들뺑이두 반찬해 머거</t>
  </si>
  <si>
    <t>고들빼기반차니라</t>
  </si>
  <si>
    <t>꼬둘빼기반찬/꼬둘빼기 김치두 이꾸</t>
  </si>
  <si>
    <t>고사리</t>
  </si>
  <si>
    <t>고사＇리</t>
  </si>
  <si>
    <t>그 전버텅 고사리는 몰:러/이게 고사린데</t>
  </si>
  <si>
    <t>고사린 꺼꺼야 되니까/고사리 꺼끄러 간다 그래지</t>
  </si>
  <si>
    <t>근 고사리/고사리 무처멍는다</t>
  </si>
  <si>
    <t>고비</t>
  </si>
  <si>
    <t>괴비＇</t>
  </si>
  <si>
    <t>괴비</t>
  </si>
  <si>
    <t>괴비/괴비 머</t>
  </si>
  <si>
    <t>고비야</t>
  </si>
  <si>
    <t>도깨비바늘</t>
  </si>
  <si>
    <t>귀이＇사리</t>
  </si>
  <si>
    <t>까시바눌/까:치바늘</t>
  </si>
  <si>
    <t>까:시바느리라고 저게</t>
  </si>
  <si>
    <t>도깨비푸리라구래/가시푸리야</t>
  </si>
  <si>
    <t>찐데기푸리라고/엉거세~이푸리 아니요?/찐데기풀/엉거세~이도</t>
  </si>
  <si>
    <t>까막싸리</t>
  </si>
  <si>
    <t>도꼬마리</t>
  </si>
  <si>
    <t>도꾸마＇리</t>
  </si>
  <si>
    <t>도꾸마린 또 다르지/도꾸마리</t>
  </si>
  <si>
    <t>쪼끔바리가 마저</t>
  </si>
  <si>
    <t>찐떡푸리야 찐떡풀/찐덕풀</t>
  </si>
  <si>
    <t>주꿈바리</t>
  </si>
  <si>
    <t>억새</t>
  </si>
  <si>
    <t>쇠외＇꼬리라 함미다/쇠외＇꼬림미다/쇠외＇꼴</t>
  </si>
  <si>
    <t>그래 억쌔푸린데/억쌔풀</t>
  </si>
  <si>
    <t>왁:쌔/억쌔</t>
  </si>
  <si>
    <t>윽:쌔라구</t>
  </si>
  <si>
    <t>갈:푸리요</t>
  </si>
  <si>
    <t>억쌔</t>
  </si>
  <si>
    <t>갈대</t>
  </si>
  <si>
    <t>안들＇매</t>
  </si>
  <si>
    <t>갈:때/갈:뜨기/갈:띠기/갈떼기라 그러덩가(+?제)/그걸 갈:뜨기라 그래</t>
  </si>
  <si>
    <t>이게 갈때지</t>
  </si>
  <si>
    <t>갈:따리</t>
  </si>
  <si>
    <t>갈:풀</t>
  </si>
  <si>
    <t>갈꼬리라그래요 갈꼴</t>
  </si>
  <si>
    <t>이끼</t>
  </si>
  <si>
    <t>바＇~우이끼＇/바~우이＇끼</t>
  </si>
  <si>
    <t>바우오시라 그래요/물리끼라구두 해구 물청태라구두 해구/바우오선 바우에 시::퍼러케 오시 이펴/이끼라 그래지요/바우오시라구두 해구</t>
  </si>
  <si>
    <t>바~우나리가(+개울 옆에 많이 끼어 있는 것)</t>
  </si>
  <si>
    <t>바우오시라구래는데/물리끼</t>
  </si>
  <si>
    <t>그기 바우오시라고 안해요?</t>
  </si>
  <si>
    <t>바우오시라그래요</t>
  </si>
  <si>
    <t>아주까리</t>
  </si>
  <si>
    <t>아주까＇리라 하는＇대(+소)/핀마＇주(+다)</t>
  </si>
  <si>
    <t>피마주</t>
  </si>
  <si>
    <t>피마주(+구)/아주까리(+신)</t>
  </si>
  <si>
    <t>피마자</t>
  </si>
  <si>
    <t>담쟁이</t>
  </si>
  <si>
    <t>바＇~우오시＇라능 거는 주리＇ 이＇꼬/바＇~우오시＇ 마＇찌요?/바＇~우옫/바~우옫＇/바＇~우오시 마안＇타</t>
  </si>
  <si>
    <t>솔:담재~이두 이꾸/담:재~이/다메 올라가니까 담쭈기라구/담쭉</t>
  </si>
  <si>
    <t>바우옫/바우오시여</t>
  </si>
  <si>
    <t>*/담장푸리라구</t>
  </si>
  <si>
    <t>담:세~이</t>
  </si>
  <si>
    <t>수세미</t>
  </si>
  <si>
    <t>쑤세＇미</t>
  </si>
  <si>
    <t>수세미/덩구레 나능 게 산딸긴데/이거 수세민데</t>
  </si>
  <si>
    <t>쑤세미 이게</t>
  </si>
  <si>
    <t>쑤세미</t>
  </si>
  <si>
    <t>덩굴</t>
  </si>
  <si>
    <t>덩＇쿠르는 표준＇마리고/근데 넝＇쿠림미까?</t>
  </si>
  <si>
    <t>새:사미 그래/덩구리 버더 올라간다구/덩구리 번는다구/까시덩굴/새:삼덩굴</t>
  </si>
  <si>
    <t>칙덩굴/덩쿠리나 덤부리나 항가지지</t>
  </si>
  <si>
    <t>덩구리나</t>
  </si>
  <si>
    <t>덤부리라고 하지(+＇덩굴＇과 ＇덤불＇의 구별이 없음)</t>
  </si>
  <si>
    <t>덤불</t>
  </si>
  <si>
    <t>덤부＇리 너무 마아＇내서 갈그체＇에 모오＇까깨따./덤＇부＇르는/덤부＇르는 요새말로 넝＇쿨/덤불＇</t>
  </si>
  <si>
    <t>덤부리 마니 지네/아이구 그 낭근 덤불도 마니 지네/딸구 덤불도</t>
  </si>
  <si>
    <t>칙떰불/다래떰불/덤불/덤부리지</t>
  </si>
  <si>
    <t>호박떰불/찔루떰부리 마리요/덤불/이 덤부른</t>
  </si>
  <si>
    <t>덤부른 건</t>
  </si>
  <si>
    <t>22827-1</t>
  </si>
  <si>
    <t>가시덤불</t>
  </si>
  <si>
    <t>까시덤＇불</t>
  </si>
  <si>
    <t>까시덤풀/까시덤부리라구</t>
  </si>
  <si>
    <t>가시떰불/까시덤부리지</t>
  </si>
  <si>
    <t>까시덤불</t>
  </si>
  <si>
    <t>까시덤부리라고</t>
  </si>
  <si>
    <t>찔:레떰불</t>
  </si>
  <si>
    <t>잔디</t>
  </si>
  <si>
    <t>짠＇뚜</t>
  </si>
  <si>
    <t>잔떼 이피능 거/잔:띠</t>
  </si>
  <si>
    <t>뙤/뙤짱</t>
  </si>
  <si>
    <t>뙤를 심는다</t>
  </si>
  <si>
    <t>땀떼/땀뙤</t>
  </si>
  <si>
    <t>뙤를 이피능거지/면:도</t>
  </si>
  <si>
    <t>소나무</t>
  </si>
  <si>
    <t>소낭＇게 벌거＇지가 마＇~이 머＇가따라/소나＇무/소낭＇기/송낭＇그 한짐 베오나＇라</t>
  </si>
  <si>
    <t>소나문데요/소낭구라구두 해구래요/솔라무/소나무라고</t>
  </si>
  <si>
    <t>소나무야/소나무구</t>
  </si>
  <si>
    <t>소낭겐 솔빵우리고/소나무</t>
  </si>
  <si>
    <t>솔라무</t>
  </si>
  <si>
    <t>솔방울</t>
  </si>
  <si>
    <t>솔딱찌＇~이</t>
  </si>
  <si>
    <t>솔빵울/솔빵울 말고</t>
  </si>
  <si>
    <t>솔빵울/소나무에 열리지</t>
  </si>
  <si>
    <t>솔빵울</t>
  </si>
  <si>
    <t>관솔</t>
  </si>
  <si>
    <t>소까＇블/소끼~＇이 소 예엔＇나레 소끼~＇이/마른 이픈＇ 소깝＇</t>
  </si>
  <si>
    <t>광:술/광술</t>
  </si>
  <si>
    <t>소깨~이</t>
  </si>
  <si>
    <t>소께~이라구랜다구</t>
  </si>
  <si>
    <t>소께~이/소나무소께~이</t>
  </si>
  <si>
    <t>소께~이라구래요(+구)/관:소리라구두허구 소께~이라구두 허구(＇관솔＇은 최근에 사용함.)</t>
  </si>
  <si>
    <t>솔가리</t>
  </si>
  <si>
    <t>솔깔＇비/가알＇비라 하고/가알＇비는</t>
  </si>
  <si>
    <t>솔까루/솔깝/솔까지</t>
  </si>
  <si>
    <t>솔까지</t>
  </si>
  <si>
    <t>솔껌부리라/솔개비</t>
  </si>
  <si>
    <t>소갈비</t>
  </si>
  <si>
    <t>솔껌불</t>
  </si>
  <si>
    <t>그러모으다</t>
  </si>
  <si>
    <t>끄라모＇온다/끄러 뫄＇아라/끄라 모온＇는다</t>
  </si>
  <si>
    <t>그러뫄:라/그러뫄:서/그러몬다구 각:찌루/그러뫄 치워라/검부제기 거러몬다 그래/각:찌로 긍넌다 그래/모아서</t>
  </si>
  <si>
    <t>글거서 몬는다/글거서 마:서</t>
  </si>
  <si>
    <t>글거몬:다/글거뫄 싼:다</t>
  </si>
  <si>
    <t>끄러뫄:서/깍~쩨~이로 끈:다/소갈비 끄:러서/22626 끄러서 마:가주고</t>
  </si>
  <si>
    <t>모:지요 {모으지요}/글거뫄 지능거지요 {그러모아 지는 것이지요.}</t>
  </si>
  <si>
    <t>뽕나무</t>
  </si>
  <si>
    <t>뼁나＇무</t>
  </si>
  <si>
    <t>뽕나무/뽕이여 뽕/뽕냉기여</t>
  </si>
  <si>
    <t>뽕나무지</t>
  </si>
  <si>
    <t>뽕나무에</t>
  </si>
  <si>
    <t>오디</t>
  </si>
  <si>
    <t>오＇두</t>
  </si>
  <si>
    <t>오디/엉 오동/저기 오동/엉 오데~인데 오데~이</t>
  </si>
  <si>
    <t>뽕호도/뽕호두/뽕호도가 만:타</t>
  </si>
  <si>
    <t>건 오디라구래 오디</t>
  </si>
  <si>
    <t>뽕오두</t>
  </si>
  <si>
    <t>도토리</t>
  </si>
  <si>
    <t>도토＇리/도토＇리도 밤:이요 물밤＇도 밤이요/도토＇리밤</t>
  </si>
  <si>
    <t>요게 도토린데/왕도토리/까도토리(+갈나무에 매달린 도토리)/요건 재랑도토리/도토리여/구람도토리/재랑도토리(+작아서, 묵을 만드는데 제일 좋음)</t>
  </si>
  <si>
    <t>구라미라 그래구/도토리/구람(물갈나무에 열림, 물갈나무는 음지에 많이 성장)/쟁건 재래~이(잔 것)/구도토리</t>
  </si>
  <si>
    <t>도토리/재랴~이라구 재래~이(+작은 것)/재:래~이</t>
  </si>
  <si>
    <t>구롸므는/속:쏘리(+＇구뢈＇보다 크기가 작음)</t>
  </si>
  <si>
    <t>재:량도토리니(+아주 작은 크기)/구도토리니(+반들반들함)</t>
  </si>
  <si>
    <t>떡갈나무</t>
  </si>
  <si>
    <t>떠＇깔라무/떠＇깔밤</t>
  </si>
  <si>
    <t>떠깔라무 도토리가 이게여/갈낭게(+갈나무에)</t>
  </si>
  <si>
    <t>떠깔라무는/떠깔라무가 널꾸/떠깔라무에도 구도토리여</t>
  </si>
  <si>
    <t>굴비나무/구피나무</t>
  </si>
  <si>
    <t>참낭그래요/떠까른 참낭게/참낭긴데/속:쏘리나무는(+＇구뢈나무＇보다 크기가 작음)/참나무떠깔/구뢈 여는 참낭그는(+잎이 넓으면서 둥근 편임)</t>
  </si>
  <si>
    <t>떠깔라무(+도토리 크기가 큼.)</t>
  </si>
  <si>
    <t>상수리</t>
  </si>
  <si>
    <t>참나＇무를 가지고 상수＇리라 하능 그/도토＇리도 마찬가＇지 상수＇리</t>
  </si>
  <si>
    <t>참나무라</t>
  </si>
  <si>
    <t>참나무에나능거 참나무도토리</t>
  </si>
  <si>
    <t>옻</t>
  </si>
  <si>
    <t>온나＇무/오＇치 올라따</t>
  </si>
  <si>
    <t>온나무/오돌러따 {옻 올랐다}/오치 오른다구</t>
  </si>
  <si>
    <t>오치 올러따</t>
  </si>
  <si>
    <t>옫</t>
  </si>
  <si>
    <t>온낭그마리로군 온나무/옫</t>
  </si>
  <si>
    <t>옫/오돌라따</t>
  </si>
  <si>
    <t>22911-0-1</t>
  </si>
  <si>
    <t>오＇치 올＇라따/오＇투로 치래＇야조.</t>
  </si>
  <si>
    <t>오멘 안 주거두 오센 중는대요 옌말레요 {옴에는 안 죽어도 옻에는 죽는대요 옛말에}/오치 올른다 그래</t>
  </si>
  <si>
    <t>오스로</t>
  </si>
  <si>
    <t>오시 올라따</t>
  </si>
  <si>
    <t>오치 오른다</t>
  </si>
  <si>
    <t>오시라구래요</t>
  </si>
  <si>
    <t>버드나무</t>
  </si>
  <si>
    <t>수양버드낭＇기고/쉬양＇버들/일반＇버드나무가 이꼬 떡뻐드나무가 이꼬 이래요/수양버드나＇무</t>
  </si>
  <si>
    <t>수양버들/버들라무/이건 버드낭구 가꾸/버드나무 가끼도 해고/버드낭글 까꺼가주</t>
  </si>
  <si>
    <t>떡뻐늘랑근 커유/버드나무/버들라무</t>
  </si>
  <si>
    <t>버드나무라구</t>
  </si>
  <si>
    <t>슈영버드나무/슈영버들</t>
  </si>
  <si>
    <t>느티나무</t>
  </si>
  <si>
    <t>느테나＇무/여＇어 말로 느테나＇무</t>
  </si>
  <si>
    <t>느티나무/느트낭구 가튼데/느트나무/느트나무라 그래요/이건 느트나무 이건 주몽나무/느티나무라 그래요</t>
  </si>
  <si>
    <t>느테나무</t>
  </si>
  <si>
    <t>느테나무라그래요</t>
  </si>
  <si>
    <t>느티나무는 읍:꼬</t>
  </si>
  <si>
    <t>그림자</t>
  </si>
  <si>
    <t>그림＇자</t>
  </si>
  <si>
    <t>그:름자 {그림자}</t>
  </si>
  <si>
    <t>그:림자</t>
  </si>
  <si>
    <t>그림자가</t>
  </si>
  <si>
    <t>그름자/그름자라고 그름자</t>
  </si>
  <si>
    <t>그름자</t>
  </si>
  <si>
    <t>22914-1</t>
  </si>
  <si>
    <t>그늘</t>
  </si>
  <si>
    <t>그늘＇</t>
  </si>
  <si>
    <t>그능지 저따 그래/그능지 {그늘}</t>
  </si>
  <si>
    <t>그느리 저따</t>
  </si>
  <si>
    <t>여 그느리 저따 이래지</t>
  </si>
  <si>
    <t>숲</t>
  </si>
  <si>
    <t>수푸는＇</t>
  </si>
  <si>
    <t>수피 되지</t>
  </si>
  <si>
    <t>나무 수피라 그래지/나무 숩</t>
  </si>
  <si>
    <t>수피라그래거덩</t>
  </si>
  <si>
    <t>수푸리 우거저따</t>
  </si>
  <si>
    <t>수피 크다</t>
  </si>
  <si>
    <t>22915-0-1</t>
  </si>
  <si>
    <t>수＇피 우거진데 가지마아라</t>
  </si>
  <si>
    <t>수피저따 그래요 {숲이 졌다 그래요}</t>
  </si>
  <si>
    <t>수푼 수피구</t>
  </si>
  <si>
    <t>수푸르 다 태워다/ㅜ수피 우거저따</t>
  </si>
  <si>
    <t>수피 조:타</t>
  </si>
  <si>
    <t>22915-0-2</t>
  </si>
  <si>
    <t>수＇페 불라따</t>
  </si>
  <si>
    <t>수페 드러가따</t>
  </si>
  <si>
    <t>수페 드러가지마라</t>
  </si>
  <si>
    <t>시원하다</t>
  </si>
  <si>
    <t>시워::나＇다</t>
  </si>
  <si>
    <t>아이 시워내대 그래/시워내지/시워내다구</t>
  </si>
  <si>
    <t>시원:하다 그래지</t>
  </si>
  <si>
    <t>그느리 저서 시워내다</t>
  </si>
  <si>
    <t>수피 시어 너다/시언허다구</t>
  </si>
  <si>
    <t>찔레</t>
  </si>
  <si>
    <t>찔루＇</t>
  </si>
  <si>
    <t>찔레낭군데/찔레나무/찔롱/이게 찔레꼬다녀</t>
  </si>
  <si>
    <t>찔루</t>
  </si>
  <si>
    <t>찔룽나무/찔:레꼳/찔:레라구/찔레라구래자너</t>
  </si>
  <si>
    <t>찔:레라그래지요/찔:레나무</t>
  </si>
  <si>
    <t>칡</t>
  </si>
  <si>
    <t>칠기＇~이/칠기＇가 마안타</t>
  </si>
  <si>
    <t>칙뿌리/치기라 그래요 칙</t>
  </si>
  <si>
    <t>치기여</t>
  </si>
  <si>
    <t>칙뿌리야 치기야/칠근 아니자너</t>
  </si>
  <si>
    <t>칙(+소)/칠기/칠기뿌리/칙뿌리라고</t>
  </si>
  <si>
    <t>칙</t>
  </si>
  <si>
    <t>22918-0-1</t>
  </si>
  <si>
    <t>칠기＇를 먹＇짜</t>
  </si>
  <si>
    <t>치글/치기로구나</t>
  </si>
  <si>
    <t>치게</t>
  </si>
  <si>
    <t>칠글 캐따</t>
  </si>
  <si>
    <t>칠기라 그래조 칠기(+다)</t>
  </si>
  <si>
    <t>치기라구래요 칙</t>
  </si>
  <si>
    <t>가지(枝)</t>
  </si>
  <si>
    <t>가지＇~이/나무가지＇~이</t>
  </si>
  <si>
    <t>말른가지라 그래요/마릉가지/가지치능 거요/가지가 뻐더따</t>
  </si>
  <si>
    <t>가지/가지를 확</t>
  </si>
  <si>
    <t>가지라구래지</t>
  </si>
  <si>
    <t>아지라 소나무아지/가지</t>
  </si>
  <si>
    <t>나무 가지</t>
  </si>
  <si>
    <t>끝</t>
  </si>
  <si>
    <t>나무 끋</t>
  </si>
  <si>
    <t>나무끋/끄트메기</t>
  </si>
  <si>
    <t>끋</t>
  </si>
  <si>
    <t>끄트맬 자버라/끋</t>
  </si>
  <si>
    <t>끄테~이 자버라/끄트마리라그래조</t>
  </si>
  <si>
    <t>22920-0-1</t>
  </si>
  <si>
    <t>맨:: 끄치＇ 뻬조::카＇다</t>
  </si>
  <si>
    <t>끄치라 그래/낭구끄치 부러전네/끄치라 그래지요</t>
  </si>
  <si>
    <t>나무 끄치라고 하지</t>
  </si>
  <si>
    <t>끄치</t>
  </si>
  <si>
    <t>끄치 뻬주카다</t>
  </si>
  <si>
    <t>끄시지요 머/끄치라구/끄치 공기구/끄시 베:주가다</t>
  </si>
  <si>
    <t>22920-0-2</t>
  </si>
  <si>
    <t>끄트＇ 바라</t>
  </si>
  <si>
    <t>끄철 무꾸라구래지/맨 끄츨 자브라 그래야</t>
  </si>
  <si>
    <t>끄틀 짤러따</t>
  </si>
  <si>
    <t>끄틀 자버라</t>
  </si>
  <si>
    <t>끄틀</t>
  </si>
  <si>
    <t>끄츨 짤라따</t>
  </si>
  <si>
    <t>22920-0-3</t>
  </si>
  <si>
    <t>나무 끄＇테 찔레＇따</t>
  </si>
  <si>
    <t>낭구 끄테 걸려따</t>
  </si>
  <si>
    <t>끄테</t>
  </si>
  <si>
    <t>끄테 안저라</t>
  </si>
  <si>
    <t>끄테 나가지말라구</t>
  </si>
  <si>
    <t>삭정이</t>
  </si>
  <si>
    <t>싹따＇리</t>
  </si>
  <si>
    <t>삭따리 인제 나스루 그걸 짤르지/삭따리라고 그래고</t>
  </si>
  <si>
    <t>낭그가 주거쓰~이 쭉쩡대거등/건 쭉쩡대/싹따리(죽은것)</t>
  </si>
  <si>
    <t>삭따리(+죽은 가지)/아:치(+살아있는 가지)</t>
  </si>
  <si>
    <t>싹따리를/써근거 싹따리라그래</t>
  </si>
  <si>
    <t>삭제~이라그래요/삭제~이를 딴다그래지요</t>
  </si>
  <si>
    <t>22921-1</t>
  </si>
  <si>
    <t>삭정이를 딴다/꺾다/하다</t>
  </si>
  <si>
    <t>삭따리 나스루 치니까 마~이 친다 그래지/나스루 가서 이러케 따유 그걸</t>
  </si>
  <si>
    <t>싹따릴 껑는다구/쭉쩡대 화대를 따따</t>
  </si>
  <si>
    <t>삭따리를 따온다</t>
  </si>
  <si>
    <t>싹따리를 따따</t>
  </si>
  <si>
    <t>나무</t>
  </si>
  <si>
    <t>낭그＇도 만타라</t>
  </si>
  <si>
    <t>낭구는 마~:이도 처넌네 {나무는 많이도 쳐 넣었네}/나무로 맨등 거/나무가 우거서따 그래 우거서따/낭구까지/낭구 끄테 걸려따/낭구(때는 나무)/낭구두 시무구/나무 베와야지</t>
  </si>
  <si>
    <t>낭그가 주거쓰~이 쭉쩡대거등/낭그 하날 두가지로 불르지/땔:라무/나무두 만타/나무가 만:타/나무가 만:치/낭그두 만타/낭그가 만타 그래유</t>
  </si>
  <si>
    <t>나무가 울청해다/그냥 낭구를 뚝 짤라노쿠</t>
  </si>
  <si>
    <t>낭기/나무라고/낭:그는 만날 참낭긴데/낭기 우거저따/나무두 만:타</t>
  </si>
  <si>
    <t>22922-0-1</t>
  </si>
  <si>
    <t>낭＇그 지러 와/싹따＇리를 해오너라/낭＇그 베: 오나라</t>
  </si>
  <si>
    <t>그 나무는 마~이 우거선네 그래/큰 낭글 해가주 어깨 다 미:구서는 여그다/여기 이리 때레야지 낭글/아이구 그 낭근 덤불도 마니 지네</t>
  </si>
  <si>
    <t>나무를 가주와라/낭글 막 강거서 {나무를 막 감아서}</t>
  </si>
  <si>
    <t>나물 벼:와라</t>
  </si>
  <si>
    <t>낭글</t>
  </si>
  <si>
    <t>나무가 만:타/나무로 진는다</t>
  </si>
  <si>
    <t>22922-0-2</t>
  </si>
  <si>
    <t>낭＇게 여니 걸레따/낭＇기 만타</t>
  </si>
  <si>
    <t>그건 낭구루 맨들구</t>
  </si>
  <si>
    <t>낭그에 올라가지 마라/나무에/그양 나무에 걸레따</t>
  </si>
  <si>
    <t>낭게 달리능게</t>
  </si>
  <si>
    <t>낭게 올라가지 마라</t>
  </si>
  <si>
    <t>나무에 걸레씀 나무에 걸레따</t>
  </si>
  <si>
    <t>나무하다</t>
  </si>
  <si>
    <t>나무지＇러 간다(나무하다)/나무해오나＇라</t>
  </si>
  <si>
    <t>낭구해 온다 그래/각:찌낭구 해러 간다 그래/나무해러 가따 와따구/사네 가서 나무해 온다구/낭그하러 갈 쩌게두</t>
  </si>
  <si>
    <t>나무하러 가자</t>
  </si>
  <si>
    <t>나무해러 간다</t>
  </si>
  <si>
    <t>나무하러간다</t>
  </si>
  <si>
    <t>나무해온다</t>
  </si>
  <si>
    <t>그루터기</t>
  </si>
  <si>
    <t>나무글＇기</t>
  </si>
  <si>
    <t>그루테기/나무끄루테기/나무끌기/낭구 짤른 글기</t>
  </si>
  <si>
    <t>글거리</t>
  </si>
  <si>
    <t>그루라구/나무끄루라구해구</t>
  </si>
  <si>
    <t>그르테기/나무구루가 만:타/나무글기라고</t>
  </si>
  <si>
    <t>나무구루/그루</t>
  </si>
  <si>
    <t>22924-1</t>
  </si>
  <si>
    <t>끌기＇~이</t>
  </si>
  <si>
    <t>나무미뚱이라 그래요/대미똥(제일 아래 부분)</t>
  </si>
  <si>
    <t>나무그루</t>
  </si>
  <si>
    <t>쉬시끄루</t>
  </si>
  <si>
    <t>그르테기</t>
  </si>
  <si>
    <t>등걸</t>
  </si>
  <si>
    <t>등거리/등걸</t>
  </si>
  <si>
    <t>등거지(등걸)</t>
  </si>
  <si>
    <t>등거지는</t>
  </si>
  <si>
    <t>나무등거리(+땔감)/나무토~이라그래(+남아 있는 부분)</t>
  </si>
  <si>
    <t>등거지 해와따</t>
  </si>
  <si>
    <t>장작</t>
  </si>
  <si>
    <t>장지＇기</t>
  </si>
  <si>
    <t>장적</t>
  </si>
  <si>
    <t>장제기 한단가주 오나라/장제기를 너치</t>
  </si>
  <si>
    <t>장자글 팬다/쩌갱건 장자기라구래지</t>
  </si>
  <si>
    <t>장제기</t>
  </si>
  <si>
    <t>장자기라그래 장작/장자글 뻐갠다고 장작 쩌갠다구</t>
  </si>
  <si>
    <t>패다</t>
  </si>
  <si>
    <t>패다＇라/팬다＇/패고＇ 이따</t>
  </si>
  <si>
    <t>팬다(장적을)/장적 팬다</t>
  </si>
  <si>
    <t>나무를 팬:다</t>
  </si>
  <si>
    <t>팬다/빨리 패라</t>
  </si>
  <si>
    <t>장제기 패고 이따</t>
  </si>
  <si>
    <t>패:라/팬다구 나무팬다구</t>
  </si>
  <si>
    <t>부스러기</t>
  </si>
  <si>
    <t>뿌꾸리＇기</t>
  </si>
  <si>
    <t>낭구 부시레기라 그래지 머/낭그 부스러기라 그래요</t>
  </si>
  <si>
    <t>찌거리/낭그찌께비</t>
  </si>
  <si>
    <t>부시레기</t>
  </si>
  <si>
    <t>찌지개피/나무뿌시레기라고도 한다고/나무찌지깨피그래</t>
  </si>
  <si>
    <t>씰게비</t>
  </si>
  <si>
    <t>숯</t>
  </si>
  <si>
    <t>수껑＇</t>
  </si>
  <si>
    <t>수꾼는 참나무가 이써요 {숯 굽는 참나무가 있어요}/수치여 숟/이글이글 수뿔리 피어따 그래요/창낭구루 수꾸워가지구 {참나무로 숯 구워서}/참나무숟</t>
  </si>
  <si>
    <t>수떵거리(숯)</t>
  </si>
  <si>
    <t>숟</t>
  </si>
  <si>
    <t>수떵어리/숟/여기다 수츨 지버너쿠</t>
  </si>
  <si>
    <t>22929-0-1</t>
  </si>
  <si>
    <t>수꺼＇~이 마안타/수＇치란 얘기래요</t>
  </si>
  <si>
    <t>수치여 숟/수치 만타 그래요</t>
  </si>
  <si>
    <t>수치 되지</t>
  </si>
  <si>
    <t>수치라구</t>
  </si>
  <si>
    <t>수치 까머타</t>
  </si>
  <si>
    <t>수치라그래요</t>
  </si>
  <si>
    <t>22929-0-2</t>
  </si>
  <si>
    <t>수꺼＇~으 꽈＇아라</t>
  </si>
  <si>
    <t>수츨</t>
  </si>
  <si>
    <t>수틀 고:어서 판다/수투 마리요</t>
  </si>
  <si>
    <t>수츨 군는다</t>
  </si>
  <si>
    <t>22929-0-3</t>
  </si>
  <si>
    <t>수꺼＇~에 부루 부친다</t>
  </si>
  <si>
    <t>수테 부를</t>
  </si>
  <si>
    <t>수체</t>
  </si>
  <si>
    <t>수테 부루 부친다</t>
  </si>
  <si>
    <t>수테 부리 부터다</t>
  </si>
  <si>
    <t>불잉걸</t>
  </si>
  <si>
    <t>부리＇ 잉글잉글하＇다</t>
  </si>
  <si>
    <t>수뿔덩어리라 그래조 머/황도뿔</t>
  </si>
  <si>
    <t>잉걸불</t>
  </si>
  <si>
    <t>수뿌리 잉글잉글하다</t>
  </si>
  <si>
    <t>수뿌리 조:타</t>
  </si>
  <si>
    <t>싹</t>
  </si>
  <si>
    <t>새싸＇기 난다＇/새싸＇기 나따</t>
  </si>
  <si>
    <t>싹 티운다구/감자 싹또 나오고/고추 싹또 나오고/싸기 도더 난다 그래구</t>
  </si>
  <si>
    <t>새싹/싸기 튼다</t>
  </si>
  <si>
    <t>싸기 난다/싸글 길러따</t>
  </si>
  <si>
    <t>싸기 난다</t>
  </si>
  <si>
    <t>버리싹 도다오고/버리싸기 벌써</t>
  </si>
  <si>
    <t>잎</t>
  </si>
  <si>
    <t>이피＇라 아나＇고</t>
  </si>
  <si>
    <t>이:파리 따오라고요/이:파리요</t>
  </si>
  <si>
    <t>나문닙/나문닙싸구/입싸구</t>
  </si>
  <si>
    <t>이픈 이피지/이파릴</t>
  </si>
  <si>
    <t>이파고 {잎하고}/입/나문닙</t>
  </si>
  <si>
    <t>이피 피어따</t>
  </si>
  <si>
    <t>22932-0-1</t>
  </si>
  <si>
    <t>이피＇ 널＇따/이푸＇ 따와라＇</t>
  </si>
  <si>
    <t>이피라고도 그래요 뽕닙/널른 이픈 거/나문니피 모두 도더 나네/낭구 이피자너</t>
  </si>
  <si>
    <t>사과 이플</t>
  </si>
  <si>
    <t>이피 부터이따</t>
  </si>
  <si>
    <t>이플/나무이플 따와라</t>
  </si>
  <si>
    <t>22932-1</t>
  </si>
  <si>
    <t>잎사귀</t>
  </si>
  <si>
    <t>입싸＇구/무꾸입싸＇구</t>
  </si>
  <si>
    <t>나무입싸구</t>
  </si>
  <si>
    <t>입싸굴 가따</t>
  </si>
  <si>
    <t>입싸구가/나무입싸구/조입싸구조</t>
  </si>
  <si>
    <t>입싸구</t>
  </si>
  <si>
    <t>가랑잎</t>
  </si>
  <si>
    <t>가알＇/가아＇리 마＇:~이 모예＇따라</t>
  </si>
  <si>
    <t>가랑닙/가랑니픈 자롬행 게 가랑니피구/가랑니피요/가리유/갈:리피 마~이 떠러저따 그래 갈:리피</t>
  </si>
  <si>
    <t>가랑니피/가랑닙</t>
  </si>
  <si>
    <t>가랑니피라</t>
  </si>
  <si>
    <t>가랑니피 만:타/가랑니피라구래 가랑닙</t>
  </si>
  <si>
    <t>가랑니피믄 가랑니피라그래고</t>
  </si>
  <si>
    <t>뿌리</t>
  </si>
  <si>
    <t>뿌리＇기</t>
  </si>
  <si>
    <t>뿌리가 뻐더가조/낭구뿌리</t>
  </si>
  <si>
    <t>뿌레기/뿌레기나</t>
  </si>
  <si>
    <t>뿌리라구래구/뿌레기가 이씨니까</t>
  </si>
  <si>
    <t>뿌리가 이꼬/뿌레기르</t>
  </si>
  <si>
    <t>능금</t>
  </si>
  <si>
    <t>능금＇</t>
  </si>
  <si>
    <t>능금/능그믄 요건</t>
  </si>
  <si>
    <t>능금 능그믄 아니야</t>
  </si>
  <si>
    <t>능금/능그미 머</t>
  </si>
  <si>
    <t>능그미라고 이써요/능그믄</t>
  </si>
  <si>
    <t>돌배</t>
  </si>
  <si>
    <t>똘배＇ 이씀＇미다</t>
  </si>
  <si>
    <t>신배(+구, +다)/돌배(+신, +소)/신배(+옛날부터 신배를 많이 사용, 돌배보다)/신배럴 돌배라 그래 신배/돌:배</t>
  </si>
  <si>
    <t>돌배/돌배가 이써꾸</t>
  </si>
  <si>
    <t>돌빼</t>
  </si>
  <si>
    <t>돌:배</t>
  </si>
  <si>
    <t>복숭아</t>
  </si>
  <si>
    <t>까트＇리 복쌍/복쌍도 인제 옌＇날꺼 웁＇꼬</t>
  </si>
  <si>
    <t>이건 복쑹아/어 복쑹아다</t>
  </si>
  <si>
    <t>복쑹아(+신)/복쌍(+구)</t>
  </si>
  <si>
    <t>복쏭아</t>
  </si>
  <si>
    <t>복쑹아</t>
  </si>
  <si>
    <t>곶감</t>
  </si>
  <si>
    <t>꼬깜＇</t>
  </si>
  <si>
    <t>꼬깜 항꼬지/꼬깜 항꼬지라 그래요</t>
  </si>
  <si>
    <t>꼬깜</t>
  </si>
  <si>
    <t>꼬까미라 그래</t>
  </si>
  <si>
    <t>꼬깜 꼬까미라그래지요 그건</t>
  </si>
  <si>
    <t>홍시</t>
  </si>
  <si>
    <t>홍＇실/홍＇시리 물렁물렁항기 참 머금＇직쓰럽따</t>
  </si>
  <si>
    <t>물렁한 가먼 홍시/홍시라고 마~이 씨지 홍시/홍감</t>
  </si>
  <si>
    <t>홍시리라구(+제?)</t>
  </si>
  <si>
    <t>홍실</t>
  </si>
  <si>
    <t>고욤</t>
  </si>
  <si>
    <t>굄나＇무라고 괴욈＇</t>
  </si>
  <si>
    <t>고양 {고욤}</t>
  </si>
  <si>
    <t>고얌/고야미라</t>
  </si>
  <si>
    <t>오야미라/오야미랑게</t>
  </si>
  <si>
    <t>굄:</t>
  </si>
  <si>
    <t>살구</t>
  </si>
  <si>
    <t>살구＇</t>
  </si>
  <si>
    <t>살구이써요</t>
  </si>
  <si>
    <t>앵두</t>
  </si>
  <si>
    <t>앵두＇</t>
  </si>
  <si>
    <t>앵:두는 요마쿰씨요마쿰씨</t>
  </si>
  <si>
    <t>앵두두 이써요</t>
  </si>
  <si>
    <t>자두</t>
  </si>
  <si>
    <t>꽤:/꽤＇가 참:: 만타</t>
  </si>
  <si>
    <t>자두/자두두 이꾸/자두도 이꼬요/이거 고야</t>
  </si>
  <si>
    <t>자두는</t>
  </si>
  <si>
    <t>자두요</t>
  </si>
  <si>
    <t>고야/자도</t>
  </si>
  <si>
    <t>오얏</t>
  </si>
  <si>
    <t>*(+제보자가 모름.)</t>
  </si>
  <si>
    <t>고야</t>
  </si>
  <si>
    <t>지끔 얘:기하는 꽤나무가</t>
  </si>
  <si>
    <t>고얘/고야</t>
  </si>
  <si>
    <t>꽤</t>
  </si>
  <si>
    <t>매:주/고야</t>
  </si>
  <si>
    <t>23010-0-1</t>
  </si>
  <si>
    <t>고야두 이꾸</t>
  </si>
  <si>
    <t>고얘라(+재래종)</t>
  </si>
  <si>
    <t>꽤가 만:타</t>
  </si>
  <si>
    <t>매:주는(+사과나무처럼 생긴 나무에서 나옴.)</t>
  </si>
  <si>
    <t>석류</t>
  </si>
  <si>
    <t>그건＇ 성뉴＇고요</t>
  </si>
  <si>
    <t>성뉴</t>
  </si>
  <si>
    <t>*/형뇨</t>
  </si>
  <si>
    <t>모과</t>
  </si>
  <si>
    <t>모오＇괘</t>
  </si>
  <si>
    <t>모:가 {모과}/그걸가주 모과래</t>
  </si>
  <si>
    <t>모:개</t>
  </si>
  <si>
    <t>모과 모과(+제?)</t>
  </si>
  <si>
    <t>모:가</t>
  </si>
  <si>
    <t>과일</t>
  </si>
  <si>
    <t>과＇아＇이리며는/과아＇실</t>
  </si>
  <si>
    <t>과이리라 그래덩가/과이리라 그래지/삼색꽈일</t>
  </si>
  <si>
    <t>푸꽈일/과:실</t>
  </si>
  <si>
    <t>과:이리라고</t>
  </si>
  <si>
    <t>과:일</t>
  </si>
  <si>
    <t>꼭지</t>
  </si>
  <si>
    <t>꼭따＇리르 따라/꼭＇찌나 꼭따＇리</t>
  </si>
  <si>
    <t>꼭찌/감꼭찌</t>
  </si>
  <si>
    <t>꼭찌/사과 꼭찔 {사과꼭지를}</t>
  </si>
  <si>
    <t>꼭찌</t>
  </si>
  <si>
    <t>꼭따리</t>
  </si>
  <si>
    <t>꼭찌라그래지요</t>
  </si>
  <si>
    <t>밤</t>
  </si>
  <si>
    <t>참＇밤</t>
  </si>
  <si>
    <t>밤:</t>
  </si>
  <si>
    <t>바:멀/바:미</t>
  </si>
  <si>
    <t>바:미</t>
  </si>
  <si>
    <t>바:미 마시따</t>
  </si>
  <si>
    <t>23015-1</t>
  </si>
  <si>
    <t>밤송이</t>
  </si>
  <si>
    <t>소＇~이(밤송이)/밤소＇~이</t>
  </si>
  <si>
    <t>밤:쑁이/밤쏭이/밤쏭이지 머</t>
  </si>
  <si>
    <t>밤:쏭가리/밤:송가리/밤쏘~이</t>
  </si>
  <si>
    <t>밤 송아리</t>
  </si>
  <si>
    <t>방꼬세~이고</t>
  </si>
  <si>
    <t>밤:쏭아리</t>
  </si>
  <si>
    <t>23015-2</t>
  </si>
  <si>
    <t>풋밤</t>
  </si>
  <si>
    <t>아, 푸빰＇</t>
  </si>
  <si>
    <t>품빰(+익지 않았을 때)/푸빰</t>
  </si>
  <si>
    <t>푸빰</t>
  </si>
  <si>
    <t>푸빠미라</t>
  </si>
  <si>
    <t>푸빰:</t>
  </si>
  <si>
    <t>23015-3</t>
  </si>
  <si>
    <t>알밤</t>
  </si>
  <si>
    <t>바아＇미 만타라/차아＇레기</t>
  </si>
  <si>
    <t>알감/그게 이러케 알가미/알가미 도더써 {알밤이 돋았어}</t>
  </si>
  <si>
    <t>바:말</t>
  </si>
  <si>
    <t>알:가미라구래/알바미지</t>
  </si>
  <si>
    <t>23015-4</t>
  </si>
  <si>
    <t>쌍동밤</t>
  </si>
  <si>
    <t>쌍두＇~이밤</t>
  </si>
  <si>
    <t>쌍되~이/쌍둥이바미라 그래요</t>
  </si>
  <si>
    <t>쌍데~이밤</t>
  </si>
  <si>
    <t>쌍동이라</t>
  </si>
  <si>
    <t>쌍되~이밤</t>
  </si>
  <si>
    <t>쌍뎅이밤/쌍데~이밤</t>
  </si>
  <si>
    <t>보늬</t>
  </si>
  <si>
    <t>보무＇리</t>
  </si>
  <si>
    <t>아이 밤 속:꺼푸리지 머/속:꺼풀 거꺼풀 이러자너/속:껍떼기</t>
  </si>
  <si>
    <t>밤고무리 마저</t>
  </si>
  <si>
    <t>버물/버무리래능거구</t>
  </si>
  <si>
    <t>허무리라고 밤허물</t>
  </si>
  <si>
    <t>속:껍쭐</t>
  </si>
  <si>
    <t>호두</t>
  </si>
  <si>
    <t>추＇지</t>
  </si>
  <si>
    <t>호두/호두 호두</t>
  </si>
  <si>
    <t>그건 호두야</t>
  </si>
  <si>
    <t>가래(秋子)</t>
  </si>
  <si>
    <t>가래</t>
  </si>
  <si>
    <t>가래여 가래/가래(열매)</t>
  </si>
  <si>
    <t>개암</t>
  </si>
  <si>
    <t>깨금＇</t>
  </si>
  <si>
    <t>깨금/그건 깨금/깨굼</t>
  </si>
  <si>
    <t>이게 개그미여/개금/깨금</t>
  </si>
  <si>
    <t>개금</t>
  </si>
  <si>
    <t>깨금</t>
  </si>
  <si>
    <t>머루</t>
  </si>
  <si>
    <t>멀구＇</t>
  </si>
  <si>
    <t>머루/머루는 까머케 이꾸 그래요 {머루는 까맣게 익고 그래요}/산머루</t>
  </si>
  <si>
    <t>멀구 머루/산머루</t>
  </si>
  <si>
    <t>멀구</t>
  </si>
  <si>
    <t>다래</t>
  </si>
  <si>
    <t>다래＇</t>
  </si>
  <si>
    <t>다래는 요거마쿰 파러쿠 {다래는 이거만큼 파랗고}/요게 다래나무</t>
  </si>
  <si>
    <t>청미래덩굴</t>
  </si>
  <si>
    <t>튕과리 덤불 {청미래덩굴}</t>
  </si>
  <si>
    <t>으름</t>
  </si>
  <si>
    <t>어우＇룸</t>
  </si>
  <si>
    <t>글쎄 이게 으:름 가튼데</t>
  </si>
  <si>
    <t>참외</t>
  </si>
  <si>
    <t>차뫼＇</t>
  </si>
  <si>
    <t>차메/차뫼</t>
  </si>
  <si>
    <t>외</t>
  </si>
  <si>
    <t>차무/차뫼(+여)/차메</t>
  </si>
  <si>
    <t>외:도 아니고/이건 차뫼</t>
  </si>
  <si>
    <t>차뭬</t>
  </si>
  <si>
    <t>딸기</t>
  </si>
  <si>
    <t>그냥 딸</t>
  </si>
  <si>
    <t>멍석딸구/딸:구/딸:기요 딸:기/산딸기/이건 멍석딸구라 그래고</t>
  </si>
  <si>
    <t>딸:귀여/딸:구나</t>
  </si>
  <si>
    <t>멍석딸구네/낭구딸기는/딸:구/나무딸기두 이꾸/낭구딸구</t>
  </si>
  <si>
    <t>딸:기</t>
  </si>
  <si>
    <t>23025-1</t>
  </si>
  <si>
    <t>딸기(밭)_재배</t>
  </si>
  <si>
    <t>나무＇따리리고(+일명 복분자라고 함.)</t>
  </si>
  <si>
    <t>23025-2</t>
  </si>
  <si>
    <t>딸기(밭)_야생</t>
  </si>
  <si>
    <t>따알＇</t>
  </si>
  <si>
    <t>바딸기요</t>
  </si>
  <si>
    <t>23025-3</t>
  </si>
  <si>
    <t>딸기(들)_재배</t>
  </si>
  <si>
    <t>딸:기라(+들에 나는 것.)</t>
  </si>
  <si>
    <t>23025-4</t>
  </si>
  <si>
    <t>딸기(들)_야생</t>
  </si>
  <si>
    <t>수＇딸</t>
  </si>
  <si>
    <t>이걸가주 멍석딸구라 그래(들에 나는 딸기)</t>
  </si>
  <si>
    <t>멍덜딸:구(+들, 오랍들에 있음)</t>
  </si>
  <si>
    <t>딸:기라그래요 산딸기라구(+들에 나는 것)</t>
  </si>
  <si>
    <t>23025-5</t>
  </si>
  <si>
    <t>딸기(산)_재배</t>
  </si>
  <si>
    <t>딸:기라그래지요(+재배한 산딸기)</t>
  </si>
  <si>
    <t>23025-6</t>
  </si>
  <si>
    <t>딸기(산)-야생</t>
  </si>
  <si>
    <t>따알＇/고무＇따른 골짜＇기/따아＇리요</t>
  </si>
  <si>
    <t>산딸구</t>
  </si>
  <si>
    <t>산딸구두 이꾸</t>
  </si>
  <si>
    <t>산딸구라구래고/딸:구라그래는데(+산에 남)/딸:구(+산에 남)</t>
  </si>
  <si>
    <t>산딸기</t>
  </si>
  <si>
    <t>뱀딸기</t>
  </si>
  <si>
    <t>개애＇미딸</t>
  </si>
  <si>
    <t>개:미딸구</t>
  </si>
  <si>
    <t>뱀:딸구(+?제)</t>
  </si>
  <si>
    <t>중에딸기라그래요</t>
  </si>
  <si>
    <t>마름(菱)</t>
  </si>
  <si>
    <t>산꼭대기</t>
  </si>
  <si>
    <t>상꼭때＇게/그 산 꼭떼＇기 참 올＇라가보~이 노푸＇다라</t>
  </si>
  <si>
    <t>꼭때기에 올라간다 그래조/봉오리 꼭때기</t>
  </si>
  <si>
    <t>산꼭때기 올라가가라</t>
  </si>
  <si>
    <t>상꼭때기 올라가지 마러</t>
  </si>
  <si>
    <t>상꼭떼기</t>
  </si>
  <si>
    <t>봉두라지/맨꼭때기는</t>
  </si>
  <si>
    <t>기슭</t>
  </si>
  <si>
    <t>지＇시리/지＇슬그마 {기슭을만}/지실카＇~아/지＇실기</t>
  </si>
  <si>
    <t>지슬기라고도 해고요</t>
  </si>
  <si>
    <t>산끼슬</t>
  </si>
  <si>
    <t>지슬</t>
  </si>
  <si>
    <t>산지실커리</t>
  </si>
  <si>
    <t>지실가리라고 쓰는데</t>
  </si>
  <si>
    <t>23102-0-1</t>
  </si>
  <si>
    <t>지＇실게/지＇슬그 {기슭을}</t>
  </si>
  <si>
    <t>산 지실기라고도 해고/산찌슬기</t>
  </si>
  <si>
    <t>산끼스른 인제 머</t>
  </si>
  <si>
    <t>산지스레/기스레</t>
  </si>
  <si>
    <t>산지실커리라고</t>
  </si>
  <si>
    <t>산지실가리라고그래는데</t>
  </si>
  <si>
    <t>골짜기</t>
  </si>
  <si>
    <t>골짜기＇~이</t>
  </si>
  <si>
    <t>산골짜구니</t>
  </si>
  <si>
    <t>고:리라 그래지 머/골짜기/산 골:</t>
  </si>
  <si>
    <t>골짜구니라구래는데</t>
  </si>
  <si>
    <t>골짜구니라고하지</t>
  </si>
  <si>
    <t>골짜구니가</t>
  </si>
  <si>
    <t>메아리</t>
  </si>
  <si>
    <t>산미아＇리</t>
  </si>
  <si>
    <t>메아리/미아리는 인제 애더리 이러케 소릴 질르먼 저기서 울리자너 그거가주 미아리라구</t>
  </si>
  <si>
    <t>사눌림/사눌리미라 그래지</t>
  </si>
  <si>
    <t>미아리친다</t>
  </si>
  <si>
    <t>사니 울례서</t>
  </si>
  <si>
    <t>고함</t>
  </si>
  <si>
    <t>과＇암 친다/과＇암 지른다</t>
  </si>
  <si>
    <t>고암 질른다구두 해요</t>
  </si>
  <si>
    <t>고함쏘리</t>
  </si>
  <si>
    <t>고래 질른다/고아미라구/괌:</t>
  </si>
  <si>
    <t>고암</t>
  </si>
  <si>
    <t>고암도 질른다구허구</t>
  </si>
  <si>
    <t>23105-1</t>
  </si>
  <si>
    <t>(고함) 치다/지르다/하다</t>
  </si>
  <si>
    <t>소릴 고래고래 질르니/소리 질른다 그래조/고함 질른다구</t>
  </si>
  <si>
    <t>고하믈 처따</t>
  </si>
  <si>
    <t>고암 질른다</t>
  </si>
  <si>
    <t>고암지르지 마러라</t>
  </si>
  <si>
    <t>괌:도 질른다고</t>
  </si>
  <si>
    <t>묘</t>
  </si>
  <si>
    <t>메에＇/산＇소</t>
  </si>
  <si>
    <t>미: {묘}/미어지 {묘지}</t>
  </si>
  <si>
    <t>무더미라구(+학식 있는 사람들이 씀)/무이(+학식이 없는 사람들이 씀)/무이라구</t>
  </si>
  <si>
    <t>묘:라고</t>
  </si>
  <si>
    <t>묘:지/묘:라고도허구 묘:지라고허고</t>
  </si>
  <si>
    <t>묏자리</t>
  </si>
  <si>
    <t>산＇지(묫자리)/메에＇짜리</t>
  </si>
  <si>
    <t>산 자리 보러</t>
  </si>
  <si>
    <t>메:짜리</t>
  </si>
  <si>
    <t>무이짜리</t>
  </si>
  <si>
    <t>묘:짜리</t>
  </si>
  <si>
    <t>산짜리/산짜리보러 댕긴다</t>
  </si>
  <si>
    <t>23107-1</t>
  </si>
  <si>
    <t>광중</t>
  </si>
  <si>
    <t>내오굳＇/내＇오구시라능거는</t>
  </si>
  <si>
    <t>광중안/광중아니라고 해요</t>
  </si>
  <si>
    <t>미:꾸데~이/천:광꾸데~이</t>
  </si>
  <si>
    <t>내:광</t>
  </si>
  <si>
    <t>청과~이라고/청광</t>
  </si>
  <si>
    <t>청:과~이라그래 청:광/내우층광</t>
  </si>
  <si>
    <t>구덩이</t>
  </si>
  <si>
    <t>구디＇~이 판다</t>
  </si>
  <si>
    <t>신체 모실라구 구뎅이 파따 그래요</t>
  </si>
  <si>
    <t>구더~이지/구데~이</t>
  </si>
  <si>
    <t>구덩이가 생기지</t>
  </si>
  <si>
    <t>구데~이</t>
  </si>
  <si>
    <t>구데~이를 파야지</t>
  </si>
  <si>
    <t>비탈</t>
  </si>
  <si>
    <t>삐＇탈/삐＇타리 저가주고/삐＇타리#</t>
  </si>
  <si>
    <t>산삐얄/비야리 야깐 진다/비야리 저서 힘들다 그래지/비타리 저서/산삐야리라 그래요/산 이 비야레다</t>
  </si>
  <si>
    <t>삼비야리라 해구</t>
  </si>
  <si>
    <t>비타리 저따</t>
  </si>
  <si>
    <t>산삐얄/산 비얄</t>
  </si>
  <si>
    <t>가파르다</t>
  </si>
  <si>
    <t>까파릅＇따라/까파루＇와</t>
  </si>
  <si>
    <t>까팔지다구/까파르지다/까파르다 그래조</t>
  </si>
  <si>
    <t>가팔러서/들: 가팔르다</t>
  </si>
  <si>
    <t>강파러서/강파르다</t>
  </si>
  <si>
    <t>각빠르다/너머 각빨러서</t>
  </si>
  <si>
    <t>까팔라서/까파르다</t>
  </si>
  <si>
    <t>언덕</t>
  </si>
  <si>
    <t>언덕빠＇지/언더＇기라고/언덕빼＇기</t>
  </si>
  <si>
    <t>언더걸 올러간다구</t>
  </si>
  <si>
    <t>언더기라능건</t>
  </si>
  <si>
    <t>언더게 올라가지 마라</t>
  </si>
  <si>
    <t>언더기 저따</t>
  </si>
  <si>
    <t>낭떠러지</t>
  </si>
  <si>
    <t>낭떠＇러지</t>
  </si>
  <si>
    <t>낭떠러지기라 구래구</t>
  </si>
  <si>
    <t>낭떠러지기</t>
  </si>
  <si>
    <t>낭떠러지라</t>
  </si>
  <si>
    <t>낭떠러저따고</t>
  </si>
  <si>
    <t>사태빱(+산이 갑자기 가파르고 낭떠러지가 있는 곳)/낭떠러지기</t>
  </si>
  <si>
    <t>들(野)</t>
  </si>
  <si>
    <t>드으＇리 널따</t>
  </si>
  <si>
    <t>들:파니 널러 조타 그래요</t>
  </si>
  <si>
    <t>드:리 널따</t>
  </si>
  <si>
    <t>드:리 널따/들:로</t>
  </si>
  <si>
    <t>드:리 널따/들:판</t>
  </si>
  <si>
    <t>그냥 드:리 널따</t>
  </si>
  <si>
    <t>23113-0-1</t>
  </si>
  <si>
    <t>드으＇레 간다＇</t>
  </si>
  <si>
    <t>드:리 널따구/드:리 널르다구래구</t>
  </si>
  <si>
    <t>드:레 가서 이를 한다</t>
  </si>
  <si>
    <t>드:레/드:레 가서 놀자/드:리 널따</t>
  </si>
  <si>
    <t>드레가서 이란다</t>
  </si>
  <si>
    <t>드:레두/어느 들:루 가믄</t>
  </si>
  <si>
    <t>버얼＇/버＇다~이/버＇다~이 널＇따</t>
  </si>
  <si>
    <t>벌파니 널르다구두 해구요</t>
  </si>
  <si>
    <t>건 버더~이지/버덩</t>
  </si>
  <si>
    <t>벌파니라</t>
  </si>
  <si>
    <t>벌판</t>
  </si>
  <si>
    <t>시어::넌 벌판</t>
  </si>
  <si>
    <t>갈림길</t>
  </si>
  <si>
    <t>갈림＇낄</t>
  </si>
  <si>
    <t>갈림끼리유/세 갈래낄</t>
  </si>
  <si>
    <t>가름배~이/상가름배~이(세 갈래 길)/가름질</t>
  </si>
  <si>
    <t>쌍가달래(+＇세갈래길＇을 뜻함)/갈래찌리 이꾸</t>
  </si>
  <si>
    <t>갈림끼른/쌍가달찌리라고/상거리라고 {삼거리라고}</t>
  </si>
  <si>
    <t>쌍가달배기/쌍가달 질</t>
  </si>
  <si>
    <t>헤어지다</t>
  </si>
  <si>
    <t>헤＇에지며는</t>
  </si>
  <si>
    <t>헤:저따 그래조</t>
  </si>
  <si>
    <t>헤:저서 지베</t>
  </si>
  <si>
    <t>헤:진다</t>
  </si>
  <si>
    <t>헤:진다그래자너</t>
  </si>
  <si>
    <t>헤:진다구</t>
  </si>
  <si>
    <t>바위</t>
  </si>
  <si>
    <t>바＇~우하고 또까치＇ 생게따/방＇우</t>
  </si>
  <si>
    <t>바우요</t>
  </si>
  <si>
    <t>바우</t>
  </si>
  <si>
    <t>바우지</t>
  </si>
  <si>
    <t>바우는 모:뜰고/바우지</t>
  </si>
  <si>
    <t>바우 바위라그래요</t>
  </si>
  <si>
    <t>23117-0-1</t>
  </si>
  <si>
    <t>이 바＇~우느</t>
  </si>
  <si>
    <t>바우럴/큰 바우라 그래요</t>
  </si>
  <si>
    <t>바우를 드러따</t>
  </si>
  <si>
    <t>바우가 크다</t>
  </si>
  <si>
    <t>바위가 크다</t>
  </si>
  <si>
    <t>23117-0-2</t>
  </si>
  <si>
    <t>바＇~우에 안자＇따</t>
  </si>
  <si>
    <t>바우에 안저따</t>
  </si>
  <si>
    <t>바우예 걸처따</t>
  </si>
  <si>
    <t>바우에</t>
  </si>
  <si>
    <t>바우에 걸체안자따</t>
  </si>
  <si>
    <t>돌(石)</t>
  </si>
  <si>
    <t>도오＇리 만타/돌메＇~이가 마안＇타라/돌미＇~이</t>
  </si>
  <si>
    <t>도:리지</t>
  </si>
  <si>
    <t>돌:보더 큰/돌:보덤</t>
  </si>
  <si>
    <t>돌:</t>
  </si>
  <si>
    <t>23118-0-1</t>
  </si>
  <si>
    <t>도오＇르 던제라</t>
  </si>
  <si>
    <t>도:리라구 그래구</t>
  </si>
  <si>
    <t>도:를 드러다</t>
  </si>
  <si>
    <t>도:를 골라따</t>
  </si>
  <si>
    <t>도:를 던저다</t>
  </si>
  <si>
    <t>도:리 만타</t>
  </si>
  <si>
    <t>23118-0-2</t>
  </si>
  <si>
    <t>도오＇레 마＇자따</t>
  </si>
  <si>
    <t>도:레 안저따</t>
  </si>
  <si>
    <t>도:레 쉐:따/도:리 크다 바우가 크다</t>
  </si>
  <si>
    <t>도:레 마자따</t>
  </si>
  <si>
    <t>자갈</t>
  </si>
  <si>
    <t>자＇가리 마안＇타라</t>
  </si>
  <si>
    <t>자갈/짜로망 건 자가리라 그래고요</t>
  </si>
  <si>
    <t>자가리야/모래자갈</t>
  </si>
  <si>
    <t>재가리라그래고/재갈보다더</t>
  </si>
  <si>
    <t>자갈 망:쿠/자가리라그래지요</t>
  </si>
  <si>
    <t>모래</t>
  </si>
  <si>
    <t>모＇래/몰개＇미</t>
  </si>
  <si>
    <t>강에 모새/모래</t>
  </si>
  <si>
    <t>모래를 파라</t>
  </si>
  <si>
    <t>모래보덤 흘기게찌</t>
  </si>
  <si>
    <t>모새 망:쿠</t>
  </si>
  <si>
    <t>23120-0-1</t>
  </si>
  <si>
    <t>몰개＇미르 가주와라</t>
  </si>
  <si>
    <t>모래럴 이러케 해/모새도 망:코</t>
  </si>
  <si>
    <t>모래를</t>
  </si>
  <si>
    <t>바다에 가먼 모래가 만:타</t>
  </si>
  <si>
    <t>모새가 만:치요</t>
  </si>
  <si>
    <t>진흙</t>
  </si>
  <si>
    <t>진:흘/지인＇흘기</t>
  </si>
  <si>
    <t>진흑</t>
  </si>
  <si>
    <t>지:느기지/지:늑/진:흑/진:흐이기 만:타</t>
  </si>
  <si>
    <t>진흐기라구</t>
  </si>
  <si>
    <t>진흑/진흘기지/진흘기라고</t>
  </si>
  <si>
    <t>지:느기 만:타/지:늑</t>
  </si>
  <si>
    <t>23121-1</t>
  </si>
  <si>
    <t>찰흙</t>
  </si>
  <si>
    <t>찰흘/찰흐＇기 마안＇타</t>
  </si>
  <si>
    <t>차르기요/차륵또 이써요</t>
  </si>
  <si>
    <t>차질/찰흑/차지리지.</t>
  </si>
  <si>
    <t>찰흘기라구</t>
  </si>
  <si>
    <t>차지리라그래 차질/차지리꾸</t>
  </si>
  <si>
    <t>물</t>
  </si>
  <si>
    <t>무리＇ 된다/무루＇ 마세야지요</t>
  </si>
  <si>
    <t>물두 마시구</t>
  </si>
  <si>
    <t>무를 마시고</t>
  </si>
  <si>
    <t>무를 멍는다</t>
  </si>
  <si>
    <t>무리 만타/무루 마신다</t>
  </si>
  <si>
    <t>물 마시지요/무리 만:타</t>
  </si>
  <si>
    <t>거품</t>
  </si>
  <si>
    <t>거＇품</t>
  </si>
  <si>
    <t>비누거품</t>
  </si>
  <si>
    <t>거푸미 생긴다</t>
  </si>
  <si>
    <t>거푸미 생기지요</t>
  </si>
  <si>
    <t>개운하다</t>
  </si>
  <si>
    <t>깨우나＇다</t>
  </si>
  <si>
    <t>개운해다구</t>
  </si>
  <si>
    <t>시눠나다 마:~이 그래지</t>
  </si>
  <si>
    <t>개운해다</t>
  </si>
  <si>
    <t>캐움하다</t>
  </si>
  <si>
    <t>거뜨터다/개운하다쏘리나 그거나 가튼 소린데</t>
  </si>
  <si>
    <t>도랑</t>
  </si>
  <si>
    <t>도랑＇/또랑＇은 머＇얼 보고 또랑이라 하냐며는 거라＇~이 아닌/거랑＇물</t>
  </si>
  <si>
    <t>고:랑/고:랑은/고:랑이라구</t>
  </si>
  <si>
    <t>도랑/보또라~이지</t>
  </si>
  <si>
    <t>도랑/도랑으로/도랑이라/도랑을</t>
  </si>
  <si>
    <t>물또랑/도라~이라그래고</t>
  </si>
  <si>
    <t>또랑물</t>
  </si>
  <si>
    <t>23204-1</t>
  </si>
  <si>
    <t>봇도랑</t>
  </si>
  <si>
    <t>논또랑＇</t>
  </si>
  <si>
    <t>보또랑도</t>
  </si>
  <si>
    <t>보또랑</t>
  </si>
  <si>
    <t>보또랑이구</t>
  </si>
  <si>
    <t>고고 인제 보또라~이라고</t>
  </si>
  <si>
    <t>보뜨랑/그뚜 도랑이라고</t>
  </si>
  <si>
    <t>둑</t>
  </si>
  <si>
    <t>제방뚝＇</t>
  </si>
  <si>
    <t>둑 싼다 그래요 둑</t>
  </si>
  <si>
    <t>뚜글 싼는다</t>
  </si>
  <si>
    <t>뚜기</t>
  </si>
  <si>
    <t>뚜기 무너진다</t>
  </si>
  <si>
    <t>뚜기 터저따</t>
  </si>
  <si>
    <t>잠기다</t>
  </si>
  <si>
    <t>무레 장게＇에따</t>
  </si>
  <si>
    <t>쟁겨따고도 해고/무레 쟁겨따고</t>
  </si>
  <si>
    <t>쟁긴다</t>
  </si>
  <si>
    <t>잠게따고/무레다 쟁게따</t>
  </si>
  <si>
    <t>무레 쟁기기두허구</t>
  </si>
  <si>
    <t>개울</t>
  </si>
  <si>
    <t>거랑＇물</t>
  </si>
  <si>
    <t>개우른 킁 거거요/개우리고(+강보다 적음)/개우레/개우레서 빠라찌 머/개울 근네/개우른 널븡 게 개우리고요</t>
  </si>
  <si>
    <t>개울/개우리라고 하지</t>
  </si>
  <si>
    <t>개처느로 흘러나가/개우리라그래(+도랑이 모여서 개울이 되고 개울이 모여서 강이 된다)</t>
  </si>
  <si>
    <t>개우루/개우리라고 개울</t>
  </si>
  <si>
    <t>개우리고/기낭 개우리라그래요</t>
  </si>
  <si>
    <t>내(川)</t>
  </si>
  <si>
    <t>내애＇까에</t>
  </si>
  <si>
    <t>시냄무리라 그래요/냄:물 흐른다 이래구</t>
  </si>
  <si>
    <t>킁개우리라 그래요</t>
  </si>
  <si>
    <t>내:까/내:까이라고 그래고</t>
  </si>
  <si>
    <t>개우리라그래지요(+＇내＇라는 말을 거의 쓰지 않음.)</t>
  </si>
  <si>
    <t>미역 감다</t>
  </si>
  <si>
    <t>목깜는＇다</t>
  </si>
  <si>
    <t>애더럴 보고는 미역 깜는다고</t>
  </si>
  <si>
    <t>야 미역까므러 가자/미역깜:다 그래지/미역 깜는다/미여깜는다</t>
  </si>
  <si>
    <t>멱:까므러간대능거</t>
  </si>
  <si>
    <t>미여카러 가자/미여기라그래요</t>
  </si>
  <si>
    <t>미역깜는다구/모굑헌다그래요</t>
  </si>
  <si>
    <t>발가숭이</t>
  </si>
  <si>
    <t>뺄거디＇~이</t>
  </si>
  <si>
    <t>벌거숭이</t>
  </si>
  <si>
    <t>쌀몸때~이(벌거숭이)/빨가두~이라 마:~이 그래지/버성거 벌거수~이/벌거수~이라 그래지</t>
  </si>
  <si>
    <t>뻘거데~이라구래얘지</t>
  </si>
  <si>
    <t>빨간도~이/빨간되~이</t>
  </si>
  <si>
    <t>벌거둥이라</t>
  </si>
  <si>
    <t>목욕하다</t>
  </si>
  <si>
    <t>모용 마＇제요/모요하＇러/모요＇글 보＇고</t>
  </si>
  <si>
    <t>으:르는 모요캔다 그래고/모요캔다 그래지요 {목욕한다}</t>
  </si>
  <si>
    <t>모욕한다/모요글</t>
  </si>
  <si>
    <t>모요캐러간다/모요캔다</t>
  </si>
  <si>
    <t>빨가버꼬 모욕한다</t>
  </si>
  <si>
    <t>모굑헌다구/씬능걸 모교기라하고/모굑씨긴다구 허구</t>
  </si>
  <si>
    <t>수채</t>
  </si>
  <si>
    <t>수채구영＇</t>
  </si>
  <si>
    <t>수채 꾸녕이라구</t>
  </si>
  <si>
    <t>거 수채라고</t>
  </si>
  <si>
    <t>수채/수채가 매케따</t>
  </si>
  <si>
    <t>꾸정무리라구/수채라그래요</t>
  </si>
  <si>
    <t>개골창</t>
  </si>
  <si>
    <t>지대＇르 보고 개굴차~＇이라래는데요</t>
  </si>
  <si>
    <t>개굴창이라고</t>
  </si>
  <si>
    <t>개굴창</t>
  </si>
  <si>
    <t>시궁창</t>
  </si>
  <si>
    <t>시궁＇차~아</t>
  </si>
  <si>
    <t>웅덩이라 그래구/시궁창배께 더 돼요/시궁창이라 그래대요</t>
  </si>
  <si>
    <t>시금창이</t>
  </si>
  <si>
    <t>시금창</t>
  </si>
  <si>
    <t>웅덩이</t>
  </si>
  <si>
    <t>물웅＇디~이</t>
  </si>
  <si>
    <t>움데~이</t>
  </si>
  <si>
    <t>움덩이/움뎅이라구</t>
  </si>
  <si>
    <t>움데~이 괴에따</t>
  </si>
  <si>
    <t>웅뎅이</t>
  </si>
  <si>
    <t>수렁</t>
  </si>
  <si>
    <t>수렁＇</t>
  </si>
  <si>
    <t>수꾸덩이(허리까지 빠지는 곳)</t>
  </si>
  <si>
    <t>수:렁</t>
  </si>
  <si>
    <t>수:라구래/수(+이 지역에서는 ＇수렁＇과 ＇늪＇을 구별하지 않음)</t>
  </si>
  <si>
    <t>수럭/수러기라그래요</t>
  </si>
  <si>
    <t>수렁에도 함번 빠저 봐:써요</t>
  </si>
  <si>
    <t>늪</t>
  </si>
  <si>
    <t>예 늡찌대＇가 마안＇타/느피＇</t>
  </si>
  <si>
    <t>거 느피라능거/소가 아주 {늪이 아주}</t>
  </si>
  <si>
    <t>느피라고</t>
  </si>
  <si>
    <t>느픈 이찌요</t>
  </si>
  <si>
    <t>23217-0-1</t>
  </si>
  <si>
    <t>느피＇ 마안＇타/느페＇ 느페＇ 빠저따</t>
  </si>
  <si>
    <t>느피래능 건</t>
  </si>
  <si>
    <t>느페 바저다</t>
  </si>
  <si>
    <t>느페 빠저따</t>
  </si>
  <si>
    <t>느피라능게</t>
  </si>
  <si>
    <t>배(船)</t>
  </si>
  <si>
    <t>배가＇ 떠이따</t>
  </si>
  <si>
    <t>배요</t>
  </si>
  <si>
    <t>배/배가 마꾸</t>
  </si>
  <si>
    <t>배/배가 만타</t>
  </si>
  <si>
    <t>배가 떠이따</t>
  </si>
  <si>
    <t>배</t>
  </si>
  <si>
    <t>나루터</t>
  </si>
  <si>
    <t>나루＇터</t>
  </si>
  <si>
    <t>나루터요 나루터</t>
  </si>
  <si>
    <t>나루터지</t>
  </si>
  <si>
    <t>배 터</t>
  </si>
  <si>
    <t>돛</t>
  </si>
  <si>
    <t>돋</t>
  </si>
  <si>
    <t>도따러따구 {돛 달았다고}</t>
  </si>
  <si>
    <t>도틀 달지/도슬 올려라</t>
  </si>
  <si>
    <t>23220-0-1</t>
  </si>
  <si>
    <t>도＇틀/도＇테/도＇츨 다라＇따 도＇츨 올＇레라</t>
  </si>
  <si>
    <t>도철 단다구/도철 내린다 그래대요</t>
  </si>
  <si>
    <t>도테</t>
  </si>
  <si>
    <t>배가 도시 놉따</t>
  </si>
  <si>
    <t>돛대</t>
  </si>
  <si>
    <t>도＇때</t>
  </si>
  <si>
    <t>돋 따는 대</t>
  </si>
  <si>
    <t>돋때다/도때에 달린</t>
  </si>
  <si>
    <t>그거 도때지</t>
  </si>
  <si>
    <t>돋때</t>
  </si>
  <si>
    <t>23221-0-1</t>
  </si>
  <si>
    <t>돛배</t>
  </si>
  <si>
    <t>도＇딴배/돋＇딴배</t>
  </si>
  <si>
    <t>도딴배/도딴배요</t>
  </si>
  <si>
    <t>도때배/도딴배라 하능게 나:</t>
  </si>
  <si>
    <t>도때배라구래지</t>
  </si>
  <si>
    <t>도빼라고 하게쪼(+?제)</t>
  </si>
  <si>
    <t>돋빼</t>
  </si>
  <si>
    <t>돛 줄</t>
  </si>
  <si>
    <t>도＇때 줄</t>
  </si>
  <si>
    <t>그게 도쭈라녀 {그것이 돛줄 아니야}</t>
  </si>
  <si>
    <t>도때주리라구래나(?제?)</t>
  </si>
  <si>
    <t>닻줄</t>
  </si>
  <si>
    <t>따＇쭐</t>
  </si>
  <si>
    <t>다쭈리</t>
  </si>
  <si>
    <t>닫/다쭈리라그래지요</t>
  </si>
  <si>
    <t>거루</t>
  </si>
  <si>
    <t>나루빼조</t>
  </si>
  <si>
    <t>쪽빼</t>
  </si>
  <si>
    <t>상앗대</t>
  </si>
  <si>
    <t>사때지를 해야 가자너 {삿대질을 해야 가잖아}/사:때요</t>
  </si>
  <si>
    <t>도때</t>
  </si>
  <si>
    <t>노:리 질:다/놀: 롤/노:를 즌는다고</t>
  </si>
  <si>
    <t>개펄</t>
  </si>
  <si>
    <t>개뻘＇</t>
  </si>
  <si>
    <t>개뻐리라</t>
  </si>
  <si>
    <t>개뻘</t>
  </si>
  <si>
    <t>개뻐리라구</t>
  </si>
  <si>
    <t>개뻐리라고/개뻐레 드러가서</t>
  </si>
  <si>
    <t>뭍</t>
  </si>
  <si>
    <t>묻/무치라구</t>
  </si>
  <si>
    <t>23228-0-1</t>
  </si>
  <si>
    <t>무＇테</t>
  </si>
  <si>
    <t>육찌 나와따구</t>
  </si>
  <si>
    <t>무치루 나가자</t>
  </si>
  <si>
    <t>밀물</t>
  </si>
  <si>
    <t>밀＇물 썰물</t>
  </si>
  <si>
    <t>썰물</t>
  </si>
  <si>
    <t>빠지능 게 썰무리/썰물</t>
  </si>
  <si>
    <t>썰무리라구허구</t>
  </si>
  <si>
    <t>가라앉다</t>
  </si>
  <si>
    <t>까라안지＇지요/까라안지＇능 게 아~이＇고</t>
  </si>
  <si>
    <t>가라안쪼</t>
  </si>
  <si>
    <t>까라안는다/까라안찌</t>
  </si>
  <si>
    <t>가라안찌/가라안자서</t>
  </si>
  <si>
    <t>가라안는다/가라안즐래기지</t>
  </si>
  <si>
    <t>가란찌요/가란는다그래지</t>
  </si>
  <si>
    <t>그물</t>
  </si>
  <si>
    <t>그물＇ 친다</t>
  </si>
  <si>
    <t>그무리요/그물두 던지구/그물 말고</t>
  </si>
  <si>
    <t>구물</t>
  </si>
  <si>
    <t>그물/그무리고</t>
  </si>
  <si>
    <t>그물 그무리라그래</t>
  </si>
  <si>
    <t>해녀</t>
  </si>
  <si>
    <t>해애＇녀</t>
  </si>
  <si>
    <t>해:녀요</t>
  </si>
  <si>
    <t>해:녀</t>
  </si>
  <si>
    <t>해:여아니야</t>
  </si>
  <si>
    <t>새벽</t>
  </si>
  <si>
    <t>새버＇게/새벅＇</t>
  </si>
  <si>
    <t>새벼게 간다구/새벼기라 그래는데/새벼기라 그래요</t>
  </si>
  <si>
    <t>새복</t>
  </si>
  <si>
    <t>새보게 인나따/새복/어제 새버게는</t>
  </si>
  <si>
    <t>새벽밥</t>
  </si>
  <si>
    <t>새벅빱(+할머니)</t>
  </si>
  <si>
    <t>새벽빱/새벽쪼반 멍는다 그래대요</t>
  </si>
  <si>
    <t>새벽빠블 머꾸/새벽빱</t>
  </si>
  <si>
    <t>새복빠비라구</t>
  </si>
  <si>
    <t>아침보더 더 이르먼 새복빠비 아~이여/새복빰 멍는다</t>
  </si>
  <si>
    <t>새벽빱</t>
  </si>
  <si>
    <t>아침</t>
  </si>
  <si>
    <t>아침＇</t>
  </si>
  <si>
    <t>아침 아뇨 아침</t>
  </si>
  <si>
    <t>아침/아치게</t>
  </si>
  <si>
    <t>아치무로</t>
  </si>
  <si>
    <t>아치메 인난다</t>
  </si>
  <si>
    <t>아침밥</t>
  </si>
  <si>
    <t>아침 멍는＇다</t>
  </si>
  <si>
    <t>아침바비라구두 해구/조:반/아치미라고</t>
  </si>
  <si>
    <t>아침빠비지</t>
  </si>
  <si>
    <t>아침빱/조반</t>
  </si>
  <si>
    <t>아침 멍는다/아치미다/아침식싸</t>
  </si>
  <si>
    <t>아침빱</t>
  </si>
  <si>
    <t>점심</t>
  </si>
  <si>
    <t>저엉＇슴/저엉＇스무 암머＇가따/저엉＇승/즈응＇슴/저엉＇심</t>
  </si>
  <si>
    <t>점:심/즘:심/증:슴때</t>
  </si>
  <si>
    <t>증:심/증스믈 먹떤지 기래라/정:심</t>
  </si>
  <si>
    <t>즘:심/즘:심빠비라</t>
  </si>
  <si>
    <t>정:심멍는다/증:심 멍는다</t>
  </si>
  <si>
    <t>점:슴</t>
  </si>
  <si>
    <t>저녁</t>
  </si>
  <si>
    <t>지넉＇</t>
  </si>
  <si>
    <t>저녀기라 그래구/제녀기라 그래구/제녀기라구두 그래구 저녀기라구두/초지녁</t>
  </si>
  <si>
    <t>지약/지야게 이마난 참나무를 {저녁에 이만한 참나무를}/저냐게도 줘/지야근 모르겐데 {저녁은 모르겠는데}/지야게도 인제</t>
  </si>
  <si>
    <t>저냑/저낙빠비라구/저나게</t>
  </si>
  <si>
    <t>저녁/오후이 되먼 저낙/저낙때</t>
  </si>
  <si>
    <t>지냐키래구두허구 저녁빠비라구두/저낙빱/지낙빠비라구</t>
  </si>
  <si>
    <t>설핏하다</t>
  </si>
  <si>
    <t>살푸타＇다 마제 살푸타＇다</t>
  </si>
  <si>
    <t>그느러진다/해가 그느타다이래/해가 그느러진다</t>
  </si>
  <si>
    <t>노을</t>
  </si>
  <si>
    <t>나불＇/나부＇리 서따</t>
  </si>
  <si>
    <t>노:리 시먼 {노을이 서면}</t>
  </si>
  <si>
    <t>저냥 놀:/저녕노리 서따 야/저냥노리</t>
  </si>
  <si>
    <t>그걸 노:리라구래 놀:</t>
  </si>
  <si>
    <t>저낭노리</t>
  </si>
  <si>
    <t>놀:</t>
  </si>
  <si>
    <t>23308-0-1</t>
  </si>
  <si>
    <t>나부＇리선다</t>
  </si>
  <si>
    <t>노:리 시먼 벌거요/노:리라 그래요 벌거케/노:리 신다 그래지/노:리 서따구</t>
  </si>
  <si>
    <t>노:를 바라</t>
  </si>
  <si>
    <t>노:를 본다</t>
  </si>
  <si>
    <t>저낭노:으리라한다고/저낭노:리라한다 이래지</t>
  </si>
  <si>
    <t>노:를 봐라</t>
  </si>
  <si>
    <t>불그레하다</t>
  </si>
  <si>
    <t>뺄::거＇치요</t>
  </si>
  <si>
    <t>불그레해요</t>
  </si>
  <si>
    <t>얼구리 벌거하다</t>
  </si>
  <si>
    <t>발거수룸해요</t>
  </si>
  <si>
    <t>구리미 빨거타/구리미 발:겅기 아주</t>
  </si>
  <si>
    <t>불구무레해요</t>
  </si>
  <si>
    <t>해거름</t>
  </si>
  <si>
    <t>질무렵 해질＇무렵</t>
  </si>
  <si>
    <t>해거루미라</t>
  </si>
  <si>
    <t>땅거미</t>
  </si>
  <si>
    <t>땅꺼＇무 진＇다/땅꺼＇미진다</t>
  </si>
  <si>
    <t>땅꺼미</t>
  </si>
  <si>
    <t>땅꺼미가 내려따 땅꺼미</t>
  </si>
  <si>
    <t>해무럽</t>
  </si>
  <si>
    <t>땅꺼미랑건</t>
  </si>
  <si>
    <t>봄</t>
  </si>
  <si>
    <t>보믈＇ 마지해따/봄도＇ 온다</t>
  </si>
  <si>
    <t>보미 온다구</t>
  </si>
  <si>
    <t>보메 노꼬/봄</t>
  </si>
  <si>
    <t>봄/보미 오지</t>
  </si>
  <si>
    <t>보미 도라와따/보미지요/봄</t>
  </si>
  <si>
    <t>여름</t>
  </si>
  <si>
    <t>여＇름/여＇르메는</t>
  </si>
  <si>
    <t>고 다으멘 여르미 오고/갈:게나 그렁 게 이찌 머 여르메/여르메 짤꾸</t>
  </si>
  <si>
    <t>여름/여르메 오지</t>
  </si>
  <si>
    <t>여름/여르미 오구</t>
  </si>
  <si>
    <t>더위</t>
  </si>
  <si>
    <t>더＇우/더＇우가 기승＇을 부린＇다</t>
  </si>
  <si>
    <t>저기 더우가 오래간다</t>
  </si>
  <si>
    <t>더우가</t>
  </si>
  <si>
    <t>더우/더위가 오래간다</t>
  </si>
  <si>
    <t>더우가 시마다</t>
  </si>
  <si>
    <t>더위가 올거라/더 더위가</t>
  </si>
  <si>
    <t>추위</t>
  </si>
  <si>
    <t>추우＇가</t>
  </si>
  <si>
    <t>추우먼 추우가 오래간다</t>
  </si>
  <si>
    <t>추우가 오지/추:가 오래간다</t>
  </si>
  <si>
    <t>추: {추위}/추위가/그 추우를 잘 이게라</t>
  </si>
  <si>
    <t>추위가 올거라</t>
  </si>
  <si>
    <t>가을</t>
  </si>
  <si>
    <t>가알＇/가을＇</t>
  </si>
  <si>
    <t>가을/갈:버텅/갈:기지/갈:도 질:다라/갈:기 되문/가으리지</t>
  </si>
  <si>
    <t>가을/가실그로 인제</t>
  </si>
  <si>
    <t>가을/가으리 도라온다</t>
  </si>
  <si>
    <t>23316-0-1</t>
  </si>
  <si>
    <t>가알＇기 돼:따/가알＇게 가안＇다/가알＇그는/초가＇알부터</t>
  </si>
  <si>
    <t>갈:게나 그렁 게 이찌 머 여르메/갈:게 하능 건 웁써/갈:기 오고/가:레 {가을에}</t>
  </si>
  <si>
    <t>갈:게/갈:게 아이</t>
  </si>
  <si>
    <t>가으레/초갈:게는/갈:게 수ㅕ:유 {가을에 쉬어요.}</t>
  </si>
  <si>
    <t>가을기 젤:시원하지/가실게 시무는/갈:게 가는/가을게</t>
  </si>
  <si>
    <t>가으레 추수한다</t>
  </si>
  <si>
    <t>겨울</t>
  </si>
  <si>
    <t>저＇울/삼동＇</t>
  </si>
  <si>
    <t>겨울기 춥따/겨울버텅</t>
  </si>
  <si>
    <t>겨울/저우내나</t>
  </si>
  <si>
    <t>겨을</t>
  </si>
  <si>
    <t>겨우리 되믄/겨울</t>
  </si>
  <si>
    <t>23317-0-1</t>
  </si>
  <si>
    <t>겨울게느(+할머니)/삼도＇~이라/저＇울게</t>
  </si>
  <si>
    <t>겨울기나/겨우리 오고</t>
  </si>
  <si>
    <t>겨울게 어르미 언:다/겨울기니까/겨울게 얼:지</t>
  </si>
  <si>
    <t>겨우레 누:니 온다구/겨울게 머글라구</t>
  </si>
  <si>
    <t>겨을게는/겨울기지</t>
  </si>
  <si>
    <t>겨울게/겨우레/겨우레 내린다</t>
  </si>
  <si>
    <t>얼음</t>
  </si>
  <si>
    <t>어＇르미/어름＇</t>
  </si>
  <si>
    <t>어르미주</t>
  </si>
  <si>
    <t>어르미라 그래지</t>
  </si>
  <si>
    <t>어르미 언다</t>
  </si>
  <si>
    <t>어리미 얼:머는</t>
  </si>
  <si>
    <t>어름</t>
  </si>
  <si>
    <t>오늘</t>
  </si>
  <si>
    <t>오＇늘/오＇눌 물바~＇아 메＇주를좀 빠＇까야되게따. {오늘 물레방아 메주를 좀 빻아야 되겠다.}</t>
  </si>
  <si>
    <t>오느른 파뤌 삼시빌/오느리유/오늘/오눌</t>
  </si>
  <si>
    <t>오느리지</t>
  </si>
  <si>
    <t>오누리먼/오눌 파뤌시보일</t>
  </si>
  <si>
    <t>오눌</t>
  </si>
  <si>
    <t>내일</t>
  </si>
  <si>
    <t>내＇애리까＇지 끈내＇라/내＇앨 쭘 장에 가끼＇~이요/이이＇른 내＇애리 꼭 끈내＇라/야~ 내＇앨＇모레 보＇루미대이./내＇일</t>
  </si>
  <si>
    <t>낼:모레/낼모레두 간다구/내:리 벌초하는 나리자나 {내일이 벌초하는 날이잖아}/우리두 내:른 애드리 오겐네 {우리도 내일은 애들이 오겠네}</t>
  </si>
  <si>
    <t>낼:</t>
  </si>
  <si>
    <t>난 낼: 모 심넌다 인제 {난 내일 모 심는다}/내:른/내이리라구/내:리라</t>
  </si>
  <si>
    <t>낼:/내일</t>
  </si>
  <si>
    <t xml:space="preserve">모레 </t>
  </si>
  <si>
    <t>모래＇</t>
  </si>
  <si>
    <t>모레</t>
  </si>
  <si>
    <t>모:레/모레</t>
  </si>
  <si>
    <t>글피</t>
  </si>
  <si>
    <t>글패＇</t>
  </si>
  <si>
    <t>글페/글피</t>
  </si>
  <si>
    <t>글피/글피가</t>
  </si>
  <si>
    <t>고다음날 글패</t>
  </si>
  <si>
    <t>그글피</t>
  </si>
  <si>
    <t>그지끼</t>
  </si>
  <si>
    <t>글피 그글피</t>
  </si>
  <si>
    <t>그글패</t>
  </si>
  <si>
    <t xml:space="preserve">어제 </t>
  </si>
  <si>
    <t>어＇제/어＇제 자＇~아 가따 와씀미다</t>
  </si>
  <si>
    <t>어제/어저께/어제전날</t>
  </si>
  <si>
    <t>으:제</t>
  </si>
  <si>
    <t>어제 와따</t>
  </si>
  <si>
    <t>어:제</t>
  </si>
  <si>
    <t>어제</t>
  </si>
  <si>
    <t>그저께</t>
  </si>
  <si>
    <t>그＇재/그＇제</t>
  </si>
  <si>
    <t>그저께/그저께전나리라구</t>
  </si>
  <si>
    <t>그저깨</t>
  </si>
  <si>
    <t>그그저께</t>
  </si>
  <si>
    <t>그그＇재/저그＇재</t>
  </si>
  <si>
    <t>그그저께/그끄저께라구래구</t>
  </si>
  <si>
    <t>그::그저께/그그저께</t>
  </si>
  <si>
    <t>그그저께 봐따</t>
  </si>
  <si>
    <t>그그저깨</t>
  </si>
  <si>
    <t>훗날</t>
  </si>
  <si>
    <t>후운＇날</t>
  </si>
  <si>
    <t>훈:날</t>
  </si>
  <si>
    <t>훈:날 만내자</t>
  </si>
  <si>
    <t>먼:후이레 만내지/훈:날로 만내자/훈:나레 만내자</t>
  </si>
  <si>
    <t>후:예</t>
  </si>
  <si>
    <t>하룻날</t>
  </si>
  <si>
    <t>초하룬＇날</t>
  </si>
  <si>
    <t>하룬날/초하루</t>
  </si>
  <si>
    <t>하룬날</t>
  </si>
  <si>
    <t>하른날</t>
  </si>
  <si>
    <t>이튿날</t>
  </si>
  <si>
    <t>초이＇튼날</t>
  </si>
  <si>
    <t>고 기튼날/이튼날/초읻틀/초이틀</t>
  </si>
  <si>
    <t>이튼날</t>
  </si>
  <si>
    <t>사흗날</t>
  </si>
  <si>
    <t>초사＇흔날/초사＇한날</t>
  </si>
  <si>
    <t>초사흘</t>
  </si>
  <si>
    <t>사흘랄</t>
  </si>
  <si>
    <t>사흔날</t>
  </si>
  <si>
    <t>나흗날</t>
  </si>
  <si>
    <t>초나＇한날</t>
  </si>
  <si>
    <t>나흔나리 까치슬라리여/초나흘</t>
  </si>
  <si>
    <t>나흔날</t>
  </si>
  <si>
    <t>나흘 날</t>
  </si>
  <si>
    <t>닷샛날</t>
  </si>
  <si>
    <t>초 다＇쌘날</t>
  </si>
  <si>
    <t>초다쌔</t>
  </si>
  <si>
    <t>다쌘날</t>
  </si>
  <si>
    <t>다쎈날</t>
  </si>
  <si>
    <t>엿샛날</t>
  </si>
  <si>
    <t>여＇쌘날</t>
  </si>
  <si>
    <t>초여쌔</t>
  </si>
  <si>
    <t>여쌘날</t>
  </si>
  <si>
    <t>여쎈날</t>
  </si>
  <si>
    <t>이렛날</t>
  </si>
  <si>
    <t>이＇랜날</t>
  </si>
  <si>
    <t>초이레</t>
  </si>
  <si>
    <t>이렌날</t>
  </si>
  <si>
    <t>여드렛날</t>
  </si>
  <si>
    <t>여＇드랜날</t>
  </si>
  <si>
    <t>초여드레</t>
  </si>
  <si>
    <t>여드렌날</t>
  </si>
  <si>
    <t>여드렌날/파릴랄</t>
  </si>
  <si>
    <t>아흐렛날</t>
  </si>
  <si>
    <t>아＇흐랜날</t>
  </si>
  <si>
    <t>아:레 초아레</t>
  </si>
  <si>
    <t>아:렌날</t>
  </si>
  <si>
    <t>아흐렌날</t>
  </si>
  <si>
    <t>아:렌날/구일</t>
  </si>
  <si>
    <t>열흘날</t>
  </si>
  <si>
    <t>열＇흔날</t>
  </si>
  <si>
    <t>고 다으메는 초여를</t>
  </si>
  <si>
    <t>여를 날</t>
  </si>
  <si>
    <t>열흘랄</t>
  </si>
  <si>
    <t>시빌/열흘랄</t>
  </si>
  <si>
    <t>하루</t>
  </si>
  <si>
    <t>하루＇/초할＇리</t>
  </si>
  <si>
    <t>이틀</t>
  </si>
  <si>
    <t>이＇틀/이＇틀 사＇흘 나＇할 다＇쌔 여＇쌔</t>
  </si>
  <si>
    <t>사흘</t>
  </si>
  <si>
    <t>그냥 사＇할/이＇틀 사＇흘 나＇할 다＇쌔 여＇쌔</t>
  </si>
  <si>
    <t>나흘</t>
  </si>
  <si>
    <t>이＇틀 사＇흘 나＇할 다＇쌔 여＇쌔/나＇을</t>
  </si>
  <si>
    <t>나흘/고 다으멘 나흘</t>
  </si>
  <si>
    <t>닷새</t>
  </si>
  <si>
    <t>다＇쌔/이＇틀 사＇흘 나＇할 다＇쌔 여＇쌔</t>
  </si>
  <si>
    <t>닫쌔</t>
  </si>
  <si>
    <t>다쌔</t>
  </si>
  <si>
    <t>다쎄</t>
  </si>
  <si>
    <t>엿새</t>
  </si>
  <si>
    <t>엳＇쌔/이＇틀 사＇흘 나＇할 다＇쌔 여＇쌔</t>
  </si>
  <si>
    <t>여쌔/엳쌔</t>
  </si>
  <si>
    <t>여쐐</t>
  </si>
  <si>
    <t>여쎄</t>
  </si>
  <si>
    <t>여쌔</t>
  </si>
  <si>
    <t>이레</t>
  </si>
  <si>
    <t>이＇레/이＇래</t>
  </si>
  <si>
    <t>여드레</t>
  </si>
  <si>
    <t>여＇드레/여＇드래</t>
  </si>
  <si>
    <t>아흐레</t>
  </si>
  <si>
    <t>아＇흐레/아흐래</t>
  </si>
  <si>
    <t>아:레/아흐레</t>
  </si>
  <si>
    <t>아으레/아:레</t>
  </si>
  <si>
    <t>아:레</t>
  </si>
  <si>
    <t>아:래</t>
  </si>
  <si>
    <t>열흘</t>
  </si>
  <si>
    <t>초여＇를 여＇를/초여＇르/여＇흘</t>
  </si>
  <si>
    <t>열흘/그리고 열흘</t>
  </si>
  <si>
    <t>여흘</t>
  </si>
  <si>
    <t>한나절</t>
  </si>
  <si>
    <t>한나＇절</t>
  </si>
  <si>
    <t>한나절 반/한나저리</t>
  </si>
  <si>
    <t>이르 한나절해따</t>
  </si>
  <si>
    <t>한나절행건 한나저리라그래구</t>
  </si>
  <si>
    <t>23348-1</t>
  </si>
  <si>
    <t>반나절</t>
  </si>
  <si>
    <t>바안＇나지리/바안＇나절/어＇제는 바안＇나지리</t>
  </si>
  <si>
    <t>반:나절</t>
  </si>
  <si>
    <t>반:절</t>
  </si>
  <si>
    <t>그믐</t>
  </si>
  <si>
    <t>그뭄＇/그뭄＇이</t>
  </si>
  <si>
    <t>그뭄</t>
  </si>
  <si>
    <t>그뭄날</t>
  </si>
  <si>
    <t>그무미다/그뭄날</t>
  </si>
  <si>
    <t>23349-1</t>
  </si>
  <si>
    <t>그믐께</t>
  </si>
  <si>
    <t>그뭄＇저깨/그뭄＇저께</t>
  </si>
  <si>
    <t>그뭄께라 그래</t>
  </si>
  <si>
    <t>그뭄께</t>
  </si>
  <si>
    <t>그뭉께</t>
  </si>
  <si>
    <t>지금</t>
  </si>
  <si>
    <t>지금＇ 바부＇ 머가＇요/시방＇ 바부＇ 머가＇요/지금 곧 밤머＇글라그래./우리＇는 지금＇ 저엉＇심 멍는＇대이</t>
  </si>
  <si>
    <t>지끔 어디 가실라 그러세유?/지꿈 글씨 씨능구나/시방 내뵈기찌 {지금 내복 있지}</t>
  </si>
  <si>
    <t>지끔 밤머글라고 한다/지금</t>
  </si>
  <si>
    <t>지끔 멍넌다/지끄믄/지끄미야</t>
  </si>
  <si>
    <t>지금 머글라고 한다/지금 해:라</t>
  </si>
  <si>
    <t>지금 일해라/지금 눌러 일해라</t>
  </si>
  <si>
    <t>아직</t>
  </si>
  <si>
    <t>저엉＇시문 안＇주 안머＇가따</t>
  </si>
  <si>
    <t>안자근 그래두 내가 해가주구 머꾸 잘 사런는데</t>
  </si>
  <si>
    <t>난 아주 암 바써. {난 아직 안 봤어.}/때가 안돼서 아주 암머거다 {때가 안되어서 아직 안 먹었다}</t>
  </si>
  <si>
    <t>바블 안저거 암머거서</t>
  </si>
  <si>
    <t>아즉 한시간더 이써야 바브 멍는다/아직 암만나써/아주 암만내써?</t>
  </si>
  <si>
    <t>아직 장가 모까써./밤머글때가 아주 안돼따/아징 모까써.</t>
  </si>
  <si>
    <t>이제</t>
  </si>
  <si>
    <t>나＇는 인제/인제 나머＇지 도니니까 거스르미라고도 하거든뇨</t>
  </si>
  <si>
    <t>인제 엄마가 소널 노치/인젠 늘거서</t>
  </si>
  <si>
    <t>이제는 아~이 쓴다/인제는 아~이 쓴다</t>
  </si>
  <si>
    <t>인제 멍넌다</t>
  </si>
  <si>
    <t>인제 바블 머거따</t>
  </si>
  <si>
    <t>얘:드라 인제 밤먹짜</t>
  </si>
  <si>
    <t>이미</t>
  </si>
  <si>
    <t>하＇마 바브 머가＇따</t>
  </si>
  <si>
    <t>이미 때는 느저따</t>
  </si>
  <si>
    <t>이미 벌써 때가 느저따</t>
  </si>
  <si>
    <t>요즈음</t>
  </si>
  <si>
    <t>요지＇메/너＇는 요지＇메 머＇하나?</t>
  </si>
  <si>
    <t>요주:미지</t>
  </si>
  <si>
    <t>요주멘 우투케 지내나/요줌:/요주믄 우트게 지내느냐?</t>
  </si>
  <si>
    <t>요줌 어떠케 지내나?</t>
  </si>
  <si>
    <t>요:즘 자린나?</t>
  </si>
  <si>
    <t>금방</t>
  </si>
  <si>
    <t>인재＇ 망＇금 완능＇가/망＇금 머가＇따</t>
  </si>
  <si>
    <t>금방 지내가따</t>
  </si>
  <si>
    <t>금방 머거따</t>
  </si>
  <si>
    <t>금방 머꼬 와따</t>
  </si>
  <si>
    <t>금시 머꾸와따/우정 거 눌궤가주구 {금방 밥을 눌려서}/금시 머거따</t>
  </si>
  <si>
    <t>볕</t>
  </si>
  <si>
    <t>뺄래도 해뼈시/비철</t>
  </si>
  <si>
    <t>야 해삗</t>
  </si>
  <si>
    <t>해뼈시 조:와서/볃</t>
  </si>
  <si>
    <t>23401-0-1</t>
  </si>
  <si>
    <t>베＇치</t>
  </si>
  <si>
    <t>해삐치 잘 든다</t>
  </si>
  <si>
    <t>해뼈시 잘든다</t>
  </si>
  <si>
    <t>해삐치 잘드능고세</t>
  </si>
  <si>
    <t>벼치 조:타</t>
  </si>
  <si>
    <t>23401-0-2</t>
  </si>
  <si>
    <t>베＇틀</t>
  </si>
  <si>
    <t>해뻬테 {햇볕에}</t>
  </si>
  <si>
    <t>해삐틀 쬐인다</t>
  </si>
  <si>
    <t>해뼈세 말린다</t>
  </si>
  <si>
    <t>해삐테 말리조/해삐츨 쪼인다</t>
  </si>
  <si>
    <t>벼츨 쐐:라</t>
  </si>
  <si>
    <t>따스하다</t>
  </si>
  <si>
    <t>따시＇다</t>
  </si>
  <si>
    <t>날씨가 따시다</t>
  </si>
  <si>
    <t>따드태지/따드태다</t>
  </si>
  <si>
    <t>날씨가 뜨시다/따뜨타다</t>
  </si>
  <si>
    <t>따뜨터다</t>
  </si>
  <si>
    <t>아지랑이</t>
  </si>
  <si>
    <t>아지래＇~이</t>
  </si>
  <si>
    <t>아주라줄핸다고 아지랑이</t>
  </si>
  <si>
    <t>아지라~이</t>
  </si>
  <si>
    <t>아지랭이/아지래~이라</t>
  </si>
  <si>
    <t>아지레~이</t>
  </si>
  <si>
    <t>아지랭이</t>
  </si>
  <si>
    <t>응달</t>
  </si>
  <si>
    <t>음＇다레도</t>
  </si>
  <si>
    <t>응:지(+다)/응:달(+소)/응달</t>
  </si>
  <si>
    <t>음달</t>
  </si>
  <si>
    <t>음달/음다리 저따</t>
  </si>
  <si>
    <t>양달</t>
  </si>
  <si>
    <t>양＇지</t>
  </si>
  <si>
    <t>양지</t>
  </si>
  <si>
    <t>양지쪽/양지가 잘 드는</t>
  </si>
  <si>
    <t>비(雨)</t>
  </si>
  <si>
    <t>비가＇ 와가주＇고/가알＇삐</t>
  </si>
  <si>
    <t>비가 마니 온다구</t>
  </si>
  <si>
    <t>비</t>
  </si>
  <si>
    <t>비가 마니 와따</t>
  </si>
  <si>
    <t>비가 주룩죽룩 와따</t>
  </si>
  <si>
    <t>비가 와따</t>
  </si>
  <si>
    <t>가랑비</t>
  </si>
  <si>
    <t>가랑＇비(+신)/갈강＇비가(+구)/깔끄랑＇비는/가랑＇비라는 거슨(+신)</t>
  </si>
  <si>
    <t>갈강비</t>
  </si>
  <si>
    <t>가랑비가 이꾸</t>
  </si>
  <si>
    <t>이슬비</t>
  </si>
  <si>
    <t>이＇슬비는</t>
  </si>
  <si>
    <t>이실비</t>
  </si>
  <si>
    <t>이실비 다으멘 머</t>
  </si>
  <si>
    <t>안개</t>
  </si>
  <si>
    <t>아앙＇개</t>
  </si>
  <si>
    <t>앙:개가/앙:개가 찌어따</t>
  </si>
  <si>
    <t>고:랑개 {골짜기 안개}/앙:개</t>
  </si>
  <si>
    <t>앙:개</t>
  </si>
  <si>
    <t>앙:개비가 이써요/앙:개라</t>
  </si>
  <si>
    <t>는개</t>
  </si>
  <si>
    <t>앙＇개오줌＇이라는/앙＇개오짐＇이 능개＇르 보고(+다)/능개＇(+소)/능개＇는 앙＇개오줌＇</t>
  </si>
  <si>
    <t>능개비</t>
  </si>
  <si>
    <t>우네가 마:이 께:따</t>
  </si>
  <si>
    <t>무지개</t>
  </si>
  <si>
    <t>무지개가</t>
  </si>
  <si>
    <t>무지게</t>
  </si>
  <si>
    <t>무지개 바가따그래요</t>
  </si>
  <si>
    <t>소나기</t>
  </si>
  <si>
    <t>소내＇기(+다)/소낙＇삐(+소)/쏘내＇기(+다)</t>
  </si>
  <si>
    <t>소낙삐는 막 쏘다저 굴근비가</t>
  </si>
  <si>
    <t>소나기가 내린다/소나기두 이꾸</t>
  </si>
  <si>
    <t>쏘내기라구랜다구</t>
  </si>
  <si>
    <t>쏘낙삐/쏘내기</t>
  </si>
  <si>
    <t>쏘나기라그래고/소낙삐가 오고이따</t>
  </si>
  <si>
    <t>갑자기</t>
  </si>
  <si>
    <t>쏘나＇기가 갑짜＇기 온다＇(+할머니)</t>
  </si>
  <si>
    <t>갑:짝쓰레 내린다/갑짝스럽께 내린다</t>
  </si>
  <si>
    <t>갑짜기 오자너 쏘내기는</t>
  </si>
  <si>
    <t>갑짜기 쏘내기가 내린다</t>
  </si>
  <si>
    <t>갑짜기 쏘다저따</t>
  </si>
  <si>
    <t>홍수</t>
  </si>
  <si>
    <t>개륵 해애＇따/홍＇수/개륵＇(+홍수보다 더 크게 일어나는 현상)</t>
  </si>
  <si>
    <t>홍수 나따 그래요</t>
  </si>
  <si>
    <t>홍수/큼물</t>
  </si>
  <si>
    <t>홍수라 그래지 인젠</t>
  </si>
  <si>
    <t>홍수나 포라기나/홍수가/홍수가 나따/포락(+홍수보다 좀더 거침)/포라기 나간다고</t>
  </si>
  <si>
    <t>홍수 나따그래고/포라기 나가따</t>
  </si>
  <si>
    <t>번개</t>
  </si>
  <si>
    <t>벙개＇</t>
  </si>
  <si>
    <t>벙개</t>
  </si>
  <si>
    <t>번들개</t>
  </si>
  <si>
    <t>벙개친다</t>
  </si>
  <si>
    <t>천둥</t>
  </si>
  <si>
    <t>천＇도~이/천＇동</t>
  </si>
  <si>
    <t>천둥쏘리</t>
  </si>
  <si>
    <t>천둥이라</t>
  </si>
  <si>
    <t>천동한다</t>
  </si>
  <si>
    <t>벼락</t>
  </si>
  <si>
    <t>베랑＇ 마＇자딴다. {벼락 맞았단다}/베락＇ 친다＇</t>
  </si>
  <si>
    <t>베락치능 겅가</t>
  </si>
  <si>
    <t>베락 치능거</t>
  </si>
  <si>
    <t>베락친다구</t>
  </si>
  <si>
    <t>베라기 마자따/베라게 마자 주거따</t>
  </si>
  <si>
    <t>벼락친다구</t>
  </si>
  <si>
    <t>무섭다</t>
  </si>
  <si>
    <t>무＇숩따라/무＇수와사/무＇수우니/무＇숙꼬/무＇습따/무＇숩떠라</t>
  </si>
  <si>
    <t>그게 미섭때 그게/미서운지 누가 해 봔는지 몰러두/솔개미가 무섭짜너/무섭찌</t>
  </si>
  <si>
    <t>무섭따/무서워 무서워</t>
  </si>
  <si>
    <t>미수꾸/미수워해니까/미숩따</t>
  </si>
  <si>
    <t>너무 무숩따/무서워서/너무도 미숩따</t>
  </si>
  <si>
    <t>미습따/미숩따</t>
  </si>
  <si>
    <t>함박눈</t>
  </si>
  <si>
    <t>허깨＇눈(+아주 굵은데 솜처럼 잘 모이지 않는 눈)/허깨＇비눈</t>
  </si>
  <si>
    <t>함방눈</t>
  </si>
  <si>
    <t>함방누니 젤: 크지/함빡눈</t>
  </si>
  <si>
    <t>함방누니라구</t>
  </si>
  <si>
    <t>함박 눈</t>
  </si>
  <si>
    <t>함방눈두 이꾸</t>
  </si>
  <si>
    <t>싸락눈</t>
  </si>
  <si>
    <t>싸랑＇눈</t>
  </si>
  <si>
    <t>싸레기</t>
  </si>
  <si>
    <t>싸랑눈</t>
  </si>
  <si>
    <t>싸레기누니구</t>
  </si>
  <si>
    <t>싸래기눈/싸랑눈/싸랑누니라 그래고</t>
  </si>
  <si>
    <t>싸랑눈두 이꾸</t>
  </si>
  <si>
    <t>발자국</t>
  </si>
  <si>
    <t>발짜구＇</t>
  </si>
  <si>
    <t>발짜욱/발짜국</t>
  </si>
  <si>
    <t>신발짜우기 남찌/발짜욱</t>
  </si>
  <si>
    <t>발짜구라구래지</t>
  </si>
  <si>
    <t>발짜구/발짜구가 남:는다</t>
  </si>
  <si>
    <t>발짜기 만:타/발짝</t>
  </si>
  <si>
    <t>진눈깨비</t>
  </si>
  <si>
    <t>징갈＇피</t>
  </si>
  <si>
    <t>징갈비</t>
  </si>
  <si>
    <t>징갈피</t>
  </si>
  <si>
    <t>징:갈비가 온다</t>
  </si>
  <si>
    <t>그건 징갈비라그래고</t>
  </si>
  <si>
    <t>진:눈</t>
  </si>
  <si>
    <t>우박</t>
  </si>
  <si>
    <t>유리＇ 유리/유리＇(+구, +소)/우우＇박이라고도 하＇고(+신, +다)</t>
  </si>
  <si>
    <t>유리</t>
  </si>
  <si>
    <t>우:박/누리가</t>
  </si>
  <si>
    <t>유:리그래 유:리라구래</t>
  </si>
  <si>
    <t>느리 느리라구랜다구</t>
  </si>
  <si>
    <t>우:박 온다그래요</t>
  </si>
  <si>
    <t>고드름</t>
  </si>
  <si>
    <t>고드＇름</t>
  </si>
  <si>
    <t>고두레미</t>
  </si>
  <si>
    <t>고두레미구</t>
  </si>
  <si>
    <t>고드래미라고 고드래미</t>
  </si>
  <si>
    <t>고두레미가 마:니 달레따</t>
  </si>
  <si>
    <t>햇무리</t>
  </si>
  <si>
    <t>햄머＇리가</t>
  </si>
  <si>
    <t>해가 뜰 쩨 햄무리라 그래고</t>
  </si>
  <si>
    <t>해물 에워따</t>
  </si>
  <si>
    <t>해무지라</t>
  </si>
  <si>
    <t>햄무리 오머는/햄무리 오능거</t>
  </si>
  <si>
    <t>햄물 에워따/햄무를 봐:따</t>
  </si>
  <si>
    <t>달무리</t>
  </si>
  <si>
    <t>달머＇리/달머＇리가 마:~이 에＇와따</t>
  </si>
  <si>
    <t>다리 뜨먼 달무리라 그래고</t>
  </si>
  <si>
    <t>달물 에워따</t>
  </si>
  <si>
    <t>달무지</t>
  </si>
  <si>
    <t>달무레</t>
  </si>
  <si>
    <t>달물 에워따/달무를 봐:라</t>
  </si>
  <si>
    <t>둥글다</t>
  </si>
  <si>
    <t>똥그러＇타/둥＇구러/둥＇굴고</t>
  </si>
  <si>
    <t>똥그라치</t>
  </si>
  <si>
    <t>둥글고</t>
  </si>
  <si>
    <t>둥구래서 조타/둥그러치/둥굴다구</t>
  </si>
  <si>
    <t>동그러타/동그러코/돌개빠라미라고</t>
  </si>
  <si>
    <t>똥그러치요/둥굴다구두 허구</t>
  </si>
  <si>
    <t>은하수</t>
  </si>
  <si>
    <t>으나＇수</t>
  </si>
  <si>
    <t>으나수라 그래 그걸</t>
  </si>
  <si>
    <t>으나수</t>
  </si>
  <si>
    <t>으나수/은하수</t>
  </si>
  <si>
    <t>금성</t>
  </si>
  <si>
    <t>새애＇뼐/새애＇삘/새애＇삐＇리</t>
  </si>
  <si>
    <t>새벽뼐</t>
  </si>
  <si>
    <t>새:뼐</t>
  </si>
  <si>
    <t>초지낙뻴/새복뻴</t>
  </si>
  <si>
    <t>가뭄</t>
  </si>
  <si>
    <t>가무＇리 들아사 쑤두＇라따/가물＇이 드러＇따/가무＇미 드라＇따</t>
  </si>
  <si>
    <t>가무리 드러따구/가무미 드러따 구래</t>
  </si>
  <si>
    <t>가물</t>
  </si>
  <si>
    <t>가무미 드러따/가무리 와따/가무미 와따/가물</t>
  </si>
  <si>
    <t>가무리 드러따</t>
  </si>
  <si>
    <t>가무미 온다</t>
  </si>
  <si>
    <t>마르다</t>
  </si>
  <si>
    <t>마른＇다/마른＇다가 아~이＇지/마르＇고 이따</t>
  </si>
  <si>
    <t>빨래가 잘 말른다 그래/무리 마르자너/잘 말르지</t>
  </si>
  <si>
    <t>잘 마른다</t>
  </si>
  <si>
    <t>잘 마른다/가문다고</t>
  </si>
  <si>
    <t>빨리 마르지요/숭녀니 진다</t>
  </si>
  <si>
    <t>23431-0-1</t>
  </si>
  <si>
    <t>말＇라따</t>
  </si>
  <si>
    <t>고추가 바짱 말런네/말러따구/빨래가 잘 말러따구</t>
  </si>
  <si>
    <t>잘 말러서 조타</t>
  </si>
  <si>
    <t>말러서</t>
  </si>
  <si>
    <t>잘 말러 조:타</t>
  </si>
  <si>
    <t>말라서 조:타</t>
  </si>
  <si>
    <t>위</t>
  </si>
  <si>
    <t>우＇우 반대/저 우＇에사</t>
  </si>
  <si>
    <t>물 우에다가 버무려/책쌍 우예 올려/우루 인능 건 우빵</t>
  </si>
  <si>
    <t>위 아래</t>
  </si>
  <si>
    <t>위에 안는다/우에</t>
  </si>
  <si>
    <t>우에 올라가따</t>
  </si>
  <si>
    <t>상 위에 놔따(+＇위＇는 이중모음)</t>
  </si>
  <si>
    <t>아래</t>
  </si>
  <si>
    <t>아아＇래/아알＇로</t>
  </si>
  <si>
    <t>위 아래/나예 아:리니까</t>
  </si>
  <si>
    <t>아:리지/요 알로 부찌 {이 아래로 붙지}/알:루</t>
  </si>
  <si>
    <t>알:로 내러간다</t>
  </si>
  <si>
    <t>알:쪼그로 흘른다/알:루/아:리라그래요</t>
  </si>
  <si>
    <t>왼쪽</t>
  </si>
  <si>
    <t>외왼＇쪽</t>
  </si>
  <si>
    <t>왼:쪼그로 돈:다구</t>
  </si>
  <si>
    <t>왼:쪽</t>
  </si>
  <si>
    <t>나는 왼쪼그로 나간다</t>
  </si>
  <si>
    <t>왼:쪼그로 돈:다</t>
  </si>
  <si>
    <t>아래쪽</t>
  </si>
  <si>
    <t>오른＇쪽편</t>
  </si>
  <si>
    <t>바른쪼그로 돈:다구</t>
  </si>
  <si>
    <t>오른쪽</t>
  </si>
  <si>
    <t>바른쪽</t>
  </si>
  <si>
    <t>오른쪼그로 돈:다</t>
  </si>
  <si>
    <t>곁</t>
  </si>
  <si>
    <t>내 저＇치 따뜨타＇다</t>
  </si>
  <si>
    <t>젇</t>
  </si>
  <si>
    <t>저트루</t>
  </si>
  <si>
    <t>내 저트로 와라</t>
  </si>
  <si>
    <t>내 저트루 와라</t>
  </si>
  <si>
    <t>23436-0-1</t>
  </si>
  <si>
    <t>저＇테 저＇테 와</t>
  </si>
  <si>
    <t>내 저트로 오라구/저테 인는 사라미라 그래지 {곁에 있는 사람이라고 그러지}</t>
  </si>
  <si>
    <t>내 겨트로 와라/저테다놔두</t>
  </si>
  <si>
    <t>내 저테 와 안저라</t>
  </si>
  <si>
    <t>내 저테 와라</t>
  </si>
  <si>
    <t>내 저테루 와라</t>
  </si>
  <si>
    <t>회오리바람</t>
  </si>
  <si>
    <t>돌개＇바람</t>
  </si>
  <si>
    <t>회:리바람</t>
  </si>
  <si>
    <t>돌개바람</t>
  </si>
  <si>
    <t>돌개바라미라구래(+신)/회:리바라미라그래자너(+구)</t>
  </si>
  <si>
    <t>돌:개빠람</t>
  </si>
  <si>
    <t>둘개바라미라그래요</t>
  </si>
  <si>
    <t>북풍</t>
  </si>
  <si>
    <t>북풍＇/북쌔풍/북푸＇~이라고</t>
  </si>
  <si>
    <t>북풍이래지/북쪼게서 오먼 북풍</t>
  </si>
  <si>
    <t>북풍분다고</t>
  </si>
  <si>
    <t>북풍이 드론다</t>
  </si>
  <si>
    <t>북쌔라고 한다고(+북쪽)</t>
  </si>
  <si>
    <t>새빠람(+북에서 오는 바람)</t>
  </si>
  <si>
    <t>남풍</t>
  </si>
  <si>
    <t>남푸＇~이라/화풍＇(+훈훈한 바람.)</t>
  </si>
  <si>
    <t>남푸~이 불지/마파람 {남풍}</t>
  </si>
  <si>
    <t>남풍이 드론다/남풍은</t>
  </si>
  <si>
    <t>마빠라미라 그래고(+남쪽)</t>
  </si>
  <si>
    <t>맏빠라미라그래요</t>
  </si>
  <si>
    <t>동풍</t>
  </si>
  <si>
    <t>새빠라＇미라/새빠람＇/동쪼＇게 새빠라＇미라 함미다</t>
  </si>
  <si>
    <t>새빠람(동풍)</t>
  </si>
  <si>
    <t>동풍이지</t>
  </si>
  <si>
    <t>부:는 바라믄 새빠라미고(+동쪽)</t>
  </si>
  <si>
    <t>기낭 동풍이라그래고</t>
  </si>
  <si>
    <t>서풍</t>
  </si>
  <si>
    <t>서풍＇ 보＇고 마빠라＇미라 하지요/ 서쪼＇게 부는 서＇북풍 서풍＇</t>
  </si>
  <si>
    <t>서풍이래구</t>
  </si>
  <si>
    <t>서풍이라</t>
  </si>
  <si>
    <t>서풍이라그래고</t>
  </si>
  <si>
    <t>테(輪)</t>
  </si>
  <si>
    <t>테</t>
  </si>
  <si>
    <t>31001-0-1</t>
  </si>
  <si>
    <t>테＇가</t>
  </si>
  <si>
    <t>앵경 테</t>
  </si>
  <si>
    <t>테가 조타(+이 지역에서는 ‘에’와 ‘애’의 변별 기능이 없음)</t>
  </si>
  <si>
    <t>테가 이따(+＇에＇와 ＇애＇의 구별이 있음)</t>
  </si>
  <si>
    <t>앙:경 테가 크다/앙경 테가</t>
  </si>
  <si>
    <t>테가 둥그러타/테라구래는데</t>
  </si>
  <si>
    <t>31001-0-2</t>
  </si>
  <si>
    <t>테＇부텀 따＇까라/테＇부터 따＇까라</t>
  </si>
  <si>
    <t>테두리/앵경테는 뚱그렁 게 앵경테구</t>
  </si>
  <si>
    <t>그테보당 이기 조타(+이 지역에서는 ‘에’와 ‘애’의 변별 기능이 없음)</t>
  </si>
  <si>
    <t>테보다/테두리야</t>
  </si>
  <si>
    <t>테하고/테보다 크다/태하고</t>
  </si>
  <si>
    <t>테만</t>
  </si>
  <si>
    <t>태(胎)</t>
  </si>
  <si>
    <t>태</t>
  </si>
  <si>
    <t>31002-0-1</t>
  </si>
  <si>
    <t>태＇가 지이＇다</t>
  </si>
  <si>
    <t>태가 나오지(+이 지역에서는 ‘에’와 ‘애’의 변별 기능이 없음)</t>
  </si>
  <si>
    <t>태가 질다</t>
  </si>
  <si>
    <t>태가 크다</t>
  </si>
  <si>
    <t>태가 질:다</t>
  </si>
  <si>
    <t>31002-0-2</t>
  </si>
  <si>
    <t>태＇부텀 짤＇라라</t>
  </si>
  <si>
    <t>애기태쭐</t>
  </si>
  <si>
    <t>태두(+이 지역에서는 ‘에’와 ‘애’의 변별 기능이 없음)</t>
  </si>
  <si>
    <t>태보다 질다</t>
  </si>
  <si>
    <t>태쭈리 질:다</t>
  </si>
  <si>
    <t>태를 자르라구</t>
  </si>
  <si>
    <t>떼(群)</t>
  </si>
  <si>
    <t>떼 지＇와 간다＇</t>
  </si>
  <si>
    <t>31003-0-1</t>
  </si>
  <si>
    <t>사아＇라미 떼가＇ 만타</t>
  </si>
  <si>
    <t>새:떼가 마니 와씨니까 쪼처라</t>
  </si>
  <si>
    <t>떼가 몰려온다(+이 지역에서는 ‘에’와 ‘애’의 변별 기능이 없음)</t>
  </si>
  <si>
    <t>떼가 저서 간다</t>
  </si>
  <si>
    <t>떼르 제간다 {때를 지어간다}</t>
  </si>
  <si>
    <t>떼가 지내간다</t>
  </si>
  <si>
    <t>31003-0-2</t>
  </si>
  <si>
    <t>떼가＇리 간다＇/떼::가＇</t>
  </si>
  <si>
    <t>떼루 간다/떼거리루 간다</t>
  </si>
  <si>
    <t>떼:과 때과 딸쪼.</t>
  </si>
  <si>
    <t>떼를 제:서도 간다</t>
  </si>
  <si>
    <t>때(時)</t>
  </si>
  <si>
    <t>때르＇</t>
  </si>
  <si>
    <t>31004-0-1</t>
  </si>
  <si>
    <t>때가＇ 마안＇타</t>
  </si>
  <si>
    <t>때가 돼:꾸나</t>
  </si>
  <si>
    <t>때를 노처따(+이 지역에서는 ‘에’와 ‘애’의 변별 기능이 없음)</t>
  </si>
  <si>
    <t>때가/머글 때가/때가 마니 난다(+사람의 몸에서 나는 때)</t>
  </si>
  <si>
    <t>때가 돼따</t>
  </si>
  <si>
    <t>때가 돼:따</t>
  </si>
  <si>
    <t>31004-0-2</t>
  </si>
  <si>
    <t>때부＇텀 밀＇어라</t>
  </si>
  <si>
    <t>때라구</t>
  </si>
  <si>
    <t>때하고 떼하고</t>
  </si>
  <si>
    <t>땐데</t>
  </si>
  <si>
    <t>틀(機)</t>
  </si>
  <si>
    <t>아, 틀 이틀＇</t>
  </si>
  <si>
    <t>31005-0-1</t>
  </si>
  <si>
    <t>트리＇ 마＇따/이트리＇ 마＇따/트리＇ 트리＇ 마＇따</t>
  </si>
  <si>
    <t>트리 만:타</t>
  </si>
  <si>
    <t>트리지</t>
  </si>
  <si>
    <t>트르 {틀을}/트리라</t>
  </si>
  <si>
    <t>트리 단다나다/그낭 트리지요</t>
  </si>
  <si>
    <t>31005-0-2</t>
  </si>
  <si>
    <t>틀또＇</t>
  </si>
  <si>
    <t>틀리</t>
  </si>
  <si>
    <t>트레다 노코</t>
  </si>
  <si>
    <t>틀</t>
  </si>
  <si>
    <t>이트르 해넌는다 {이틀을 해 넣는다}</t>
  </si>
  <si>
    <t>이 틀</t>
  </si>
  <si>
    <t>털(毛)</t>
  </si>
  <si>
    <t>31006-0-1</t>
  </si>
  <si>
    <t>터＇리 그/터＇리라 아나＇고</t>
  </si>
  <si>
    <t>머리털</t>
  </si>
  <si>
    <t>터리 만:타/털하고</t>
  </si>
  <si>
    <t>터리 만타</t>
  </si>
  <si>
    <t>터리가 만:타</t>
  </si>
  <si>
    <t>털두 만:타/터리라그래요/터리 만:타</t>
  </si>
  <si>
    <t>31006-0-2</t>
  </si>
  <si>
    <t>털＇또 씀미다</t>
  </si>
  <si>
    <t>모메 털 란다 그래지</t>
  </si>
  <si>
    <t>털도 만:타</t>
  </si>
  <si>
    <t>털/털두/터라구라</t>
  </si>
  <si>
    <t>털또 만:타</t>
  </si>
  <si>
    <t>글(文)</t>
  </si>
  <si>
    <t>31007-0-1</t>
  </si>
  <si>
    <t>그르＇ 써따＇/그르＇ 씬다＇</t>
  </si>
  <si>
    <t>그리 이따</t>
  </si>
  <si>
    <t>그리 만타</t>
  </si>
  <si>
    <t>그르 잘 씬다</t>
  </si>
  <si>
    <t>그리 삐뚤삐뚤</t>
  </si>
  <si>
    <t>31007-0-2</t>
  </si>
  <si>
    <t>그래 글또＇ 씬다＇</t>
  </si>
  <si>
    <t>글씨</t>
  </si>
  <si>
    <t>글도 만타</t>
  </si>
  <si>
    <t>그를 일거라</t>
  </si>
  <si>
    <t>글 씬다</t>
  </si>
  <si>
    <t>글/글 쓴다</t>
  </si>
  <si>
    <t>걸(윷)</t>
  </si>
  <si>
    <t>뙤 개 걸</t>
  </si>
  <si>
    <t>31008-0-1</t>
  </si>
  <si>
    <t>거리＇ 나와따/거리＇다</t>
  </si>
  <si>
    <t>거리지</t>
  </si>
  <si>
    <t>거리 나와따</t>
  </si>
  <si>
    <t>거리지요</t>
  </si>
  <si>
    <t>31008-0-2</t>
  </si>
  <si>
    <t>걸뚜＇ 돼＇애따</t>
  </si>
  <si>
    <t>걸두 잘란다</t>
  </si>
  <si>
    <t>걸/걸두</t>
  </si>
  <si>
    <t>걸뚜 만타</t>
  </si>
  <si>
    <t>걸두 나와따</t>
  </si>
  <si>
    <t>기(旗)</t>
  </si>
  <si>
    <t>31009-0-1</t>
  </si>
  <si>
    <t>기＇가 펄펄랄리＇더라</t>
  </si>
  <si>
    <t>기가</t>
  </si>
  <si>
    <t>기가 날린다</t>
  </si>
  <si>
    <t>기라그래조 기/기가 크다</t>
  </si>
  <si>
    <t>31009-0-2</t>
  </si>
  <si>
    <t>기＇도 펄펄랄리더라</t>
  </si>
  <si>
    <t>기빠리 흔들리먼 기빨 흔들린다 그래</t>
  </si>
  <si>
    <t>기두</t>
  </si>
  <si>
    <t>기/기두 펄러꺼린다</t>
  </si>
  <si>
    <t>기두 날린다</t>
  </si>
  <si>
    <t>기도 크다</t>
  </si>
  <si>
    <t>귀(耳)</t>
  </si>
  <si>
    <t>31010-0-1</t>
  </si>
  <si>
    <t>귀가＇ 크다＇/귀가＇ 크고＇</t>
  </si>
  <si>
    <t>귀가 크다</t>
  </si>
  <si>
    <t>31010-0-2</t>
  </si>
  <si>
    <t>귀빱또＇ 크고＇ 귀도＇ 크다＇</t>
  </si>
  <si>
    <t>귀</t>
  </si>
  <si>
    <t>귀도 박따</t>
  </si>
  <si>
    <t>귀라/귀두</t>
  </si>
  <si>
    <t>그사라믄 귀두 크다/귀하고 기</t>
  </si>
  <si>
    <t>귀두 크다</t>
  </si>
  <si>
    <t>시(生時)</t>
  </si>
  <si>
    <t>31011-0-1</t>
  </si>
  <si>
    <t>시＇가 맏＇따/시＇가 마＇따</t>
  </si>
  <si>
    <t>시를 잘 타고 나야 핸다 그래</t>
  </si>
  <si>
    <t>시를 갈키구</t>
  </si>
  <si>
    <t>시가 조타</t>
  </si>
  <si>
    <t>시르 잘 타고 나따</t>
  </si>
  <si>
    <t>시를 본다그래지요 시를</t>
  </si>
  <si>
    <t>31011-0-2</t>
  </si>
  <si>
    <t>시＇간/시＇도 마＇꼬</t>
  </si>
  <si>
    <t>시게</t>
  </si>
  <si>
    <t>시를</t>
  </si>
  <si>
    <t>시도 바야 되고</t>
  </si>
  <si>
    <t>시를 보지 시간</t>
  </si>
  <si>
    <t>쉬(蠅卵)</t>
  </si>
  <si>
    <t>쉬</t>
  </si>
  <si>
    <t>31012-0-1</t>
  </si>
  <si>
    <t>쉬가＇ 마안＇타/쉬가＇ 씨＇라따 쉬르 시라</t>
  </si>
  <si>
    <t>쉬가 드러따</t>
  </si>
  <si>
    <t>쉬를/쉬가 만타</t>
  </si>
  <si>
    <t>쉬라그래요</t>
  </si>
  <si>
    <t>쉬가 만:타</t>
  </si>
  <si>
    <t>31012-0-2</t>
  </si>
  <si>
    <t>쉬도＇ 시러따</t>
  </si>
  <si>
    <t>쉬 깔린다 그래</t>
  </si>
  <si>
    <t>쉬두 만타</t>
  </si>
  <si>
    <t>태/쉬파리가</t>
  </si>
  <si>
    <t>쉬 바가따</t>
  </si>
  <si>
    <t>쉬라고 쉬/쉬두 만타</t>
  </si>
  <si>
    <t>쇠(鐵)</t>
  </si>
  <si>
    <t>쐬(+＇ㅆ＇이 경구개음에 가깝게 들림.)</t>
  </si>
  <si>
    <t>31013-0-1</t>
  </si>
  <si>
    <t>쐬로＇ 만드＇라따/쐬가＇ 무겁＇따</t>
  </si>
  <si>
    <t>중행 거는 쇠를 채우구 느:주지 {중한 것은 쇠를 채우고 넣어주지}</t>
  </si>
  <si>
    <t>쇠가 단다나다</t>
  </si>
  <si>
    <t>쇠가</t>
  </si>
  <si>
    <t>쇠가 무겁따</t>
  </si>
  <si>
    <t>31013-0-2</t>
  </si>
  <si>
    <t>쐬＇꼿으로 만드＇라따/쐬도＇ 무겁＇따</t>
  </si>
  <si>
    <t>쇠</t>
  </si>
  <si>
    <t>쇠두 마:~이한다</t>
  </si>
  <si>
    <t>쇠두 무겁따(+원순성이 약함)</t>
  </si>
  <si>
    <t>쇠꼬슬 바가/쇠라고 하기도 하고</t>
  </si>
  <si>
    <t>쇠/쇠두 무겁따</t>
  </si>
  <si>
    <t>외:국(外國)</t>
  </si>
  <si>
    <t>외외＇국</t>
  </si>
  <si>
    <t>31014-0-1</t>
  </si>
  <si>
    <t>외외＇구기 널＇따</t>
  </si>
  <si>
    <t>외:국</t>
  </si>
  <si>
    <t>외:구구로</t>
  </si>
  <si>
    <t>외:구기라 그래고/외:구그로 유학가따/외:구그는 {외국은}</t>
  </si>
  <si>
    <t>외:구구로 가라</t>
  </si>
  <si>
    <t>31014-0-2</t>
  </si>
  <si>
    <t>외＇국또 크다＇</t>
  </si>
  <si>
    <t>외국 외:국</t>
  </si>
  <si>
    <t>외:궁나간다/외:국깐다</t>
  </si>
  <si>
    <t>왜국(倭國)</t>
  </si>
  <si>
    <t>왜＇놈</t>
  </si>
  <si>
    <t>31015-0-1</t>
  </si>
  <si>
    <t>왜＇느미래 왜늠/왜＇국을 간다＇</t>
  </si>
  <si>
    <t>왜누미라 그래찌</t>
  </si>
  <si>
    <t>왜구기라 그래지 왜국</t>
  </si>
  <si>
    <t>왜누미라구</t>
  </si>
  <si>
    <t>왜노미라그래</t>
  </si>
  <si>
    <t>왜늠드리 만타</t>
  </si>
  <si>
    <t>31015-0-2</t>
  </si>
  <si>
    <t>왜＇국/왜＇놈/왜＇늠/왜애＇ 아가＇리질 하나 {왜 말을 하나?}</t>
  </si>
  <si>
    <t>왜눔/왜놈더리</t>
  </si>
  <si>
    <t>왜국</t>
  </si>
  <si>
    <t>왜놈/왜눔</t>
  </si>
  <si>
    <t>그 왜:째</t>
  </si>
  <si>
    <t>왜늠</t>
  </si>
  <si>
    <t>쉬:다(休)</t>
  </si>
  <si>
    <t>쉐＇에라/쉬위＇고 이따/펴나니 쉬윈＇다</t>
  </si>
  <si>
    <t>쉬:느라고 드러누워이따 그래/자능 게 쉬:능 거지 머/쉬능 거</t>
  </si>
  <si>
    <t>쉰:다</t>
  </si>
  <si>
    <t>쉐:라/쉰:다구</t>
  </si>
  <si>
    <t>31016-0-1</t>
  </si>
  <si>
    <t>쉬인＇다</t>
  </si>
  <si>
    <t>쉬:지</t>
  </si>
  <si>
    <t>쉰:다/쉬:라구/쉬니깐</t>
  </si>
  <si>
    <t>쉬:구/푹 쉰:다</t>
  </si>
  <si>
    <t>31016-0-2</t>
  </si>
  <si>
    <t>쉬이＇고</t>
  </si>
  <si>
    <t>매를 번:다(+이 지역에서는 ‘에’와 ‘애’의 변별 기능이 없음)/쉰:다(장단에 대한 구별을 인식함)</t>
  </si>
  <si>
    <t>세수해구 수ㅕ:라</t>
  </si>
  <si>
    <t>쫌 쉐:야된다/푹 쉐:라</t>
  </si>
  <si>
    <t>쇠:다(설을~)</t>
  </si>
  <si>
    <t>서어＇르 잘:: 쇠고이＇따/스으＇르 쇠왼＇다/서어＇르 쇄＇애라</t>
  </si>
  <si>
    <t>추석 잘 쇠고 오너라 이래지/추석 쇠:러 간다구</t>
  </si>
  <si>
    <t>설: 쇠:/쇤:다</t>
  </si>
  <si>
    <t>서:를 쇤다/서를 쇠:고 오거라/쇄:라</t>
  </si>
  <si>
    <t>31017-0-1</t>
  </si>
  <si>
    <t>서어＇를 쉬인＇다</t>
  </si>
  <si>
    <t>서를 쉰다</t>
  </si>
  <si>
    <t>서를 쇤:다</t>
  </si>
  <si>
    <t>쇤다</t>
  </si>
  <si>
    <t>31017-0-2</t>
  </si>
  <si>
    <t>서어＇를 잘:: 쉐＇에따</t>
  </si>
  <si>
    <t>서를 새:서</t>
  </si>
  <si>
    <t>잘 쇄:라</t>
  </si>
  <si>
    <t>베(布)</t>
  </si>
  <si>
    <t>31018-0-1</t>
  </si>
  <si>
    <t>베가＇ 지일＇다</t>
  </si>
  <si>
    <t>베:가/배하구 베하구 달르지</t>
  </si>
  <si>
    <t>베가 널따</t>
  </si>
  <si>
    <t>베가 만타/베를 짠다/삼베가 질:다</t>
  </si>
  <si>
    <t>베라 그래야조</t>
  </si>
  <si>
    <t>베가 널따/벨 가주와라/벼라그러는데</t>
  </si>
  <si>
    <t>31018-0-2</t>
  </si>
  <si>
    <t>베부＇텀/베부텀＇ 잘＇라라</t>
  </si>
  <si>
    <t>삼베가 읍써서/배구 베구 이래니까 달르</t>
  </si>
  <si>
    <t>베보덩 널릉건 업:따</t>
  </si>
  <si>
    <t>삼베</t>
  </si>
  <si>
    <t>베 삼베/베하고 배하고는 그건 따고/삼:베가 삐까리가 조타</t>
  </si>
  <si>
    <t>베 널따/벼</t>
  </si>
  <si>
    <t>배(바닷배)</t>
  </si>
  <si>
    <t>31019-0-1</t>
  </si>
  <si>
    <t>배가＇ 마＇~이/배가＇ 떠 이따/베르＇ 짠다</t>
  </si>
  <si>
    <t>배가 떠 이따</t>
  </si>
  <si>
    <t>배가 크다</t>
  </si>
  <si>
    <t>배가</t>
  </si>
  <si>
    <t>배가 만타</t>
  </si>
  <si>
    <t>31019-0-2</t>
  </si>
  <si>
    <t>배부＇텀 바아＇라/배가＇ 마~이 이따＇라</t>
  </si>
  <si>
    <t>배보덩 킁건 업:따</t>
  </si>
  <si>
    <t>배두 크다</t>
  </si>
  <si>
    <t>떠인는 배도 크다</t>
  </si>
  <si>
    <t>배두 만타</t>
  </si>
  <si>
    <t>배(腹)</t>
  </si>
  <si>
    <t>31020-0-1</t>
  </si>
  <si>
    <t>배가＇ 아푸＇다</t>
  </si>
  <si>
    <t>배하구 베하구 달르지/배가 나와따(사람의 배)</t>
  </si>
  <si>
    <t>배가 아푸다</t>
  </si>
  <si>
    <t>배가 부루다</t>
  </si>
  <si>
    <t>31020-0-2</t>
  </si>
  <si>
    <t>배보다＇ 배꼬＇비 더크다＇/배부＇텀 보＇자</t>
  </si>
  <si>
    <t>배구 베구 이래니까 달르지</t>
  </si>
  <si>
    <t>배보덩 더킁건 업:따</t>
  </si>
  <si>
    <t>배두 아푸다</t>
  </si>
  <si>
    <t>배는 배고/배도 크다</t>
  </si>
  <si>
    <t>(떡)메</t>
  </si>
  <si>
    <t>31021-0-1</t>
  </si>
  <si>
    <t>메가＇ 크다＇</t>
  </si>
  <si>
    <t>메(+이 지역에서는 ‘에’와 ‘애’의 변별 기능이 없음)/메가 크다</t>
  </si>
  <si>
    <t>메가 크다</t>
  </si>
  <si>
    <t>메가 크다/떵메가 크다</t>
  </si>
  <si>
    <t>31021-0-2</t>
  </si>
  <si>
    <t>메부＇텀 가주 와 메부＇텀</t>
  </si>
  <si>
    <t>떵메</t>
  </si>
  <si>
    <t>메보덩 킁건</t>
  </si>
  <si>
    <t>메두 크다</t>
  </si>
  <si>
    <t>메도 크다/떵메도 크다</t>
  </si>
  <si>
    <t>매(鞭)</t>
  </si>
  <si>
    <t>멍데~이</t>
  </si>
  <si>
    <t>31022-0-1</t>
  </si>
  <si>
    <t>매를＇ 든다/매르＇ 든다</t>
  </si>
  <si>
    <t>매가 질:다</t>
  </si>
  <si>
    <t>매가 질다</t>
  </si>
  <si>
    <t>매가 아푸다</t>
  </si>
  <si>
    <t>매가 아푸니까</t>
  </si>
  <si>
    <t>31022-0-2</t>
  </si>
  <si>
    <t>매부＇텀 가주 와</t>
  </si>
  <si>
    <t>이러케 미고 가지/매질</t>
  </si>
  <si>
    <t>매보덩</t>
  </si>
  <si>
    <t>사랑에 매라구/매두 질다</t>
  </si>
  <si>
    <t>매를 든다</t>
  </si>
  <si>
    <t>매를 드르니</t>
  </si>
  <si>
    <t>메:다(擔)</t>
  </si>
  <si>
    <t>31023-0-1</t>
  </si>
  <si>
    <t>어＇깨 메엔＇다/어＇깨 미인＇다/미이＇고 이따/화＇를 메에＇고 간다＇</t>
  </si>
  <si>
    <t>멍에 메:구/큰 낭글 해가주 어깨 다 미:구서는 여그다</t>
  </si>
  <si>
    <t>멘:다(+이 지역에서는 ‘에’와 ‘애’의 변별 기능이 없음)/메:고 이따</t>
  </si>
  <si>
    <t>지믈 미지 말라/며:따/메:기두 하고</t>
  </si>
  <si>
    <t>어깨다 미:구간다</t>
  </si>
  <si>
    <t>메:구간다/메:기도허구/멘:다/멜빵 미:구들 간다</t>
  </si>
  <si>
    <t>31023-0-2</t>
  </si>
  <si>
    <t>어＇깨에 메＇에라</t>
  </si>
  <si>
    <t>어깨에다 잘 며:라</t>
  </si>
  <si>
    <t>메:야 된다</t>
  </si>
  <si>
    <t>미어따</t>
  </si>
  <si>
    <t>며:라/며:따</t>
  </si>
  <si>
    <t>매:다(繫)</t>
  </si>
  <si>
    <t>31024-0-1</t>
  </si>
  <si>
    <t>매＇니/맨＇다/매＇고 이따/매＇고 매＇라 매다＇라</t>
  </si>
  <si>
    <t>맨다(끈을)/옹맨다</t>
  </si>
  <si>
    <t>매고 이따/맨다/맨다(+이 지역에서는 ‘에’와 ‘애’의 변별 기능이 없음)</t>
  </si>
  <si>
    <t>꽝: 매지 말라</t>
  </si>
  <si>
    <t>매고</t>
  </si>
  <si>
    <t>끄느루 매:구/동고맨다</t>
  </si>
  <si>
    <t>31024-0-2</t>
  </si>
  <si>
    <t>매＇애라</t>
  </si>
  <si>
    <t>옹매라 구래</t>
  </si>
  <si>
    <t>매:라</t>
  </si>
  <si>
    <t>매:라/매:따</t>
  </si>
  <si>
    <t>떼:다(分離)</t>
  </si>
  <si>
    <t>31025-0-1</t>
  </si>
  <si>
    <t>떼:니＇/떼:다＇라/떼:고＇/뗀다＇/떼고＇</t>
  </si>
  <si>
    <t>뗀:다구</t>
  </si>
  <si>
    <t>뗀:다/뗀:다(+이 지역에서는 ‘에’와 ‘애’의 변별 기능이 없음)/떼고 이따</t>
  </si>
  <si>
    <t>떼지 마라</t>
  </si>
  <si>
    <t>띠구 이따</t>
  </si>
  <si>
    <t>떼:지마라/뗀:다그래지</t>
  </si>
  <si>
    <t>31025-0-2</t>
  </si>
  <si>
    <t>떼에＇라/떼에＇따/떼에＇사</t>
  </si>
  <si>
    <t>끄믈 떼서 씸능구나/끔 잘 떼라/고거 잘 떼라 이래지</t>
  </si>
  <si>
    <t>떼:야</t>
  </si>
  <si>
    <t>떼: 놔따/떼:라</t>
  </si>
  <si>
    <t>떼:라</t>
  </si>
  <si>
    <t>때:다(炊)</t>
  </si>
  <si>
    <t>31026-0-1</t>
  </si>
  <si>
    <t>때애＇고 이따</t>
  </si>
  <si>
    <t>불땐다 이래/땔:라구래게찌/땐다구/때는데</t>
  </si>
  <si>
    <t>땐:다/부를 때:고 이따/땐:다(+이 지역에서는 ‘에’와 ‘애’의 변별 기능이 없음)</t>
  </si>
  <si>
    <t>때능거 때:능거/땐:다구래야지</t>
  </si>
  <si>
    <t>때:구 이따</t>
  </si>
  <si>
    <t>땐:다/땐:다고도 허구</t>
  </si>
  <si>
    <t>31026-0-2</t>
  </si>
  <si>
    <t>부레＇ 때＇애라</t>
  </si>
  <si>
    <t>때:야 댄다</t>
  </si>
  <si>
    <t>부를 때:서</t>
  </si>
  <si>
    <t>부를 때:라</t>
  </si>
  <si>
    <t>부룰 때:라</t>
  </si>
  <si>
    <t>베:다(切斷)</t>
  </si>
  <si>
    <t>31027-0-1</t>
  </si>
  <si>
    <t>비＇인다/비고＇ 이따/비＇이머 안덴다/비＇이고 이따</t>
  </si>
  <si>
    <t>소는 꼴 비러 간다 그래/통나무 베:다가/빈다구(손을)</t>
  </si>
  <si>
    <t>베:고 이따</t>
  </si>
  <si>
    <t>여기두 비:구</t>
  </si>
  <si>
    <t>비:니/칼로 비:고</t>
  </si>
  <si>
    <t>오른손도 비:구/빈:다</t>
  </si>
  <si>
    <t>31027-0-2</t>
  </si>
  <si>
    <t>베＇에따</t>
  </si>
  <si>
    <t>나무 베와야지요/통나물 비어다가 인제 까꺼서 새지둥해야조</t>
  </si>
  <si>
    <t>비에따/비어따/베:서 아푸다/베:따/베:따(+이 지역에서는 ‘에’와 ‘애’의 변별 기능이 없음)/소늘 베:따</t>
  </si>
  <si>
    <t>벼:따/벼:서</t>
  </si>
  <si>
    <t>베:따/쟁기로 베:서/베:서 아푸다</t>
  </si>
  <si>
    <t>벼:따구래/칼로 비어서 아푸다</t>
  </si>
  <si>
    <t>배:다(孕胎)</t>
  </si>
  <si>
    <t>31028-0-1</t>
  </si>
  <si>
    <t>배＇애고 이따</t>
  </si>
  <si>
    <t>배:고 이따</t>
  </si>
  <si>
    <t>애길 배:구/배구</t>
  </si>
  <si>
    <t>아:가 배고</t>
  </si>
  <si>
    <t>이여자도 애길 배:구/애기 배:구</t>
  </si>
  <si>
    <t>31028-0-2</t>
  </si>
  <si>
    <t>배＇애따</t>
  </si>
  <si>
    <t>애럴 배:따</t>
  </si>
  <si>
    <t>배:따(아기를)/애를 배:따(+이 지역에서는 ‘에’와 ‘애’의 변별 기능이 없음)</t>
  </si>
  <si>
    <t>애를 배:따</t>
  </si>
  <si>
    <t>아:기 배:따</t>
  </si>
  <si>
    <t>저여자도 애길 배:따</t>
  </si>
  <si>
    <t>세:다(算)</t>
  </si>
  <si>
    <t>31029-0-1</t>
  </si>
  <si>
    <t>셰에＇고 이＇따/셰엔＇다</t>
  </si>
  <si>
    <t>그러케 시지 머 {그렇게 세지 뭐}/이러케 시능 거/시능 거 {세는 거}</t>
  </si>
  <si>
    <t>쉬:고 이따/셴:다(+이 지역에서는 ‘에’와 ‘애’의 변별 기능이 없음)/쉰:다</t>
  </si>
  <si>
    <t>신:다구/시구 이따</t>
  </si>
  <si>
    <t>세:고 이따</t>
  </si>
  <si>
    <t>수를 잘 신:다</t>
  </si>
  <si>
    <t>31029-0-2</t>
  </si>
  <si>
    <t>셰＇에따</t>
  </si>
  <si>
    <t>빨리 시어라</t>
  </si>
  <si>
    <t>쉬:야 한다</t>
  </si>
  <si>
    <t>빨리 셔:라</t>
  </si>
  <si>
    <t>세:라</t>
  </si>
  <si>
    <t>시어라/수를 빨리 셔:라</t>
  </si>
  <si>
    <t>새:다(漏泄)</t>
  </si>
  <si>
    <t>31030-0-1</t>
  </si>
  <si>
    <t>새니＇까/새애＇따/샌다＇/새고＇</t>
  </si>
  <si>
    <t>지벙이 두러저 무리 새네 이래지/무리 샌:다</t>
  </si>
  <si>
    <t>새:고 이따/샌:다(+이 지역에서는 ‘에’와 ‘애’의 변별 기능이 없음)/지비 샌:다</t>
  </si>
  <si>
    <t>새기땜서/샌:다</t>
  </si>
  <si>
    <t>샌:다</t>
  </si>
  <si>
    <t>지붕이 샌다</t>
  </si>
  <si>
    <t>31030-0-2</t>
  </si>
  <si>
    <t>새애＇서는</t>
  </si>
  <si>
    <t>새:선 안된다</t>
  </si>
  <si>
    <t>새:서는</t>
  </si>
  <si>
    <t>새:도 산다</t>
  </si>
  <si>
    <t>지붕이 새:서</t>
  </si>
  <si>
    <t>뒤(後)</t>
  </si>
  <si>
    <t>31031-0-1</t>
  </si>
  <si>
    <t>두＇에(+다)/뒤위＇가 잘보인＇다/뒤＇에(+소)</t>
  </si>
  <si>
    <t>뒈:서 {뒤에서}</t>
  </si>
  <si>
    <t>뒤가</t>
  </si>
  <si>
    <t>뒤우루 너머지능기 나:따</t>
  </si>
  <si>
    <t>뒤에/뒤:루 가라</t>
  </si>
  <si>
    <t>31031-0-2</t>
  </si>
  <si>
    <t>뒤위＇에도 잘보인다/두＇우＇</t>
  </si>
  <si>
    <t>뒤루 도라 봐라/담 뒤루 가거라 이래지</t>
  </si>
  <si>
    <t>뒤:도 암보인다</t>
  </si>
  <si>
    <t>뒤에는</t>
  </si>
  <si>
    <t>뒤:라구/뒤:가 암뵈고/뒤:는 암뵈고</t>
  </si>
  <si>
    <t>뒤:두 잘 암보인다</t>
  </si>
  <si>
    <t>되(升)</t>
  </si>
  <si>
    <t>31032-0-1</t>
  </si>
  <si>
    <t>되가＇ 말보다＇</t>
  </si>
  <si>
    <t>되도 크다</t>
  </si>
  <si>
    <t>되루 된다</t>
  </si>
  <si>
    <t>되가 적따</t>
  </si>
  <si>
    <t>되가 크지요</t>
  </si>
  <si>
    <t>31032-0-2</t>
  </si>
  <si>
    <t>되로＇ 된다＇/되두＇ 크다/되외＇</t>
  </si>
  <si>
    <t>되보다</t>
  </si>
  <si>
    <t>되 되라그래요</t>
  </si>
  <si>
    <t>게:(蟹)</t>
  </si>
  <si>
    <t>31033-0-1</t>
  </si>
  <si>
    <t>게에＇가 크다/게에＇가 만타/게에＇가 긴다＇</t>
  </si>
  <si>
    <t>저 게가 겨:가네/게:가</t>
  </si>
  <si>
    <t>기:가 만:쿠/게:가 만:타</t>
  </si>
  <si>
    <t>거이라(+제?)</t>
  </si>
  <si>
    <t>게:를 자바라/게:가 만타</t>
  </si>
  <si>
    <t>31033-0-2</t>
  </si>
  <si>
    <t>게에＇두 마시＇따</t>
  </si>
  <si>
    <t>게:/개고 게구 그러니까 다르자너</t>
  </si>
  <si>
    <t>게:두 만:타</t>
  </si>
  <si>
    <t>거이라구</t>
  </si>
  <si>
    <t>기: 아리 마시다/기두</t>
  </si>
  <si>
    <t>게:는/게:라그래지요</t>
  </si>
  <si>
    <t>개:(犬)</t>
  </si>
  <si>
    <t>31034-0-1</t>
  </si>
  <si>
    <t>개애＇가 마시＇따/개애＇가 만타</t>
  </si>
  <si>
    <t>개가 진네/도루 개:가 멍멍거려</t>
  </si>
  <si>
    <t>개:가 만:타/개:(+이 지역에서는 ‘에’와 ‘애’의 변별 기능이 없음)</t>
  </si>
  <si>
    <t>개:가</t>
  </si>
  <si>
    <t>개:가 즉따</t>
  </si>
  <si>
    <t>개:가 만타</t>
  </si>
  <si>
    <t>31034-0-2</t>
  </si>
  <si>
    <t>개애＇도</t>
  </si>
  <si>
    <t>강아지 개:/개고 게구 그러니까 다르자너</t>
  </si>
  <si>
    <t>우리지빈 개:두 만타</t>
  </si>
  <si>
    <t>개:두 만타</t>
  </si>
  <si>
    <t>개:두 만타/개:라구래지요/개:하관 틀리자나요</t>
  </si>
  <si>
    <t>여럿(多)</t>
  </si>
  <si>
    <t>31035-0-1</t>
  </si>
  <si>
    <t>사아＇라미 여어＇러시 이따</t>
  </si>
  <si>
    <t>여서시 모여꾸나 {여섯이 모였구나}</t>
  </si>
  <si>
    <t>여러시 머거두 남는다</t>
  </si>
  <si>
    <t>여러사라미서/*</t>
  </si>
  <si>
    <t>여러시 이쓰믄</t>
  </si>
  <si>
    <t>31035-0-2</t>
  </si>
  <si>
    <t>여어＇르기 이따/여어＇러또 이따/여어＇르기 가다＇라</t>
  </si>
  <si>
    <t>여러사라미다</t>
  </si>
  <si>
    <t>여러사라미따 {여러 사람 있다}</t>
  </si>
  <si>
    <t>여러사라믈 델고 와라</t>
  </si>
  <si>
    <t>31035-0-3</t>
  </si>
  <si>
    <t>여어＇러세게 좌라＇/여＇러개 주~에 어＇떤 사괘＇가 마시＇ 조＇켄나</t>
  </si>
  <si>
    <t>사라미 여섬명 이꾸나</t>
  </si>
  <si>
    <t>여럿-을/를</t>
  </si>
  <si>
    <t>물결(波)</t>
  </si>
  <si>
    <t>31036-0-1</t>
  </si>
  <si>
    <t>물껴＇리/살껴＇리 히다＇라/물껴＇리 친다＇</t>
  </si>
  <si>
    <t>아이 물껴리/물껴리 고:께두 내려가네 이래지</t>
  </si>
  <si>
    <t>물껴리 시:다</t>
  </si>
  <si>
    <t>살껴리 조:타</t>
  </si>
  <si>
    <t>물껴리 놉따</t>
  </si>
  <si>
    <t>31036-0-2</t>
  </si>
  <si>
    <t>물껼＇또 친다＇</t>
  </si>
  <si>
    <t>물껼보다 넙다/물껼보당 놉따</t>
  </si>
  <si>
    <t>물결(+제?)</t>
  </si>
  <si>
    <t>물결-보다</t>
  </si>
  <si>
    <t>물껼두 넙따</t>
  </si>
  <si>
    <t>31036-0-3</t>
  </si>
  <si>
    <t>물 껴＇르 친다＇</t>
  </si>
  <si>
    <t>물껴를 이르키지 마라라</t>
  </si>
  <si>
    <t>물결-을/를</t>
  </si>
  <si>
    <t>물껴를 봐라</t>
  </si>
  <si>
    <t>예:의(禮儀)</t>
  </si>
  <si>
    <t>31037-0-1</t>
  </si>
  <si>
    <t>예이＇가 이는 사라미야</t>
  </si>
  <si>
    <t>예저리 발러야 한다구 {예절이 발라야 한다}</t>
  </si>
  <si>
    <t>예이가 바르다/예의가 바르다 (하향이중모음 ＇의＇)</t>
  </si>
  <si>
    <t>예:저리 바르다</t>
  </si>
  <si>
    <t>예저리</t>
  </si>
  <si>
    <t>예:이가 바르다</t>
  </si>
  <si>
    <t>31037-0-2</t>
  </si>
  <si>
    <t>예이＇도 조오＇타/예가＇ 발라야한다</t>
  </si>
  <si>
    <t>예이도 바르다</t>
  </si>
  <si>
    <t>예절도 박꼬</t>
  </si>
  <si>
    <t>예:이두 발르다</t>
  </si>
  <si>
    <t>31037-0-3</t>
  </si>
  <si>
    <t>예이를</t>
  </si>
  <si>
    <t>예의를 가춰라</t>
  </si>
  <si>
    <t>예절</t>
  </si>
  <si>
    <t>예:이</t>
  </si>
  <si>
    <t>계:획(計劃)</t>
  </si>
  <si>
    <t>31038-0-1</t>
  </si>
  <si>
    <t>게＇요기 조타</t>
  </si>
  <si>
    <t>게역</t>
  </si>
  <si>
    <t>게헤기 틀레따</t>
  </si>
  <si>
    <t>게횩</t>
  </si>
  <si>
    <t>게요기 만타</t>
  </si>
  <si>
    <t>31038-0-2</t>
  </si>
  <si>
    <t>게에＇욕/게에＇욕또 잘 세운다</t>
  </si>
  <si>
    <t>게헥또 세워바라</t>
  </si>
  <si>
    <t>그사라믄 게욕또 잘세워따</t>
  </si>
  <si>
    <t>게요글 세워라</t>
  </si>
  <si>
    <t>31038-0-3</t>
  </si>
  <si>
    <t>게에＇요글 잘:: 세＇와야된다/게＇에＇요글 세＇운다</t>
  </si>
  <si>
    <t>게혀글 잘 세워야 한다/살리멀 자랠래먼 게여글 잘 세워야 한다 게역 {살림을 잘 하려면 계획을 잘 세워야 한다 계획}</t>
  </si>
  <si>
    <t>게호글 세우지</t>
  </si>
  <si>
    <t>게효글</t>
  </si>
  <si>
    <t>게욕뚜</t>
  </si>
  <si>
    <t>규칙(規則)</t>
  </si>
  <si>
    <t>31039-0-1</t>
  </si>
  <si>
    <t>귀＇치기 엄＇껴캐야</t>
  </si>
  <si>
    <t>규칙</t>
  </si>
  <si>
    <t>규측</t>
  </si>
  <si>
    <t>규치기 만타</t>
  </si>
  <si>
    <t>31039-0-2</t>
  </si>
  <si>
    <t>귀＇칙또</t>
  </si>
  <si>
    <t>규칙뚜 만타</t>
  </si>
  <si>
    <t>귀칙</t>
  </si>
  <si>
    <t>규칙-보다</t>
  </si>
  <si>
    <t>규칙뚜</t>
  </si>
  <si>
    <t>31039-0-3</t>
  </si>
  <si>
    <t>귀＇치글</t>
  </si>
  <si>
    <t>귀치근 머여 {규칙은 뭐야}</t>
  </si>
  <si>
    <t>규치글 세워야</t>
  </si>
  <si>
    <t>귀치글 잘 지켜라</t>
  </si>
  <si>
    <t>규츠글 잘 지케야</t>
  </si>
  <si>
    <t>규치글 잘 지켜라</t>
  </si>
  <si>
    <t>휴일(休日)</t>
  </si>
  <si>
    <t>31040-0-1</t>
  </si>
  <si>
    <t>휴＇이리 조오＇타</t>
  </si>
  <si>
    <t>휘가/휘가 반넌다 그래지</t>
  </si>
  <si>
    <t>휴이리 조:타</t>
  </si>
  <si>
    <t>슈가</t>
  </si>
  <si>
    <t>휴이리라</t>
  </si>
  <si>
    <t>휴가가 만타</t>
  </si>
  <si>
    <t>31040-0-2</t>
  </si>
  <si>
    <t>휘＇일또 조오＇타/휘＇식/휴＇일</t>
  </si>
  <si>
    <t>휴일두 만:타</t>
  </si>
  <si>
    <t>쉬무야/쉬무다 (+원순성이 거의 없음)/슈가라구</t>
  </si>
  <si>
    <t>휴일</t>
  </si>
  <si>
    <t>휴가보다 조응건 웁따</t>
  </si>
  <si>
    <t>31040-0-3</t>
  </si>
  <si>
    <t>휘＇이를</t>
  </si>
  <si>
    <t>휴양간다</t>
  </si>
  <si>
    <t>휴가를 바다따</t>
  </si>
  <si>
    <t>교통(交通)</t>
  </si>
  <si>
    <t>31041-0-1</t>
  </si>
  <si>
    <t>교＇통이 복짭하＇다</t>
  </si>
  <si>
    <t>교통이 너머 복짜패</t>
  </si>
  <si>
    <t>교토~이 발딸</t>
  </si>
  <si>
    <t>교통질써</t>
  </si>
  <si>
    <t>교토~이 복짜바다</t>
  </si>
  <si>
    <t>31041-0-2</t>
  </si>
  <si>
    <t>교오＇통도 복짭하다</t>
  </si>
  <si>
    <t>교통도 발딸돼따</t>
  </si>
  <si>
    <t>괴통/괴통질써</t>
  </si>
  <si>
    <t>교통도</t>
  </si>
  <si>
    <t>휴가/교통</t>
  </si>
  <si>
    <t>31041-0-3</t>
  </si>
  <si>
    <t>교오＇통을 잘 지케야</t>
  </si>
  <si>
    <t>교통얼 잘 지키라 그래구</t>
  </si>
  <si>
    <t>괴통을</t>
  </si>
  <si>
    <t>교통-을/를</t>
  </si>
  <si>
    <t>교통을 잘 지케야</t>
  </si>
  <si>
    <t>효:자(孝子)</t>
  </si>
  <si>
    <t>31042-0-1</t>
  </si>
  <si>
    <t>효오＇자가 마안＇타</t>
  </si>
  <si>
    <t>효자</t>
  </si>
  <si>
    <t>효:자가 하나뚜 웁따</t>
  </si>
  <si>
    <t>효자라구</t>
  </si>
  <si>
    <t>효:자가 나따</t>
  </si>
  <si>
    <t>효:자가 만타</t>
  </si>
  <si>
    <t>31042-0-2</t>
  </si>
  <si>
    <t>효오＇자도 만타</t>
  </si>
  <si>
    <t>자래먼 효:부래구 남자가 자래먼 효:자라구 그래지</t>
  </si>
  <si>
    <t>효:자도 만:타</t>
  </si>
  <si>
    <t>효:자-보다</t>
  </si>
  <si>
    <t>효:자보다/효:자두 만타</t>
  </si>
  <si>
    <t>31042-0-3</t>
  </si>
  <si>
    <t>효오＇자를 본바다라</t>
  </si>
  <si>
    <t>남자는 효:자라고</t>
  </si>
  <si>
    <t>효:자라</t>
  </si>
  <si>
    <t>웬일(何事)</t>
  </si>
  <si>
    <t>31043-0-1</t>
  </si>
  <si>
    <t>와쓰니까 웨엔＇니리냐?</t>
  </si>
  <si>
    <t>자네 웬:니리여</t>
  </si>
  <si>
    <t>웬니리야</t>
  </si>
  <si>
    <t>웬:니리냐?</t>
  </si>
  <si>
    <t>웬:닐로 여그완나/웬일루두 여기를 완느냐</t>
  </si>
  <si>
    <t>31043-0-2</t>
  </si>
  <si>
    <t>웨엔＇닐로 완나＇ 왜애＇ 완나</t>
  </si>
  <si>
    <t>니:가 웬:니리냐</t>
  </si>
  <si>
    <t>31043-0-3</t>
  </si>
  <si>
    <t>웬일루 여기 완느냐구</t>
  </si>
  <si>
    <t>웬일-을/를</t>
  </si>
  <si>
    <t>궤:(짝)(櫃)</t>
  </si>
  <si>
    <t>31044-0-1</t>
  </si>
  <si>
    <t>궤에＇가 조타/궤에＇짜근 이러 큰데＇</t>
  </si>
  <si>
    <t>궤:짝</t>
  </si>
  <si>
    <t>귀:짜기라구래</t>
  </si>
  <si>
    <t>괴:가 크다</t>
  </si>
  <si>
    <t>궤:가 크다</t>
  </si>
  <si>
    <t>31044-0-2</t>
  </si>
  <si>
    <t>궤에＇짝/궤에＇두 조오＇타라</t>
  </si>
  <si>
    <t>귀:짝 이렁 거 짜능 거</t>
  </si>
  <si>
    <t>괴:짜글</t>
  </si>
  <si>
    <t>궤:/궤:두 크다</t>
  </si>
  <si>
    <t>31044-0-3</t>
  </si>
  <si>
    <t>궤에＇짜게다 넌는그 마＇제/그지븐 참:: 궤에＇를 조오＇응걸가주 오다라</t>
  </si>
  <si>
    <t>궤:라고 궤:</t>
  </si>
  <si>
    <t>궬:가주와라/궤:라 궤</t>
  </si>
  <si>
    <t>왜란(倭亂)</t>
  </si>
  <si>
    <t>31045-0-1</t>
  </si>
  <si>
    <t>임＇진왜라니 나따</t>
  </si>
  <si>
    <t>왜란</t>
  </si>
  <si>
    <t>왜나니라</t>
  </si>
  <si>
    <t>왜늠드리라그래지요</t>
  </si>
  <si>
    <t>31045-0-2</t>
  </si>
  <si>
    <t>웨엔＇닐로 완나＇ 왜애＇ 완나/왜＇난도 나따</t>
  </si>
  <si>
    <t>왜늠드리라</t>
  </si>
  <si>
    <t>임진왜난</t>
  </si>
  <si>
    <t>왜늠들/왜누미라고</t>
  </si>
  <si>
    <t>31045-0-3</t>
  </si>
  <si>
    <t>왜＇나늘</t>
  </si>
  <si>
    <t>왜란-을/를</t>
  </si>
  <si>
    <t>횃대(鷄架)</t>
  </si>
  <si>
    <t>31046-0-1</t>
  </si>
  <si>
    <t>해가＇ 지이＇게 해애＇라/해애가＇ 놉＇따</t>
  </si>
  <si>
    <t>홰/댁 홰라 그래 닥 홰 {닭홰라 그래 닭홰}</t>
  </si>
  <si>
    <t>홰:때/홰때가 부서저따</t>
  </si>
  <si>
    <t>해뿌리라(+＇덕대＇라는 어형이 나오기 때문에 표제어를 ＇횃불＇로 바꾸었음)</t>
  </si>
  <si>
    <t>해가 넙따 닥 {홰가 높다 닭}/달거 해:라고 그래는데</t>
  </si>
  <si>
    <t>홰가 놉따</t>
  </si>
  <si>
    <t>31046-0-2</t>
  </si>
  <si>
    <t>해애＇두 놉＇따</t>
  </si>
  <si>
    <t>홰럴 처준다 그래지</t>
  </si>
  <si>
    <t>해뿔</t>
  </si>
  <si>
    <t>다캐두 넙따 {닭 홰도 높다}</t>
  </si>
  <si>
    <t>홰</t>
  </si>
  <si>
    <t>31046-0-3</t>
  </si>
  <si>
    <t>해는＇ 너무 노＇피 매지마＇라/해를＇ 노＇피 해노니까</t>
  </si>
  <si>
    <t>홰때를 곤처라/홰때에 올라간다</t>
  </si>
  <si>
    <t>홰:라고</t>
  </si>
  <si>
    <t>홰라그래요</t>
  </si>
  <si>
    <t>원망(怨望)</t>
  </si>
  <si>
    <t>31047-0-1</t>
  </si>
  <si>
    <t>워언＇망이</t>
  </si>
  <si>
    <t>원:한이라 그래지 원한</t>
  </si>
  <si>
    <t>원마~이 만타</t>
  </si>
  <si>
    <t>원:마~이라그래</t>
  </si>
  <si>
    <t>31047-0-2</t>
  </si>
  <si>
    <t>원＇망도 한다/워언＇망한다</t>
  </si>
  <si>
    <t>원:망해지 마라</t>
  </si>
  <si>
    <t>원망</t>
  </si>
  <si>
    <t>원:망두 만:타</t>
  </si>
  <si>
    <t>31047-0-3</t>
  </si>
  <si>
    <t>워언＇망을 하지 마아＇라/차암＇ 그러쿠나 워언＇망스럽꾸나</t>
  </si>
  <si>
    <t>원망하지마러라</t>
  </si>
  <si>
    <t>원:망을 하지마라</t>
  </si>
  <si>
    <t>권:투(拳鬪)</t>
  </si>
  <si>
    <t>31048-0-1</t>
  </si>
  <si>
    <t>고온＇투가 재미＇따</t>
  </si>
  <si>
    <t>권:토</t>
  </si>
  <si>
    <t>꼰투가 실타/꼰:투/꿘:투</t>
  </si>
  <si>
    <t>권:투가 재미따</t>
  </si>
  <si>
    <t>꼰:투가 재미따</t>
  </si>
  <si>
    <t>31048-0-2</t>
  </si>
  <si>
    <t>코온＇토/고온＇투/고온＇투도 재미＇따</t>
  </si>
  <si>
    <t>권:토라 그래덩가</t>
  </si>
  <si>
    <t>꼰투두 마:~이 한다</t>
  </si>
  <si>
    <t>콘:투/콘:토</t>
  </si>
  <si>
    <t>권:투두 재미따</t>
  </si>
  <si>
    <t>꼰:투두 재미꾸</t>
  </si>
  <si>
    <t>31048-0-3</t>
  </si>
  <si>
    <t>궈언＇투가 재미＇따 궈언＇투를 잘하다라</t>
  </si>
  <si>
    <t>꼰투를 한다</t>
  </si>
  <si>
    <t>콘:토라구래자너</t>
  </si>
  <si>
    <t>권:투</t>
  </si>
  <si>
    <t>꼰:투라그래지</t>
  </si>
  <si>
    <t>의논(議論)</t>
  </si>
  <si>
    <t>으눈/이눈핸다 그래 이눈</t>
  </si>
  <si>
    <t>31049-0-1</t>
  </si>
  <si>
    <t>이＇노니 마안＇타/이＇학이 발딸＇해따 {의학이 발달했다.}</t>
  </si>
  <si>
    <t>의:논</t>
  </si>
  <si>
    <t>이논해:라</t>
  </si>
  <si>
    <t>으느니라그래</t>
  </si>
  <si>
    <t>31049-0-2</t>
  </si>
  <si>
    <t>으사＇ {의사}/으＇는한다 {의논한다}/이＇논도 해애＇라</t>
  </si>
  <si>
    <t>으눈/이원(+구)/만날 으심시러워 이래지/저 으자에 안즈라 구래/으심시럽따구/지끄믄 으사라 그래지만/옌:나렌 이워니라 그래찌</t>
  </si>
  <si>
    <t>의:논도 마:니 한다</t>
  </si>
  <si>
    <t>이논</t>
  </si>
  <si>
    <t>으:는두 중요하다/으는하자</t>
  </si>
  <si>
    <t>31049-0-3</t>
  </si>
  <si>
    <t>으＇는 잘::해야지 {의논 잘 해야지.}/이＇노늘 해애＇라</t>
  </si>
  <si>
    <t>잘 으누늘 핸다구</t>
  </si>
  <si>
    <t>이노늘 해라</t>
  </si>
  <si>
    <t>의논-을/를</t>
  </si>
  <si>
    <t>무늬(紋)</t>
  </si>
  <si>
    <t>31050-0-1</t>
  </si>
  <si>
    <t>무노＇가 이이＇뿌다</t>
  </si>
  <si>
    <t>무누가 이:뿌다</t>
  </si>
  <si>
    <t>무네</t>
  </si>
  <si>
    <t>무네가 곱:따</t>
  </si>
  <si>
    <t>무니가 곱:따</t>
  </si>
  <si>
    <t>31050-0-2</t>
  </si>
  <si>
    <t>무노＇/무노＇두 이이＇뿌다</t>
  </si>
  <si>
    <t>무누도 이뿌다</t>
  </si>
  <si>
    <t>무네 무네</t>
  </si>
  <si>
    <t>무니보다</t>
  </si>
  <si>
    <t>31050-0-3</t>
  </si>
  <si>
    <t>그 무노＇를 잘라＇아따</t>
  </si>
  <si>
    <t>무누를 새게라</t>
  </si>
  <si>
    <t>꼼무닐 놔:따/무넬 놔:따/무노를</t>
  </si>
  <si>
    <t>무니를 잘</t>
  </si>
  <si>
    <t>왕(王)</t>
  </si>
  <si>
    <t>31051-0-1</t>
  </si>
  <si>
    <t>세종은 왕＇이 돼＇애따</t>
  </si>
  <si>
    <t>왕이라구두 해구</t>
  </si>
  <si>
    <t>와~이 나간다</t>
  </si>
  <si>
    <t>왕이라구래나</t>
  </si>
  <si>
    <t>와~이라고 {왕이라고}</t>
  </si>
  <si>
    <t>왕:이조./왕이</t>
  </si>
  <si>
    <t>31051-0-2</t>
  </si>
  <si>
    <t>왕＇도/대애＇왕</t>
  </si>
  <si>
    <t>왕:도 보구</t>
  </si>
  <si>
    <t>왕</t>
  </si>
  <si>
    <t>왕두</t>
  </si>
  <si>
    <t>왕 보다 노푼 사라멉따</t>
  </si>
  <si>
    <t>31051-0-3</t>
  </si>
  <si>
    <t>왕＇을 바아＇라</t>
  </si>
  <si>
    <t>왕:을 마지해라</t>
  </si>
  <si>
    <t>대:와~이라고도 하고</t>
  </si>
  <si>
    <t>왕:을</t>
  </si>
  <si>
    <t>과자(菓子)</t>
  </si>
  <si>
    <t>31052-0-1</t>
  </si>
  <si>
    <t>과재＇가 마시따/과＇하기 발딸해따 {과학이 발달했다.}</t>
  </si>
  <si>
    <t>과:이럴 사달래지</t>
  </si>
  <si>
    <t>과자가 만:타</t>
  </si>
  <si>
    <t>과이리구</t>
  </si>
  <si>
    <t>과자</t>
  </si>
  <si>
    <t>과지리 마시따</t>
  </si>
  <si>
    <t>31052-0-2</t>
  </si>
  <si>
    <t>과재＇도 마시따</t>
  </si>
  <si>
    <t>과자/과일 말고</t>
  </si>
  <si>
    <t>과자두 만:타</t>
  </si>
  <si>
    <t>과자라고/과:일</t>
  </si>
  <si>
    <t>과자도 마시따/과자보다</t>
  </si>
  <si>
    <t>과질두 이써요/과질보다 마시능건 업따</t>
  </si>
  <si>
    <t>31052-0-3</t>
  </si>
  <si>
    <t>과재＇를 머가라</t>
  </si>
  <si>
    <t>과자를 사라</t>
  </si>
  <si>
    <t>거 가서 과자르 가주와라</t>
  </si>
  <si>
    <t>과지를 먹짜</t>
  </si>
  <si>
    <t>일(一)</t>
  </si>
  <si>
    <t>일</t>
  </si>
  <si>
    <t>31053-0-1</t>
  </si>
  <si>
    <t>이르＇ 더하먼 사＇미다/이리＇다/이레＇다가 이이＇를 더하모</t>
  </si>
  <si>
    <t>이:보다메 이리 작찌 {이보다 일이 작지}/이리 된다</t>
  </si>
  <si>
    <t>이리 남찌</t>
  </si>
  <si>
    <t>이리라고 {일이라고}</t>
  </si>
  <si>
    <t>이리 돼:따</t>
  </si>
  <si>
    <t>31053-0-2</t>
  </si>
  <si>
    <t>일보다＇</t>
  </si>
  <si>
    <t>일보더 크지/일보덩 이:가 더크다</t>
  </si>
  <si>
    <t>일보다</t>
  </si>
  <si>
    <t>일보다 이:가 크다</t>
  </si>
  <si>
    <t>일보다 이가 크다</t>
  </si>
  <si>
    <t>일:(事)</t>
  </si>
  <si>
    <t>31054-0-1</t>
  </si>
  <si>
    <t>이이＇리 마안＇타/이이＇른 내＇애리 꼭 끈내＇라/이이＇레는 끄치＇ 업＇따</t>
  </si>
  <si>
    <t>이:리 만타</t>
  </si>
  <si>
    <t>31054-0-2</t>
  </si>
  <si>
    <t>이일＇또 마안＇타</t>
  </si>
  <si>
    <t>일:보덩/일:보다 놀기 조와한다</t>
  </si>
  <si>
    <t>일:보다</t>
  </si>
  <si>
    <t>농초네는 일:뚜 만타/일:하능건 좀 느러부짜누. {＇일＇하는 것은 좀 늘어붙잖우.}</t>
  </si>
  <si>
    <t>일:두 만타/일:하과 {일하고}</t>
  </si>
  <si>
    <t>31055-0-1</t>
  </si>
  <si>
    <t>매가＇ 아푸다</t>
  </si>
  <si>
    <t>매럴 드능 거/매럴 든다고 해먼</t>
  </si>
  <si>
    <t>매를 번:다</t>
  </si>
  <si>
    <t>매가</t>
  </si>
  <si>
    <t>매가 실타</t>
  </si>
  <si>
    <t>31055-0-2</t>
  </si>
  <si>
    <t>매는＇/매도＇ 아푸다</t>
  </si>
  <si>
    <t>매루 애럴 때리네 이래지/매 때린다구</t>
  </si>
  <si>
    <t>매두 질다</t>
  </si>
  <si>
    <t>매보더 아풍기 업따</t>
  </si>
  <si>
    <t>매두 실타</t>
  </si>
  <si>
    <t>매:(鷲)</t>
  </si>
  <si>
    <t>31056-0-1</t>
  </si>
  <si>
    <t>매애＇가 난＇다</t>
  </si>
  <si>
    <t>매:가 떠따</t>
  </si>
  <si>
    <t>매가 크다(+길다고 인식함)</t>
  </si>
  <si>
    <t>매:가 만타/매:가 하느를 난다</t>
  </si>
  <si>
    <t>매:가 만타</t>
  </si>
  <si>
    <t>31056-0-2</t>
  </si>
  <si>
    <t>매애＇부텀 자＇바라/매애＇보다가는 몸찌＇비 작＇:찌요</t>
  </si>
  <si>
    <t>매:두 자바머꾸/매:두 무섭찌</t>
  </si>
  <si>
    <t>매: 매:두 크다</t>
  </si>
  <si>
    <t>매:두 만타/매:하고</t>
  </si>
  <si>
    <t>매:두 만타</t>
  </si>
  <si>
    <t>밤(夜)</t>
  </si>
  <si>
    <t>31057-0-1</t>
  </si>
  <si>
    <t>바미＇ 지이＇다/바＇메/바무＇ 지새＇따</t>
  </si>
  <si>
    <t>바미 지펀네 {밤이 깊었네}/바메 열뚜시 되먼</t>
  </si>
  <si>
    <t>겨울겐 바이미 질:다</t>
  </si>
  <si>
    <t>바믄 질:다/바미 질:다</t>
  </si>
  <si>
    <t>바미 질:다</t>
  </si>
  <si>
    <t>바미 질다</t>
  </si>
  <si>
    <t>31057-0-2</t>
  </si>
  <si>
    <t>밤보다＇</t>
  </si>
  <si>
    <t>밤보덩 나지 화나다</t>
  </si>
  <si>
    <t>밤두 질다</t>
  </si>
  <si>
    <t>밤두 질:다</t>
  </si>
  <si>
    <t>밤:(栗)</t>
  </si>
  <si>
    <t>밤:알개~이</t>
  </si>
  <si>
    <t>31058-0-1</t>
  </si>
  <si>
    <t>바아＇미 마안＇타</t>
  </si>
  <si>
    <t>그걸 바:미라 그래/바미 돼:따구래지</t>
  </si>
  <si>
    <t>바:미나</t>
  </si>
  <si>
    <t>31058-0-2</t>
  </si>
  <si>
    <t>바암＇보다＇</t>
  </si>
  <si>
    <t>밤:/밤:쏭아리라 그래</t>
  </si>
  <si>
    <t>밤:두 만:타</t>
  </si>
  <si>
    <t>밤:두</t>
  </si>
  <si>
    <t>밤:두 마시따</t>
  </si>
  <si>
    <t>밤:두 만타</t>
  </si>
  <si>
    <t>눈(眼)</t>
  </si>
  <si>
    <t>31059-0-1</t>
  </si>
  <si>
    <t>누~이＇ 크다＇ 왕＇누~이다 누~이＇ 크다＇/누늘＇ 떠어＇따</t>
  </si>
  <si>
    <t>티가 누네 드러가따/누는 짜르다 눈쏘리는/누니 어둡따구/누누로 보지 머 {눈으로 보지 뭐}</t>
  </si>
  <si>
    <t>누~이 크다</t>
  </si>
  <si>
    <t>누니 크다</t>
  </si>
  <si>
    <t>31059-0-2</t>
  </si>
  <si>
    <t>눈버＇텅 까마＇라</t>
  </si>
  <si>
    <t>눈두 박따</t>
  </si>
  <si>
    <t>눈두 크다</t>
  </si>
  <si>
    <t>손두 크구 눈두 크다</t>
  </si>
  <si>
    <t>눈:(雪)</t>
  </si>
  <si>
    <t>31060-0-1</t>
  </si>
  <si>
    <t>누우＇~:이 와따/누우＇~이 자꾸 온다＇</t>
  </si>
  <si>
    <t>누:니 싸여따/누:니 온다 그래지/누:니 오고</t>
  </si>
  <si>
    <t>누:~이 내린다</t>
  </si>
  <si>
    <t>누니 온다</t>
  </si>
  <si>
    <t>누:니 온다</t>
  </si>
  <si>
    <t>누:니 내린다</t>
  </si>
  <si>
    <t>31060-0-2</t>
  </si>
  <si>
    <t>누운＇버텀 치＇와라/누운＇버텀 처:라＇</t>
  </si>
  <si>
    <t>눈:두 마:~이 내린다</t>
  </si>
  <si>
    <t>눈:/하누레서 눈두 온다</t>
  </si>
  <si>
    <t>눈:두 마니 온다</t>
  </si>
  <si>
    <t>눈:두 만타</t>
  </si>
  <si>
    <t>말(馬)</t>
  </si>
  <si>
    <t>31061-0-1</t>
  </si>
  <si>
    <t>마＇리 마안＇타/마＇리가 머 마~이따＇라 {말이 많이 있더라.}</t>
  </si>
  <si>
    <t>마런 짜르자너</t>
  </si>
  <si>
    <t>마리 뛴다</t>
  </si>
  <si>
    <t>마리</t>
  </si>
  <si>
    <t>마리 따르르따르르 뛴다</t>
  </si>
  <si>
    <t>마리 뛴다/마리 만타</t>
  </si>
  <si>
    <t>31061-0-2</t>
  </si>
  <si>
    <t>말＇부텀</t>
  </si>
  <si>
    <t>아유 말 타고 어디 가네/말 타고 간다구</t>
  </si>
  <si>
    <t>말보덩 소가 이를 자란다</t>
  </si>
  <si>
    <t>말두 크다</t>
  </si>
  <si>
    <t>말뚜 만:타</t>
  </si>
  <si>
    <t>말두 만타</t>
  </si>
  <si>
    <t>말(斗)</t>
  </si>
  <si>
    <t>31062-0-1</t>
  </si>
  <si>
    <t>마리＇ 크다＇</t>
  </si>
  <si>
    <t>마리(재는 도구)</t>
  </si>
  <si>
    <t>되보다 마리 크다</t>
  </si>
  <si>
    <t>되보덩 킁기 마리다</t>
  </si>
  <si>
    <t>마리 크다</t>
  </si>
  <si>
    <t>31062-0-2</t>
  </si>
  <si>
    <t>말부＇텀 돼애＇라</t>
  </si>
  <si>
    <t>말(되보다 큰 말)</t>
  </si>
  <si>
    <t>말두 크다(+재는 단위)</t>
  </si>
  <si>
    <t>마리다 {말이다}/말보더</t>
  </si>
  <si>
    <t>말:(言)</t>
  </si>
  <si>
    <t>31063-0-1</t>
  </si>
  <si>
    <t>마아＇르 그＇러케 함부로 하지마라/마아＇리 만타 니＇는</t>
  </si>
  <si>
    <t>마:리 참 만타/마:런 좀 길:자너</t>
  </si>
  <si>
    <t>마:리 만타</t>
  </si>
  <si>
    <t>마:를 마니 핸다</t>
  </si>
  <si>
    <t>마:리 만타/말:뚜 만타</t>
  </si>
  <si>
    <t>말:두 만타</t>
  </si>
  <si>
    <t>31063-0-2</t>
  </si>
  <si>
    <t>마알＇ 조오＇심 좀 해/마알＇부텀 조오＇심해야지</t>
  </si>
  <si>
    <t>말:두 만타 이래구</t>
  </si>
  <si>
    <t>말:도 만타</t>
  </si>
  <si>
    <t>손(客)</t>
  </si>
  <si>
    <t>31064-0-1</t>
  </si>
  <si>
    <t>소＇니라 하＇고/소＇니 와따＇</t>
  </si>
  <si>
    <t>소니 온다</t>
  </si>
  <si>
    <t>손니미</t>
  </si>
  <si>
    <t>손니미 오서따</t>
  </si>
  <si>
    <t>손니미 와따</t>
  </si>
  <si>
    <t>31064-0-2</t>
  </si>
  <si>
    <t>손＇니미/손＇도 와따</t>
  </si>
  <si>
    <t>손니미 차저오네</t>
  </si>
  <si>
    <t>손두 마:~이 온다</t>
  </si>
  <si>
    <t>모르는 손니미 와따</t>
  </si>
  <si>
    <t>손님/손니뫄따그래지요</t>
  </si>
  <si>
    <t>손(手)</t>
  </si>
  <si>
    <t>31065-0-1</t>
  </si>
  <si>
    <t>소~이＇ 크다＇/소니＇ 크다</t>
  </si>
  <si>
    <t>아유 저 지븐 소:니 귀해얘 그래/소니지 머</t>
  </si>
  <si>
    <t>소니</t>
  </si>
  <si>
    <t>소니 크다</t>
  </si>
  <si>
    <t>소느로 가레라/소니 크다</t>
  </si>
  <si>
    <t>31065-0-2</t>
  </si>
  <si>
    <t>손도＇ 크다/손뜽＇</t>
  </si>
  <si>
    <t>손(사람의 손)</t>
  </si>
  <si>
    <t>손도 이:뿌다</t>
  </si>
  <si>
    <t>손도 크다/*</t>
  </si>
  <si>
    <t>손두 크다</t>
  </si>
  <si>
    <t>손:(孫)</t>
  </si>
  <si>
    <t>31066-0-1</t>
  </si>
  <si>
    <t>소오＇니 귀하다</t>
  </si>
  <si>
    <t>소:니 귀하다구</t>
  </si>
  <si>
    <t>소:니 만타</t>
  </si>
  <si>
    <t>소:니 귀해다</t>
  </si>
  <si>
    <t>소:니 귀하다</t>
  </si>
  <si>
    <t>31066-0-2</t>
  </si>
  <si>
    <t>소온＇</t>
  </si>
  <si>
    <t>손:두 만타</t>
  </si>
  <si>
    <t>손두 귀해다</t>
  </si>
  <si>
    <t>손:두 귀하다</t>
  </si>
  <si>
    <t>배(梨)</t>
  </si>
  <si>
    <t>31067-0-1</t>
  </si>
  <si>
    <t>배＇가 마~이 달려＇따라/배＇가 마안＇타(열매)</t>
  </si>
  <si>
    <t>배가 마:~이 열레따</t>
  </si>
  <si>
    <t>배가 마시따</t>
  </si>
  <si>
    <t>31067-0-2</t>
  </si>
  <si>
    <t>배＇부텀 가주 오나＇라</t>
  </si>
  <si>
    <t>배(과일)/배하고 밤하구 마~이 나</t>
  </si>
  <si>
    <t>배두 마시따</t>
  </si>
  <si>
    <t>배:(倍)</t>
  </si>
  <si>
    <t>31068-0-1</t>
  </si>
  <si>
    <t>배애＇로/배애＇가 된다/배애＇가 돼따/배애＇로 다아＇와</t>
  </si>
  <si>
    <t>두:배가 길다구</t>
  </si>
  <si>
    <t>배:가 만타 배:</t>
  </si>
  <si>
    <t>배:가 된다고 하기도 하고</t>
  </si>
  <si>
    <t>배:가 길다</t>
  </si>
  <si>
    <t>31068-0-2</t>
  </si>
  <si>
    <t>배애＇란 얘기는/배애＇도 돼따</t>
  </si>
  <si>
    <t>배:만 두배가 길다 그래</t>
  </si>
  <si>
    <t>배:두 만타</t>
  </si>
  <si>
    <t>배:로 질다</t>
  </si>
  <si>
    <t>배:가 된다고 이랜다니</t>
  </si>
  <si>
    <t>배:이상 길다</t>
  </si>
  <si>
    <t>벌(罰)</t>
  </si>
  <si>
    <t>31069-0-1</t>
  </si>
  <si>
    <t>버리＇ 쎄다</t>
  </si>
  <si>
    <t>버를 바다라</t>
  </si>
  <si>
    <t>버럴 신다</t>
  </si>
  <si>
    <t>버르 반는다 {벌을 받는다}</t>
  </si>
  <si>
    <t>버리 시마다</t>
  </si>
  <si>
    <t>31069-0-2</t>
  </si>
  <si>
    <t>벌또＇ 쎄다</t>
  </si>
  <si>
    <t>벌 신다구</t>
  </si>
  <si>
    <t>벌두 신다</t>
  </si>
  <si>
    <t>벌두 반는다</t>
  </si>
  <si>
    <t>벌신다/벌두 시:다</t>
  </si>
  <si>
    <t>벌:(蜂)</t>
  </si>
  <si>
    <t>31070-0-1</t>
  </si>
  <si>
    <t>버어＇리 만타/버어＇리 쑨다＇</t>
  </si>
  <si>
    <t>버:리구/버:리 드러가서요</t>
  </si>
  <si>
    <t>버:리 만타</t>
  </si>
  <si>
    <t>붜:리 쏴따</t>
  </si>
  <si>
    <t>버:리래요/기양 버:리라문</t>
  </si>
  <si>
    <t>붜:리 만타/붜:리라그래요</t>
  </si>
  <si>
    <t>31070-0-2</t>
  </si>
  <si>
    <t>버얼＇또 만타/버어＇리#</t>
  </si>
  <si>
    <t>붤:/부월 땡삐이래</t>
  </si>
  <si>
    <t>붤:/붤:두 만타</t>
  </si>
  <si>
    <t>토종뻐리 만:타/벌:뚜 만타</t>
  </si>
  <si>
    <t>꿀두 망쿠 붤:두 만타</t>
  </si>
  <si>
    <t>솔(松)</t>
  </si>
  <si>
    <t>31071-0-1</t>
  </si>
  <si>
    <t>소리＇ 크다＇(+할머니)/소리＇ 굴따</t>
  </si>
  <si>
    <t>소리지 솔/소리 망쿠(소나무)</t>
  </si>
  <si>
    <t>소리 만타</t>
  </si>
  <si>
    <t>소리 만:타</t>
  </si>
  <si>
    <t>소리 푸루다</t>
  </si>
  <si>
    <t>31071-0-2</t>
  </si>
  <si>
    <t>솔또＇ 구울＇따</t>
  </si>
  <si>
    <t>솔두 만타/솔:두 만타</t>
  </si>
  <si>
    <t>솔두 만타/솔:</t>
  </si>
  <si>
    <t>솔뚜 만:타</t>
  </si>
  <si>
    <t>솔두 푸루구</t>
  </si>
  <si>
    <t>솔:(刷)</t>
  </si>
  <si>
    <t>31072-0-1</t>
  </si>
  <si>
    <t>소오＇리 크다＇/아아＇ 소오＇리 크다＇</t>
  </si>
  <si>
    <t>소:리 만타</t>
  </si>
  <si>
    <t>소:리 조타</t>
  </si>
  <si>
    <t>소:리라그래지요</t>
  </si>
  <si>
    <t>31072-0-2</t>
  </si>
  <si>
    <t>소올＇ 가저 오나라 소올＇/소올또 마안＇타</t>
  </si>
  <si>
    <t>구두 솔:</t>
  </si>
  <si>
    <t>솔:두 만타</t>
  </si>
  <si>
    <t>솔:뚜 조타</t>
  </si>
  <si>
    <t>솔: 만타/솔:두 만타</t>
  </si>
  <si>
    <t>줄(鉉)</t>
  </si>
  <si>
    <t>31073-0-1</t>
  </si>
  <si>
    <t>주룰＇ 가주 오나라/주리＇ 지일＇다</t>
  </si>
  <si>
    <t>줄로 가주구 이러게 애덜 거기 타넘짜너 {줄로 이렇게 애들 거기 타넘잖아}/주럴 고무 {줄을 고무}</t>
  </si>
  <si>
    <t>주리 똑빠르다/주를 세지</t>
  </si>
  <si>
    <t>주리 질:다</t>
  </si>
  <si>
    <t>주리 길다</t>
  </si>
  <si>
    <t>31073-0-2</t>
  </si>
  <si>
    <t>줄로＇ 맨＇다/줄또＇</t>
  </si>
  <si>
    <t>줄두/줄루 매라</t>
  </si>
  <si>
    <t>줄뚜 질:다</t>
  </si>
  <si>
    <t>줄두 길다</t>
  </si>
  <si>
    <t>줄:(연장)</t>
  </si>
  <si>
    <t>31074-0-1</t>
  </si>
  <si>
    <t>주우＇리 마안＇타/주울＇가주 오나라/주우＇리 크다＇</t>
  </si>
  <si>
    <t>주:런 그거 아니여 주:런 {줄은 그것이 아니야 줄은}</t>
  </si>
  <si>
    <t>주:리 새거다</t>
  </si>
  <si>
    <t>주:리 마너/주:리지</t>
  </si>
  <si>
    <t>주:리 조:타/줄:또 이따</t>
  </si>
  <si>
    <t>주:리 크다</t>
  </si>
  <si>
    <t>31074-0-2</t>
  </si>
  <si>
    <t>주울＇또 이＇따</t>
  </si>
  <si>
    <t>줄:로 쓰지</t>
  </si>
  <si>
    <t>줄:두 만타</t>
  </si>
  <si>
    <t>줄:두 이따</t>
  </si>
  <si>
    <t>돌:(石)</t>
  </si>
  <si>
    <t>31075-0-1</t>
  </si>
  <si>
    <t>도오＇리 만:타</t>
  </si>
  <si>
    <t>도:를 들구 던제</t>
  </si>
  <si>
    <t>도:리 튀어 나와따</t>
  </si>
  <si>
    <t>도:레 걸레서/도:리 크다</t>
  </si>
  <si>
    <t>도:리 만타/도:를 던진다</t>
  </si>
  <si>
    <t>31075-0-2</t>
  </si>
  <si>
    <t>도올＇또 만타</t>
  </si>
  <si>
    <t>돌:메~이는 길:고</t>
  </si>
  <si>
    <t>돌:두 만타</t>
  </si>
  <si>
    <t>도:르 던진다/돌:뚜 크다</t>
  </si>
  <si>
    <t>담(牆)</t>
  </si>
  <si>
    <t>31076-0-1</t>
  </si>
  <si>
    <t>다미＇ 놉＇따</t>
  </si>
  <si>
    <t>다멀 터너머온다 {담을 터넘어 온다}/다메 올라가니까</t>
  </si>
  <si>
    <t>다:미 넙따</t>
  </si>
  <si>
    <t>다미라구</t>
  </si>
  <si>
    <t>다미 넙따</t>
  </si>
  <si>
    <t>31076-0-2</t>
  </si>
  <si>
    <t>담도＇</t>
  </si>
  <si>
    <t>담도 싸라(담장)</t>
  </si>
  <si>
    <t>담두 놉따</t>
  </si>
  <si>
    <t>담두 넙따/담친다</t>
  </si>
  <si>
    <t>담:(膽)</t>
  </si>
  <si>
    <t>31077-0-1</t>
  </si>
  <si>
    <t>다아＇미 세에＇다/다아＇미 쎄에＇다</t>
  </si>
  <si>
    <t>담:녀기 시다/*</t>
  </si>
  <si>
    <t>다:미 크다</t>
  </si>
  <si>
    <t>다:미 부터따(+병)</t>
  </si>
  <si>
    <t>31077-0-2</t>
  </si>
  <si>
    <t>다암＇도</t>
  </si>
  <si>
    <t>담:또 시구</t>
  </si>
  <si>
    <t>담:녀기래야</t>
  </si>
  <si>
    <t>담:두 크다</t>
  </si>
  <si>
    <t>담:두 아푸구</t>
  </si>
  <si>
    <t>들:(野)</t>
  </si>
  <si>
    <t>31078-0-1</t>
  </si>
  <si>
    <t>드으＇리 널＇따/우리＇가 드으＇리나 {우리가 들이나}</t>
  </si>
  <si>
    <t>드:레 {들에}/드:레 나가 이랜다구</t>
  </si>
  <si>
    <t>드:레 가서/드:리 널따</t>
  </si>
  <si>
    <t>드:리 너르다/들:뚜 널따</t>
  </si>
  <si>
    <t>드:리 널부니</t>
  </si>
  <si>
    <t>31078-0-2</t>
  </si>
  <si>
    <t>드을＇또 널＇따</t>
  </si>
  <si>
    <t>드:레 숭궈라</t>
  </si>
  <si>
    <t>들:두 널따</t>
  </si>
  <si>
    <t>들:루 가자</t>
  </si>
  <si>
    <t>달-(縣)</t>
  </si>
  <si>
    <t>31079-0-1</t>
  </si>
  <si>
    <t>등＇을 다고＇ 이따/달고＇</t>
  </si>
  <si>
    <t>다러따 그래지 {달았다고 그러지}</t>
  </si>
  <si>
    <t>달구 이따</t>
  </si>
  <si>
    <t>지끔 단다/등을 달구 이따</t>
  </si>
  <si>
    <t>단다 {등을 단다}/등을 달고 이따</t>
  </si>
  <si>
    <t>다라/단다그래조/달기두 하구</t>
  </si>
  <si>
    <t>31079-0-2</t>
  </si>
  <si>
    <t>단다＇/다다＇라/다라＇라</t>
  </si>
  <si>
    <t>달다라(저울)</t>
  </si>
  <si>
    <t>다러따/다라라</t>
  </si>
  <si>
    <t>등을 달자</t>
  </si>
  <si>
    <t>달-(甘)</t>
  </si>
  <si>
    <t>31080-0-1</t>
  </si>
  <si>
    <t>달＇고</t>
  </si>
  <si>
    <t>달지</t>
  </si>
  <si>
    <t>달다(맛)</t>
  </si>
  <si>
    <t>달다/달질 안타</t>
  </si>
  <si>
    <t>달다/다라서 마시따</t>
  </si>
  <si>
    <t>너머 달다</t>
  </si>
  <si>
    <t>31080-0-2</t>
  </si>
  <si>
    <t>꾸리＇ 다＇다/다다＇라</t>
  </si>
  <si>
    <t>달다라(맛)</t>
  </si>
  <si>
    <t>너머 다러서 몸멍는다</t>
  </si>
  <si>
    <t>달:-(熱)</t>
  </si>
  <si>
    <t>31081-0-1</t>
  </si>
  <si>
    <t>소＇치 다＇라다/다알＇고/다＇라따/다알＇고 이＇따</t>
  </si>
  <si>
    <t>발거케 다릉 거를 {벌겋게 단 것을}/소치 다러꾸나 이래지</t>
  </si>
  <si>
    <t>달:지</t>
  </si>
  <si>
    <t>달:질 안는다/소치 단:다</t>
  </si>
  <si>
    <t>달:고 이따/단:다/부리 벌:커게 다러따 그래야지</t>
  </si>
  <si>
    <t>이짝소뚜 달쿠/달치요</t>
  </si>
  <si>
    <t>31081-0-2</t>
  </si>
  <si>
    <t>다안＇다/다알＇다라</t>
  </si>
  <si>
    <t>달:다라</t>
  </si>
  <si>
    <t>다러따</t>
  </si>
  <si>
    <t>소치 다러따구</t>
  </si>
  <si>
    <t>갈-(換)</t>
  </si>
  <si>
    <t>31082-0-1</t>
  </si>
  <si>
    <t>등＇을 가＇린다</t>
  </si>
  <si>
    <t>새루 가:느라구 {새로 가느라고}/무널 다시 가러야겐네 이래지/빼야지 갈지</t>
  </si>
  <si>
    <t>이거뚜 갈구 저거또 가러따</t>
  </si>
  <si>
    <t>간:다/등을 갈:고 이따</t>
  </si>
  <si>
    <t>갈고</t>
  </si>
  <si>
    <t>31082-0-2</t>
  </si>
  <si>
    <t>가＇레라/가＇리다라</t>
  </si>
  <si>
    <t>갈:다라</t>
  </si>
  <si>
    <t>가러따</t>
  </si>
  <si>
    <t>가라라</t>
  </si>
  <si>
    <t>갈-(磨)</t>
  </si>
  <si>
    <t>31083-0-1</t>
  </si>
  <si>
    <t>간다＇/가니＇까/가고 이따/갈고＇ 이따</t>
  </si>
  <si>
    <t>갈:지 걸루(연마)/머그로 갈:지/가:능 건(칼을)/가:러</t>
  </si>
  <si>
    <t>가:넝건</t>
  </si>
  <si>
    <t>수또레 갈:구 이따/갈:고 이따/간:다그래요</t>
  </si>
  <si>
    <t>간다그래요/갈지요</t>
  </si>
  <si>
    <t>31083-0-2</t>
  </si>
  <si>
    <t>가라＇라/가다＇라</t>
  </si>
  <si>
    <t>수또레다 가른다구 그래 수똘 {숫돌에다 간다고 그래 숫돌}</t>
  </si>
  <si>
    <t>나슬 갈:다라</t>
  </si>
  <si>
    <t>수또레 가러따</t>
  </si>
  <si>
    <t>칼즘 빨리 가러라</t>
  </si>
  <si>
    <t>갈:-(耕)</t>
  </si>
  <si>
    <t>31084-0-1</t>
  </si>
  <si>
    <t>갈가안＇다/바＇틀 가알＇고/가알＇고 이쓰＇니까/가알＇게 가안＇다/가아＇니까</t>
  </si>
  <si>
    <t>가러/소루 갈:지/나설 가능 게 수또리지</t>
  </si>
  <si>
    <t>바츨 갈:지 말라/간:다</t>
  </si>
  <si>
    <t>간:다/바틀 갈:고 이따</t>
  </si>
  <si>
    <t>이쪽빠뚜 갈:구/간:다그래지요</t>
  </si>
  <si>
    <t>31084-0-2</t>
  </si>
  <si>
    <t>가＇라라/가아＇다라</t>
  </si>
  <si>
    <t>가러라</t>
  </si>
  <si>
    <t>걷-(收)</t>
  </si>
  <si>
    <t>31085-0-1</t>
  </si>
  <si>
    <t>거둔＇는다/거두＇우고 이따/거두고 이따 거두＇꼬 이따</t>
  </si>
  <si>
    <t>건는다구</t>
  </si>
  <si>
    <t>걷꼬이따</t>
  </si>
  <si>
    <t>거:찌말라/거찌 말라/건:넌다/거:꾸 이따</t>
  </si>
  <si>
    <t>건넌다/거꼬 이따</t>
  </si>
  <si>
    <t>거짜</t>
  </si>
  <si>
    <t>31085-0-2</t>
  </si>
  <si>
    <t>거다＇아라/거두＇따라/거두＇우다라/거돠＇아라/거둔＇는다</t>
  </si>
  <si>
    <t>아이 비온다 빨래 거더라 이래지</t>
  </si>
  <si>
    <t>빨래를 거더라</t>
  </si>
  <si>
    <t>거더라</t>
  </si>
  <si>
    <t>걷:-(步)</t>
  </si>
  <si>
    <t>31086-0-1</t>
  </si>
  <si>
    <t>거얼＇꼬 이따</t>
  </si>
  <si>
    <t>건:넌다/빨리 건네</t>
  </si>
  <si>
    <t>걸:꼬이따라</t>
  </si>
  <si>
    <t>걸:찌 말고 뚜ㅕ:라/거:꾸 이따/건:넝거 하고/걸:꼬 이따</t>
  </si>
  <si>
    <t>빨리 걸:꾸 이따 이래/빨리 걸:른다</t>
  </si>
  <si>
    <t>빨리 거:짜/거:꾸</t>
  </si>
  <si>
    <t>31086-0-2</t>
  </si>
  <si>
    <t>거얼＇떠라</t>
  </si>
  <si>
    <t>거러가능 거/거러가라/잘두 거러가네 이래/모 껀넌 얘더른 {못 걷는 얘들은}</t>
  </si>
  <si>
    <t>거러야 된다</t>
  </si>
  <si>
    <t>거러라</t>
  </si>
  <si>
    <t>적-(書)</t>
  </si>
  <si>
    <t>31087-0-1</t>
  </si>
  <si>
    <t>저＇꼬 이따/정는＇다</t>
  </si>
  <si>
    <t>조이에다가 그를 정는다</t>
  </si>
  <si>
    <t>정는다 씬다/빨리 정는다</t>
  </si>
  <si>
    <t>저거라/정는다/저꾸 이따</t>
  </si>
  <si>
    <t>잘 저꾸</t>
  </si>
  <si>
    <t>31087-0-2</t>
  </si>
  <si>
    <t>저＇가라/저＇그니/적따＇라</t>
  </si>
  <si>
    <t>저거 노는다</t>
  </si>
  <si>
    <t>적떠라</t>
  </si>
  <si>
    <t>빨리 저거라</t>
  </si>
  <si>
    <t>잘 저거라</t>
  </si>
  <si>
    <t>적:-(小)</t>
  </si>
  <si>
    <t>작따</t>
  </si>
  <si>
    <t>31088-0-1</t>
  </si>
  <si>
    <t>즈으＇그~이/즈윽＇따/즈으＇가사</t>
  </si>
  <si>
    <t>즈:거/즉:따구/사라미 적떠니 오느런 망:쿠나 {사람이 적더니 오늘은 많구나}/즈:그먼 한되 해두 머꾸 {적으면 한 되해도 먹고}</t>
  </si>
  <si>
    <t>야~이 너무 즉:떠라</t>
  </si>
  <si>
    <t>즉:따</t>
  </si>
  <si>
    <t>즉:따/즈:거서 암보인다</t>
  </si>
  <si>
    <t>적:따(+＇어＇가 약간 상승화함.)</t>
  </si>
  <si>
    <t>31088-0-2</t>
  </si>
  <si>
    <t>즈윽＇따라</t>
  </si>
  <si>
    <t>즉:따라</t>
  </si>
  <si>
    <t>즈:거 조용해다</t>
  </si>
  <si>
    <t>즈:거서</t>
  </si>
  <si>
    <t>막-(防)[ㄱ]</t>
  </si>
  <si>
    <t>32001-0-1</t>
  </si>
  <si>
    <t>막＇짜</t>
  </si>
  <si>
    <t>가루망는다구 {가로막는다고}</t>
  </si>
  <si>
    <t>무를 망는다</t>
  </si>
  <si>
    <t>무럴 막찌 마라</t>
  </si>
  <si>
    <t>망는다</t>
  </si>
  <si>
    <t>망는다그래지요</t>
  </si>
  <si>
    <t>32001-0-2</t>
  </si>
  <si>
    <t>무를 마＇꼬</t>
  </si>
  <si>
    <t>마꼬이따/무를 마꼬 이따</t>
  </si>
  <si>
    <t>마꼬</t>
  </si>
  <si>
    <t>마꾸이따</t>
  </si>
  <si>
    <t>32001-0-3</t>
  </si>
  <si>
    <t>막따＇라</t>
  </si>
  <si>
    <t>막떠라</t>
  </si>
  <si>
    <t>망능걸/망넌다</t>
  </si>
  <si>
    <t>32001-0-4</t>
  </si>
  <si>
    <t>마＇그니까</t>
  </si>
  <si>
    <t>마그먼 흐르지 안는다</t>
  </si>
  <si>
    <t>마그니까</t>
  </si>
  <si>
    <t>마그니</t>
  </si>
  <si>
    <t>마거서</t>
  </si>
  <si>
    <t>32001-0-5</t>
  </si>
  <si>
    <t>마＇가라</t>
  </si>
  <si>
    <t>마거</t>
  </si>
  <si>
    <t>마가라/마거따/마가야대지/마거야지</t>
  </si>
  <si>
    <t>마거따/마거라</t>
  </si>
  <si>
    <t>마거서/마거라</t>
  </si>
  <si>
    <t>흐르-(流)[ㅡ]</t>
  </si>
  <si>
    <t>32002-0-1</t>
  </si>
  <si>
    <t>무리＇ 흐른＇다</t>
  </si>
  <si>
    <t>흐른다/냄:물 흐른다 이래구</t>
  </si>
  <si>
    <t>마그먼 흐르지 안는다/흐른다</t>
  </si>
  <si>
    <t>흐른다/*</t>
  </si>
  <si>
    <t>흐른다</t>
  </si>
  <si>
    <t>무리 흐른다</t>
  </si>
  <si>
    <t>32002-0-2</t>
  </si>
  <si>
    <t>흐르＇고 이따</t>
  </si>
  <si>
    <t>흐르고(+소)/흘르고 이따(+다)/흐르고 이따</t>
  </si>
  <si>
    <t>흘르구 이따</t>
  </si>
  <si>
    <t>흐르구이따</t>
  </si>
  <si>
    <t>32002-0-3</t>
  </si>
  <si>
    <t>흐르＇다라</t>
  </si>
  <si>
    <t>흘르능건</t>
  </si>
  <si>
    <t>흐르더라</t>
  </si>
  <si>
    <t>32002-0-4</t>
  </si>
  <si>
    <t>흐르＇니까</t>
  </si>
  <si>
    <t>흐르먼 마가야지</t>
  </si>
  <si>
    <t>흐르니</t>
  </si>
  <si>
    <t>여푸루 흘르믄 안된다</t>
  </si>
  <si>
    <t>32002-0-5</t>
  </si>
  <si>
    <t>흘＇러라(+신)/흘＇라라(+구)</t>
  </si>
  <si>
    <t>흘러 내린다구</t>
  </si>
  <si>
    <t>흘러야댄다/흘러간다</t>
  </si>
  <si>
    <t>흘러간다/흘러서 간다</t>
  </si>
  <si>
    <t>흘러서/흘러간다</t>
  </si>
  <si>
    <t>흘러간다</t>
  </si>
  <si>
    <t>오-(來)[ㅗ]</t>
  </si>
  <si>
    <t>32003-0-1</t>
  </si>
  <si>
    <t>온다＇</t>
  </si>
  <si>
    <t>보미 온다구/뽀수 오넝 거 기다린다/지부로 온다구/오길 기달린다</t>
  </si>
  <si>
    <t>손니미 온다/오신다</t>
  </si>
  <si>
    <t>오지 말라</t>
  </si>
  <si>
    <t>온다</t>
  </si>
  <si>
    <t>온다고도 허구</t>
  </si>
  <si>
    <t>32003-0-2</t>
  </si>
  <si>
    <t>오＇고 이따</t>
  </si>
  <si>
    <t>고 다으멘 여르미 오고</t>
  </si>
  <si>
    <t>손니미 오고이따</t>
  </si>
  <si>
    <t>오고 이따</t>
  </si>
  <si>
    <t>오고</t>
  </si>
  <si>
    <t>오고이따</t>
  </si>
  <si>
    <t>32003-0-3</t>
  </si>
  <si>
    <t>오더＇라</t>
  </si>
  <si>
    <t>오다라</t>
  </si>
  <si>
    <t>일루 온다</t>
  </si>
  <si>
    <t>오더라</t>
  </si>
  <si>
    <t>32003-0-4</t>
  </si>
  <si>
    <t>오＇니까/옴미＇다</t>
  </si>
  <si>
    <t>인제 타구 가야지 오먼</t>
  </si>
  <si>
    <t>지베 오먼 기부니 조:타</t>
  </si>
  <si>
    <t>오니깐</t>
  </si>
  <si>
    <t>오니</t>
  </si>
  <si>
    <t>오니까 잘보인다</t>
  </si>
  <si>
    <t>32003-0-5</t>
  </si>
  <si>
    <t>오나＇라/와씀＇미다/와라＇/와두＇ 된다</t>
  </si>
  <si>
    <t>장적 가 앙:꼬 오너라 이래지/이쪼그로 오너라 이래구</t>
  </si>
  <si>
    <t>손니미 와야 조:타</t>
  </si>
  <si>
    <t>와따/빨리 와라</t>
  </si>
  <si>
    <t>와써/가지말고 오너라</t>
  </si>
  <si>
    <t>가까이 와라/오거라 그러치</t>
  </si>
  <si>
    <t>듣-(聞)[ㄷ변]</t>
  </si>
  <si>
    <t>32004-0-1</t>
  </si>
  <si>
    <t>소＇리를 들른＇다/들＇짜</t>
  </si>
  <si>
    <t>잘 든는다/귀가 박꾸나 잘 든능구나 {귀가 밝구나 잘 듣는구나}</t>
  </si>
  <si>
    <t>드찌 마라/든는다/소리를 든는다</t>
  </si>
  <si>
    <t>든는다</t>
  </si>
  <si>
    <t>드찌 마라/든는다</t>
  </si>
  <si>
    <t>든는다하기도 하구</t>
  </si>
  <si>
    <t>32004-0-2</t>
  </si>
  <si>
    <t>들＇꼬</t>
  </si>
  <si>
    <t>드꼬 이따/드꼬이따</t>
  </si>
  <si>
    <t>잘 드꾸 이따/든는 중이다</t>
  </si>
  <si>
    <t>소리르 드꾸</t>
  </si>
  <si>
    <t>드꾸</t>
  </si>
  <si>
    <t>32004-0-3</t>
  </si>
  <si>
    <t>들떠＇라</t>
  </si>
  <si>
    <t>드따라</t>
  </si>
  <si>
    <t>드떠라</t>
  </si>
  <si>
    <t>그낭 드짜</t>
  </si>
  <si>
    <t>32004-0-4</t>
  </si>
  <si>
    <t>드＇르니까</t>
  </si>
  <si>
    <t>드르니/드르니까</t>
  </si>
  <si>
    <t>드르니깐 안다</t>
  </si>
  <si>
    <t>드르니</t>
  </si>
  <si>
    <t>드르니까</t>
  </si>
  <si>
    <t>32004-0-5</t>
  </si>
  <si>
    <t>드＇라라</t>
  </si>
  <si>
    <t>드러라</t>
  </si>
  <si>
    <t>드러도</t>
  </si>
  <si>
    <t>빨리 드러라</t>
  </si>
  <si>
    <t>많:-(多)[ㄶ]</t>
  </si>
  <si>
    <t>32005-0-1</t>
  </si>
  <si>
    <t>마안＇치</t>
  </si>
  <si>
    <t>이리미 만:치</t>
  </si>
  <si>
    <t>마:늡띠다/만:쏘/떠근 만:치만 니 머그리만치 머거라 {떡은 많지만 네 먹을 만큼 먹어라}</t>
  </si>
  <si>
    <t>만:타</t>
  </si>
  <si>
    <t>만:치안타</t>
  </si>
  <si>
    <t>32005-0-2</t>
  </si>
  <si>
    <t>마앙＇코</t>
  </si>
  <si>
    <t>버:란테 쏘인 사람두 망:쿠/사라미 적떠니 오느런 망:쿠나 {사람이 적더니 오늘은 많구나}</t>
  </si>
  <si>
    <t>그거뚜 망:쿠 이거</t>
  </si>
  <si>
    <t>망:쿠</t>
  </si>
  <si>
    <t>망:코</t>
  </si>
  <si>
    <t>만:코</t>
  </si>
  <si>
    <t>32005-0-3</t>
  </si>
  <si>
    <t>마안＇타라/시니＇ 마안＇터라/쌀뚜＇ 차암＇ 마안＇타</t>
  </si>
  <si>
    <t>여기 만:타 물거니 {여기 많다 물건이}</t>
  </si>
  <si>
    <t>만:타라/만:터라</t>
  </si>
  <si>
    <t>사라미 만:타라</t>
  </si>
  <si>
    <t>만:터라</t>
  </si>
  <si>
    <t>32005-0-4</t>
  </si>
  <si>
    <t>마아＇느니까</t>
  </si>
  <si>
    <t>거비 마느니까/물거니 여기 마:는데 {물건이 여기 많은데}/나이가 마느먼 노수카다 이래구</t>
  </si>
  <si>
    <t>마:느~이/떠기 마:느니까 마:~이 머거라</t>
  </si>
  <si>
    <t>마:느니깐/마:느믄 냉겨라</t>
  </si>
  <si>
    <t>사:라미 마:느니</t>
  </si>
  <si>
    <t>마:느니까 시끄럽따</t>
  </si>
  <si>
    <t>32005-0-5</t>
  </si>
  <si>
    <t>마아＇내사/그 지＇비 노~이＇ 마아＇내./덤부＇리 너무 마아＇내서 갈그체＇에 모오＇까깨따.</t>
  </si>
  <si>
    <t>꽤 마:내 이리미 {꽤 많아 이름이}/난 인제 나이가 마:너서/물거니 여기 마:너 {물건이 여기 많아}/아이 사람두 마:내 이래</t>
  </si>
  <si>
    <t>마:너도/너머 마:너서 시타 {너무 많아서 싫다}</t>
  </si>
  <si>
    <t>마:너서 실타</t>
  </si>
  <si>
    <t>마:너서</t>
  </si>
  <si>
    <t>마:나서/마:너서 시끄럽따</t>
  </si>
  <si>
    <t>맡-(任)[ㅌ]</t>
  </si>
  <si>
    <t>저이를 마꼬</t>
  </si>
  <si>
    <t>32006-0-1</t>
  </si>
  <si>
    <t>지물 마＇짜/만는＇다</t>
  </si>
  <si>
    <t>니:가 이를 마찌</t>
  </si>
  <si>
    <t>만는다</t>
  </si>
  <si>
    <t>마찌마라</t>
  </si>
  <si>
    <t>32006-0-2</t>
  </si>
  <si>
    <t>마＇꼬이떠라/마＇꼬이따/임＇무를 마＇꼬 이＇따</t>
  </si>
  <si>
    <t>이건 내가 마꼬/니가 마꼬</t>
  </si>
  <si>
    <t>저사람도 맏꼬</t>
  </si>
  <si>
    <t>32006-0-3</t>
  </si>
  <si>
    <t>마따＇라</t>
  </si>
  <si>
    <t>마떠라</t>
  </si>
  <si>
    <t>잘 마떠라</t>
  </si>
  <si>
    <t>32006-0-4</t>
  </si>
  <si>
    <t>마＇트니까</t>
  </si>
  <si>
    <t>마트라능건</t>
  </si>
  <si>
    <t>쉬:운니를 마트니</t>
  </si>
  <si>
    <t>나 마튼니를 다해떠라</t>
  </si>
  <si>
    <t>32006-0-5</t>
  </si>
  <si>
    <t>마＇타따</t>
  </si>
  <si>
    <t>내가 마터 핸다/내:가 마터 핸다 그래</t>
  </si>
  <si>
    <t>마타 하고 이따/그이를 마터 하게따</t>
  </si>
  <si>
    <t>마터 핸다/다 마터서</t>
  </si>
  <si>
    <t>마터서 하고</t>
  </si>
  <si>
    <t>마타따</t>
  </si>
  <si>
    <t>알:-(知)[ㄹ]</t>
  </si>
  <si>
    <t>32007-0-1</t>
  </si>
  <si>
    <t>나＇는 아안＇다/잘 아알＇지</t>
  </si>
  <si>
    <t>알:지모태따/나두 안:다</t>
  </si>
  <si>
    <t>알:지</t>
  </si>
  <si>
    <t>안:다</t>
  </si>
  <si>
    <t>안:다그래지요/알지모태따</t>
  </si>
  <si>
    <t>32007-0-2</t>
  </si>
  <si>
    <t>니＇도 아아＇고/아알＇고 이따/나＇는 아알＇고 이따</t>
  </si>
  <si>
    <t>나도 알:고이따</t>
  </si>
  <si>
    <t>잘 알기때미레</t>
  </si>
  <si>
    <t>알:고</t>
  </si>
  <si>
    <t>알:구</t>
  </si>
  <si>
    <t>32007-0-3</t>
  </si>
  <si>
    <t>알:더라</t>
  </si>
  <si>
    <t>잘 안:다/안:다구</t>
  </si>
  <si>
    <t>알:더라 그러케도</t>
  </si>
  <si>
    <t>32007-0-4</t>
  </si>
  <si>
    <t>아아＇니까</t>
  </si>
  <si>
    <t>알:쑤룩</t>
  </si>
  <si>
    <t>아:니</t>
  </si>
  <si>
    <t>구구다늘 잘 아르니까</t>
  </si>
  <si>
    <t>32007-0-5</t>
  </si>
  <si>
    <t>아＇라야 된다</t>
  </si>
  <si>
    <t>다: 아러서 내가 할께/내:가 아러서 다 할테니까 걱쩡 말라구/다: 아러서 해니까 걱쩡 말라구</t>
  </si>
  <si>
    <t>아라야된다</t>
  </si>
  <si>
    <t>아러서/아러써</t>
  </si>
  <si>
    <t>아러요</t>
  </si>
  <si>
    <t>아라야 된다</t>
  </si>
  <si>
    <t>감:-(閉眼)[ㅁ]</t>
  </si>
  <si>
    <t>32008-0-1</t>
  </si>
  <si>
    <t>감짜＇/감는＇다/깜는＇다</t>
  </si>
  <si>
    <t>깜넝 거</t>
  </si>
  <si>
    <t>깜:는다</t>
  </si>
  <si>
    <t>감:찌 말라</t>
  </si>
  <si>
    <t>감는다</t>
  </si>
  <si>
    <t>감:찌마라</t>
  </si>
  <si>
    <t>32008-0-2</t>
  </si>
  <si>
    <t>깜꼬＇/감꼬＇이따</t>
  </si>
  <si>
    <t>강:꼬이따</t>
  </si>
  <si>
    <t>누늘 감:꼬 이따</t>
  </si>
  <si>
    <t>강:꼬</t>
  </si>
  <si>
    <t>감:꾸</t>
  </si>
  <si>
    <t>32008-0-3</t>
  </si>
  <si>
    <t>감따＇라</t>
  </si>
  <si>
    <t>감:넝거</t>
  </si>
  <si>
    <t>감떠라</t>
  </si>
  <si>
    <t>감:떠라</t>
  </si>
  <si>
    <t>32008-0-4</t>
  </si>
  <si>
    <t>까무＇니/가무＇니까</t>
  </si>
  <si>
    <t>까므먼</t>
  </si>
  <si>
    <t>가므먼 보이지안는다</t>
  </si>
  <si>
    <t>가므먼 암보인다</t>
  </si>
  <si>
    <t>가무니 암보인다</t>
  </si>
  <si>
    <t>가무니까/가무먼 암보이조</t>
  </si>
  <si>
    <t>32008-0-5</t>
  </si>
  <si>
    <t>가마＇라/까마＇라/까마＇따/가마＇따</t>
  </si>
  <si>
    <t>까머라</t>
  </si>
  <si>
    <t>가머라</t>
  </si>
  <si>
    <t>가머라/가머따</t>
  </si>
  <si>
    <t>벗-(脫)[ㅅ]</t>
  </si>
  <si>
    <t>32009-0-1</t>
  </si>
  <si>
    <t>버＇짜/뻔는＇다</t>
  </si>
  <si>
    <t>버찌 왜 임냐</t>
  </si>
  <si>
    <t>버찌 마라</t>
  </si>
  <si>
    <t>번는다</t>
  </si>
  <si>
    <t>버찌마라</t>
  </si>
  <si>
    <t>32009-0-2</t>
  </si>
  <si>
    <t>오슬 뻐＇꼬</t>
  </si>
  <si>
    <t>아이 난 더워서 오 쫌 버껜네 이래지 {난 더워서 옷 좀 벗겠네 이러지}</t>
  </si>
  <si>
    <t>버꼬이따</t>
  </si>
  <si>
    <t>버꾸 이따</t>
  </si>
  <si>
    <t>버꼬</t>
  </si>
  <si>
    <t>번는다/번는다그래지요</t>
  </si>
  <si>
    <t>32009-0-3</t>
  </si>
  <si>
    <t>뻐따＇라</t>
  </si>
  <si>
    <t>오슬 버떠라</t>
  </si>
  <si>
    <t>32009-0-4</t>
  </si>
  <si>
    <t>뻐＇스니까</t>
  </si>
  <si>
    <t>버스니까 시워나다/확: 버스문</t>
  </si>
  <si>
    <t>버스니까/버스니까(+＇으＇가 전설모음에 가깝게 들림)</t>
  </si>
  <si>
    <t>오슬 버스니 시원하다</t>
  </si>
  <si>
    <t>오슬 버시니까 춥따</t>
  </si>
  <si>
    <t>32009-0-5</t>
  </si>
  <si>
    <t>버＇서라/빨＇리 뻐＇사라/오슬＇ 뻐＇서따</t>
  </si>
  <si>
    <t>더운데 오탕가지 버서라 이래 {더운데 옷 한 가지 벗어라}</t>
  </si>
  <si>
    <t>버서도 시원</t>
  </si>
  <si>
    <t>버서라/더우니까 버서</t>
  </si>
  <si>
    <t>버서라</t>
  </si>
  <si>
    <t>버서따</t>
  </si>
  <si>
    <t>옳-(可)[ㅀ]</t>
  </si>
  <si>
    <t>32010-0-1</t>
  </si>
  <si>
    <t>올치＇/올타＇</t>
  </si>
  <si>
    <t>올타</t>
  </si>
  <si>
    <t>그 마리 올치 아너</t>
  </si>
  <si>
    <t>올치</t>
  </si>
  <si>
    <t>32010-0-2</t>
  </si>
  <si>
    <t>올코＇</t>
  </si>
  <si>
    <t>올쿠나 이래구</t>
  </si>
  <si>
    <t>니말도 올코</t>
  </si>
  <si>
    <t>네말도 올코</t>
  </si>
  <si>
    <t>올코</t>
  </si>
  <si>
    <t>32010-0-3</t>
  </si>
  <si>
    <t>올타＇라</t>
  </si>
  <si>
    <t>네 마리 올타</t>
  </si>
  <si>
    <t>올터라</t>
  </si>
  <si>
    <t>내말만 올타고한다/올타고 하더라</t>
  </si>
  <si>
    <t>올타/올터라</t>
  </si>
  <si>
    <t>32010-0-4</t>
  </si>
  <si>
    <t>오루＇니까/오르＇니</t>
  </si>
  <si>
    <t>오릉건 대바야 안다/그르고 오릉건</t>
  </si>
  <si>
    <t>오루니깐</t>
  </si>
  <si>
    <t>오르니</t>
  </si>
  <si>
    <t>오루니까</t>
  </si>
  <si>
    <t>32010-0-5</t>
  </si>
  <si>
    <t>오라＇/그 마＇리 오라＇요</t>
  </si>
  <si>
    <t>오라도</t>
  </si>
  <si>
    <t>오라서</t>
  </si>
  <si>
    <t>오러요</t>
  </si>
  <si>
    <t>오라요</t>
  </si>
  <si>
    <t>입-(着衣)[ㅂ]</t>
  </si>
  <si>
    <t>32011-0-1</t>
  </si>
  <si>
    <t>입＇짜</t>
  </si>
  <si>
    <t>임넝 거(옷을)/입짜</t>
  </si>
  <si>
    <t>입찌</t>
  </si>
  <si>
    <t>입찌 말라</t>
  </si>
  <si>
    <t>임는다</t>
  </si>
  <si>
    <t>임는다/입찌마라그래지요</t>
  </si>
  <si>
    <t>32011-0-2</t>
  </si>
  <si>
    <t>글르＇ 입＇꼬 갑씨＇다 빨리/이＇꼬</t>
  </si>
  <si>
    <t>입꼬이따/익꼬이떠라</t>
  </si>
  <si>
    <t>오슬 이꾸 이따</t>
  </si>
  <si>
    <t>이꾸이따</t>
  </si>
  <si>
    <t>32011-0-3</t>
  </si>
  <si>
    <t>입따＇라</t>
  </si>
  <si>
    <t>왜 임냐</t>
  </si>
  <si>
    <t>임는 중이다</t>
  </si>
  <si>
    <t>입떠라</t>
  </si>
  <si>
    <t>입뜨라</t>
  </si>
  <si>
    <t>32011-0-4</t>
  </si>
  <si>
    <t>이＇부오 하능걷/이＇부니까/이＇부시오</t>
  </si>
  <si>
    <t>내이 쩌이브라 그래지 {내의 껴입으라 그러지}</t>
  </si>
  <si>
    <t>이브니까 덥:따</t>
  </si>
  <si>
    <t>이부니까</t>
  </si>
  <si>
    <t>이부니 따뜨타다</t>
  </si>
  <si>
    <t>마:니 이부니까 오슬</t>
  </si>
  <si>
    <t>32011-0-5</t>
  </si>
  <si>
    <t>이＇바라/오슬＇ 이＇바라</t>
  </si>
  <si>
    <t>쩌이버얘지 {껴입어야지}/쩌이버라</t>
  </si>
  <si>
    <t>이버두 춥다</t>
  </si>
  <si>
    <t>이버따</t>
  </si>
  <si>
    <t>마:니 이버따</t>
  </si>
  <si>
    <t>바꾸-(換)[ㅜ]</t>
  </si>
  <si>
    <t>32012-0-1</t>
  </si>
  <si>
    <t>바꾸＇자/바꾼＇다</t>
  </si>
  <si>
    <t>바꾸지</t>
  </si>
  <si>
    <t>바꾸지 말라/바꾸자</t>
  </si>
  <si>
    <t>바꾸지마라/바꾼다</t>
  </si>
  <si>
    <t>바꾸지 마라</t>
  </si>
  <si>
    <t>32012-0-2</t>
  </si>
  <si>
    <t>바꾸＇고/바꾸＇우고</t>
  </si>
  <si>
    <t>바꾸고이따</t>
  </si>
  <si>
    <t>바꾸구 이따</t>
  </si>
  <si>
    <t>바꾸고</t>
  </si>
  <si>
    <t>바꾸구 이따/바꾼다</t>
  </si>
  <si>
    <t>32012-0-3</t>
  </si>
  <si>
    <t>바꾸＇다라</t>
  </si>
  <si>
    <t>바꾸다라</t>
  </si>
  <si>
    <t>바꾸는</t>
  </si>
  <si>
    <t>바꾸더라</t>
  </si>
  <si>
    <t>32012-0-4</t>
  </si>
  <si>
    <t>바꾸＇니까</t>
  </si>
  <si>
    <t>바꾼다</t>
  </si>
  <si>
    <t>바꾸니까</t>
  </si>
  <si>
    <t>서로 바꾸니 펴난하다</t>
  </si>
  <si>
    <t>바꾸니까 조:타</t>
  </si>
  <si>
    <t>32012-0-5</t>
  </si>
  <si>
    <t>바꽈＇아라/바꽈＇라/바꽈＇따가</t>
  </si>
  <si>
    <t>바꿔달라 쏘리/바꿔 안저라</t>
  </si>
  <si>
    <t>바꿔선/바꿔라</t>
  </si>
  <si>
    <t>자리를 바꿔라</t>
  </si>
  <si>
    <t>자릴 빨리 바꿔라</t>
  </si>
  <si>
    <t>바꿔야</t>
  </si>
  <si>
    <t>덮-(覆)[ㅍ]</t>
  </si>
  <si>
    <t>32013-0-1</t>
  </si>
  <si>
    <t>덥＇짜/이＇부를 덤는＇다</t>
  </si>
  <si>
    <t>추우머넌 이부럴 끄:러 더퍼 {추우면 이불을 끌어 덮어}</t>
  </si>
  <si>
    <t>덤는다</t>
  </si>
  <si>
    <t>덤넌다</t>
  </si>
  <si>
    <t>가치 덥짜</t>
  </si>
  <si>
    <t>32013-0-2</t>
  </si>
  <si>
    <t>덥＇꼬</t>
  </si>
  <si>
    <t>덥꼬 이따</t>
  </si>
  <si>
    <t>더꾸 이따</t>
  </si>
  <si>
    <t>더꼬이따</t>
  </si>
  <si>
    <t>더꾸</t>
  </si>
  <si>
    <t>32013-0-3</t>
  </si>
  <si>
    <t>덥따＇라</t>
  </si>
  <si>
    <t>덥따라</t>
  </si>
  <si>
    <t>덤는 중이다</t>
  </si>
  <si>
    <t>덥떠라</t>
  </si>
  <si>
    <t>32013-0-4</t>
  </si>
  <si>
    <t>더＇푸니까</t>
  </si>
  <si>
    <t>더프먼/그러케 더프믄 따뜨태지 {그렇게 덮으면 따뜻하지}</t>
  </si>
  <si>
    <t>더푸니까</t>
  </si>
  <si>
    <t>더푸니까/더푸라능건</t>
  </si>
  <si>
    <t>더푸니</t>
  </si>
  <si>
    <t>이부를 더푸니까</t>
  </si>
  <si>
    <t>32013-0-5</t>
  </si>
  <si>
    <t>더＇파라</t>
  </si>
  <si>
    <t>끄:러 더퍼라/추우머넌 이부럴 끄:러 더퍼</t>
  </si>
  <si>
    <t>더퍼</t>
  </si>
  <si>
    <t>더퍼라</t>
  </si>
  <si>
    <t>이부를 더퍼따/더퍼서 따뜨타다</t>
  </si>
  <si>
    <t>묻:-(問)[ㄷ변]</t>
  </si>
  <si>
    <t>32014-0-1</t>
  </si>
  <si>
    <t>무울＇른다/무울＇룬다/무울＇짜</t>
  </si>
  <si>
    <t>모르넝 거 왜 자꾸 그러케 문:니? {모르는 거 왜 자꾸 그렇게 묻니?}/문:넝 거 {묻는 거}</t>
  </si>
  <si>
    <t>나만테 물:꼬 이따</t>
  </si>
  <si>
    <t>무:찌 말고/선생님한테 무찌 말고 니가 아라서 해라</t>
  </si>
  <si>
    <t>물:른다</t>
  </si>
  <si>
    <t>무:짜/문:는거뚜</t>
  </si>
  <si>
    <t>32014-0-2</t>
  </si>
  <si>
    <t>무울＇꼬</t>
  </si>
  <si>
    <t>아침 머건느냐구 무:꾸 {아침 먹었느냐고 묻고}</t>
  </si>
  <si>
    <t>선생님한테 물:꼬 이쏘./저사람도 물:꾸</t>
  </si>
  <si>
    <t>무:꼬</t>
  </si>
  <si>
    <t>물:꼬</t>
  </si>
  <si>
    <t>무:꾸</t>
  </si>
  <si>
    <t>32014-0-3</t>
  </si>
  <si>
    <t>무울＇따라</t>
  </si>
  <si>
    <t>물:따라</t>
  </si>
  <si>
    <t>물:떠라</t>
  </si>
  <si>
    <t>무:뜨라</t>
  </si>
  <si>
    <t>32014-0-4</t>
  </si>
  <si>
    <t>무＇루니까/무＇르니</t>
  </si>
  <si>
    <t>무루니</t>
  </si>
  <si>
    <t>저사라만테 무루니까</t>
  </si>
  <si>
    <t>32014-0-5</t>
  </si>
  <si>
    <t>무＇러라/무＇라따</t>
  </si>
  <si>
    <t>무러 봐:라 {물어 봐라}</t>
  </si>
  <si>
    <t>무러 봐라/무러본다</t>
  </si>
  <si>
    <t>무러본다</t>
  </si>
  <si>
    <t>무러라/무러꾸</t>
  </si>
  <si>
    <t>낫:-(癒)[ㅅ변]</t>
  </si>
  <si>
    <t>32015-0-1</t>
  </si>
  <si>
    <t>나안＇는다</t>
  </si>
  <si>
    <t>나:꼬</t>
  </si>
  <si>
    <t>난:는다</t>
  </si>
  <si>
    <t>병:이 잘 난는다/나:찌 안는다</t>
  </si>
  <si>
    <t>32015-0-2</t>
  </si>
  <si>
    <t>병이 나아＇꼬</t>
  </si>
  <si>
    <t>저병두 나:쿠</t>
  </si>
  <si>
    <t>잘라쿠/나:쿠 나도 나쿠</t>
  </si>
  <si>
    <t>32015-0-3</t>
  </si>
  <si>
    <t>이병은 나:터라</t>
  </si>
  <si>
    <t>차츰차츰 난:는다/머구믄 난:는다</t>
  </si>
  <si>
    <t>나:떠라</t>
  </si>
  <si>
    <t>32015-0-4</t>
  </si>
  <si>
    <t>나＇아니까</t>
  </si>
  <si>
    <t>나:먼 {(병이 다) 나으면}</t>
  </si>
  <si>
    <t>벼~이 나:먼</t>
  </si>
  <si>
    <t>병이 나:니까</t>
  </si>
  <si>
    <t>나으니/나:니</t>
  </si>
  <si>
    <t>병:이 나:먼</t>
  </si>
  <si>
    <t>32015-0-5</t>
  </si>
  <si>
    <t>나＇아따라/벼엉＇이 나＇아따</t>
  </si>
  <si>
    <t>니: 병이 다: 나:꾸나 {네 병이 다 나았구나}/나:가주구 잘 도라댕긴다구 {나아서 잘 돌아다닌다구}</t>
  </si>
  <si>
    <t>나:따</t>
  </si>
  <si>
    <t>나:라</t>
  </si>
  <si>
    <t>닫-(閉)[ㄷ]</t>
  </si>
  <si>
    <t>32016-0-1</t>
  </si>
  <si>
    <t>단는＇다/닫＇짜</t>
  </si>
  <si>
    <t>단는다 그래</t>
  </si>
  <si>
    <t>무늘 다찌 왜 여러놔:</t>
  </si>
  <si>
    <t>단는다/다찌 말라</t>
  </si>
  <si>
    <t>단는다</t>
  </si>
  <si>
    <t>무늘 다찌 마라</t>
  </si>
  <si>
    <t>32016-0-2</t>
  </si>
  <si>
    <t>다＇꼬</t>
  </si>
  <si>
    <t>다꼬 이찌/닫꼬 이따</t>
  </si>
  <si>
    <t>다꼬이따</t>
  </si>
  <si>
    <t>무늘 다꾸 이따</t>
  </si>
  <si>
    <t>32016-0-3</t>
  </si>
  <si>
    <t>다따＇라</t>
  </si>
  <si>
    <t>단는 중이다</t>
  </si>
  <si>
    <t>다떠라</t>
  </si>
  <si>
    <t>다뜨라</t>
  </si>
  <si>
    <t>32016-0-4</t>
  </si>
  <si>
    <t>다＇꼬 다＇드니</t>
  </si>
  <si>
    <t>다드문 덥:찌</t>
  </si>
  <si>
    <t>다드믄</t>
  </si>
  <si>
    <t>다드니</t>
  </si>
  <si>
    <t>다드니까</t>
  </si>
  <si>
    <t>32016-0-5</t>
  </si>
  <si>
    <t>다＇다라/다＇다따</t>
  </si>
  <si>
    <t>다더라</t>
  </si>
  <si>
    <t>다다라</t>
  </si>
  <si>
    <t>무늘 다더라</t>
  </si>
  <si>
    <t>다더라/무늘 다더서</t>
  </si>
  <si>
    <t>쫓-(追)[ㅊ]</t>
  </si>
  <si>
    <t>32017-0-1</t>
  </si>
  <si>
    <t>쪼＇치자/쪼＇친다</t>
  </si>
  <si>
    <t>쫀는다</t>
  </si>
  <si>
    <t>쪼찌마라</t>
  </si>
  <si>
    <t>32017-0-2</t>
  </si>
  <si>
    <t>쪼＇치고</t>
  </si>
  <si>
    <t>쪼꼬 이따</t>
  </si>
  <si>
    <t>쪼꼬이떠라</t>
  </si>
  <si>
    <t>쪼꾸이따</t>
  </si>
  <si>
    <t>32017-0-3</t>
  </si>
  <si>
    <t>쪼＇치다라</t>
  </si>
  <si>
    <t>쪼치닝기 {쫓는 것이}</t>
  </si>
  <si>
    <t>뒤를 쫀는다</t>
  </si>
  <si>
    <t>쪼떠라</t>
  </si>
  <si>
    <t>쫃뜨라</t>
  </si>
  <si>
    <t>32017-0-4</t>
  </si>
  <si>
    <t>쪼＇치니까</t>
  </si>
  <si>
    <t>쪼치문</t>
  </si>
  <si>
    <t>쪼츠러 간다</t>
  </si>
  <si>
    <t>쪼치니</t>
  </si>
  <si>
    <t>바짝 쪼치니까 다라난다</t>
  </si>
  <si>
    <t>32017-0-5</t>
  </si>
  <si>
    <t>쪼＇체라</t>
  </si>
  <si>
    <t>새:떼가 마니 와씨니까 쪼처라/쪼처가능구나 {쫓아가는구나}/쪼처와 이래머서 {쫓아와 이러면서}</t>
  </si>
  <si>
    <t>쪼처야지</t>
  </si>
  <si>
    <t>쪼차간다</t>
  </si>
  <si>
    <t>쪼처라</t>
  </si>
  <si>
    <t>베:-(枕)[ㅔ]</t>
  </si>
  <si>
    <t>32018-0-1</t>
  </si>
  <si>
    <t>비인＇다/비이＇자</t>
  </si>
  <si>
    <t>비:지 왜 암 베</t>
  </si>
  <si>
    <t>노피 비:지 말라</t>
  </si>
  <si>
    <t>빈:다</t>
  </si>
  <si>
    <t>벤:다/비:갤 비:자</t>
  </si>
  <si>
    <t>32018-0-2</t>
  </si>
  <si>
    <t>비이＇고</t>
  </si>
  <si>
    <t>베:갤 비구 자야지</t>
  </si>
  <si>
    <t>비:고 이따</t>
  </si>
  <si>
    <t>비구 잔다</t>
  </si>
  <si>
    <t>비:고 이떠라/비:구이따</t>
  </si>
  <si>
    <t>베개를 베:구 이따</t>
  </si>
  <si>
    <t>32018-0-3</t>
  </si>
  <si>
    <t>비이＇다라</t>
  </si>
  <si>
    <t>비:더라</t>
  </si>
  <si>
    <t>비:갤 비:더라</t>
  </si>
  <si>
    <t>32018-0-4</t>
  </si>
  <si>
    <t>비이＇니까</t>
  </si>
  <si>
    <t>비:문 페나난다</t>
  </si>
  <si>
    <t>비:머는</t>
  </si>
  <si>
    <t>비개를 비:니 펴난하더라</t>
  </si>
  <si>
    <t>베갤 비:니까</t>
  </si>
  <si>
    <t>32018-0-5</t>
  </si>
  <si>
    <t>베＇에라</t>
  </si>
  <si>
    <t>베:갤 벼:라</t>
  </si>
  <si>
    <t>비:라</t>
  </si>
  <si>
    <t>누켜 벼:라/노피 비어따/빨리 벼:라</t>
  </si>
  <si>
    <t>비개를 베:라</t>
  </si>
  <si>
    <t>베개를 베:라/베:갤 비어라</t>
  </si>
  <si>
    <t>깨:-(破)[ㅐ]</t>
  </si>
  <si>
    <t>32019-0-1</t>
  </si>
  <si>
    <t>깨앤＇다/깨앤＇다(병을)/깨애＇자</t>
  </si>
  <si>
    <t>깨지(유리를)</t>
  </si>
  <si>
    <t>깨지</t>
  </si>
  <si>
    <t>깨지 말라</t>
  </si>
  <si>
    <t>깬다</t>
  </si>
  <si>
    <t>깬:다/깨:지마라</t>
  </si>
  <si>
    <t>32019-0-2</t>
  </si>
  <si>
    <t>깨애＇고/깨애＇고 이＇따</t>
  </si>
  <si>
    <t>깨고 이따</t>
  </si>
  <si>
    <t>깨구 이따</t>
  </si>
  <si>
    <t>깨구이떠라</t>
  </si>
  <si>
    <t>깨:구이따</t>
  </si>
  <si>
    <t>32019-0-3</t>
  </si>
  <si>
    <t>깨애＇다라</t>
  </si>
  <si>
    <t>망치를 어르믈 깨다라</t>
  </si>
  <si>
    <t>깬다구</t>
  </si>
  <si>
    <t>깨더라</t>
  </si>
  <si>
    <t>32019-0-4</t>
  </si>
  <si>
    <t>깨애＇니까</t>
  </si>
  <si>
    <t>깨먼 무리</t>
  </si>
  <si>
    <t>깨니깐</t>
  </si>
  <si>
    <t>유리를 깨:니</t>
  </si>
  <si>
    <t>깨더라/도:를 깨:니까</t>
  </si>
  <si>
    <t>32019-0-5</t>
  </si>
  <si>
    <t>깨＇애따/깨＇애쓰니</t>
  </si>
  <si>
    <t>유릴 깨:꾸나 {유리를 깨었구나}</t>
  </si>
  <si>
    <t>깨:도 안깨지다라</t>
  </si>
  <si>
    <t>깨:따</t>
  </si>
  <si>
    <t>도를 깨:따/깨:라/깨:지니까</t>
  </si>
  <si>
    <t>펴-(伸)[ㅕ]</t>
  </si>
  <si>
    <t>32020-0-1</t>
  </si>
  <si>
    <t>펜＇다/페＇자</t>
  </si>
  <si>
    <t>기:지개 펜다 이래/파럴 페능구나 {팔을 펴는구나}</t>
  </si>
  <si>
    <t>펜다</t>
  </si>
  <si>
    <t>펴지 말라</t>
  </si>
  <si>
    <t>파를 펜다</t>
  </si>
  <si>
    <t>펴지마/소늘 펴자</t>
  </si>
  <si>
    <t>32020-0-2</t>
  </si>
  <si>
    <t>페＇고</t>
  </si>
  <si>
    <t>페게 쭉:: 페처라 {펴게 쭉 펼쳐라}</t>
  </si>
  <si>
    <t>페고 이따</t>
  </si>
  <si>
    <t>펴고 이따</t>
  </si>
  <si>
    <t>파를 페고</t>
  </si>
  <si>
    <t>소늘 펴구이따</t>
  </si>
  <si>
    <t>32020-0-3</t>
  </si>
  <si>
    <t>페다라</t>
  </si>
  <si>
    <t>편다</t>
  </si>
  <si>
    <t>파를 페더라</t>
  </si>
  <si>
    <t>32020-0-4</t>
  </si>
  <si>
    <t>페니＇까</t>
  </si>
  <si>
    <t>페면</t>
  </si>
  <si>
    <t>펴니깐</t>
  </si>
  <si>
    <t>페니</t>
  </si>
  <si>
    <t>소늘 펴니까</t>
  </si>
  <si>
    <t>32020-0-5</t>
  </si>
  <si>
    <t>페에＇라</t>
  </si>
  <si>
    <t>이부를 페라</t>
  </si>
  <si>
    <t>펴야지/펴:따</t>
  </si>
  <si>
    <t>페:따</t>
  </si>
  <si>
    <t>페:라/펴:서</t>
  </si>
  <si>
    <t>밝-(明)[ㄺ]</t>
  </si>
  <si>
    <t>32021-0-1</t>
  </si>
  <si>
    <t>발른＇다/발＇짜</t>
  </si>
  <si>
    <t>점점 방능구나 이래 {점점 밝는구나 이래}</t>
  </si>
  <si>
    <t>누니 박따/박찌/방는다</t>
  </si>
  <si>
    <t>박찐 안치</t>
  </si>
  <si>
    <t>발따</t>
  </si>
  <si>
    <t>박찌안타/방는다</t>
  </si>
  <si>
    <t>32021-0-2</t>
  </si>
  <si>
    <t>발＇꼬</t>
  </si>
  <si>
    <t>귀가 박꾸나 잘 든능구나 {귀가 밝구나 잘 듣는구나}</t>
  </si>
  <si>
    <t>발꼬/발꼬이따/박꼬</t>
  </si>
  <si>
    <t>발꼬</t>
  </si>
  <si>
    <t>32021-0-3</t>
  </si>
  <si>
    <t>발따＇라</t>
  </si>
  <si>
    <t>박따 이래지 {밝다 이러지}</t>
  </si>
  <si>
    <t>저짝또 박따/저짝또 박떠라/박따라</t>
  </si>
  <si>
    <t>박따구</t>
  </si>
  <si>
    <t>발떠라</t>
  </si>
  <si>
    <t>박떠라</t>
  </si>
  <si>
    <t>32021-0-4</t>
  </si>
  <si>
    <t>발＇그니까</t>
  </si>
  <si>
    <t>누니 발그문</t>
  </si>
  <si>
    <t>나리 발그니 잘보인다</t>
  </si>
  <si>
    <t>나리 발그니까</t>
  </si>
  <si>
    <t>32021-0-5</t>
  </si>
  <si>
    <t>발＇가라</t>
  </si>
  <si>
    <t>발거진다 그래/인제 해가 뜨구 발거지능구나 이래/발거지능 거</t>
  </si>
  <si>
    <t>누니 발거서/발거간다</t>
  </si>
  <si>
    <t>발거서</t>
  </si>
  <si>
    <t>발거서 이라기 조타 {밝아서 일하기 좋다}</t>
  </si>
  <si>
    <t>발거서 조타</t>
  </si>
  <si>
    <t>삶:-(烹)[ㄻ]</t>
  </si>
  <si>
    <t>32022-0-1</t>
  </si>
  <si>
    <t>쌈＇는다/사암＇짜</t>
  </si>
  <si>
    <t>쌈:넝 거 {쌂는 거}</t>
  </si>
  <si>
    <t>쌈:는다/쌈찌 아느니/쌈:찌 왜 안 쌈느냐</t>
  </si>
  <si>
    <t>쌈:찌</t>
  </si>
  <si>
    <t>감재를 쌈:는다</t>
  </si>
  <si>
    <t>쌈:는다/쌈:찌마라/쌈:능거는</t>
  </si>
  <si>
    <t>32022-0-2</t>
  </si>
  <si>
    <t>사암＇꼬</t>
  </si>
  <si>
    <t>쌈:꼬 이따</t>
  </si>
  <si>
    <t>쌍:꾸 이따</t>
  </si>
  <si>
    <t>쌍:꼬/20520 나 감재르 쌍:꼬이따</t>
  </si>
  <si>
    <t>쌈:꾸</t>
  </si>
  <si>
    <t>32022-0-3</t>
  </si>
  <si>
    <t>사암＇따라</t>
  </si>
  <si>
    <t>쌈:떠라/쌈:따라</t>
  </si>
  <si>
    <t>쌈:떠라</t>
  </si>
  <si>
    <t>32022-0-4</t>
  </si>
  <si>
    <t>살＇무니까</t>
  </si>
  <si>
    <t>쌀무니까 물르다/쌀므니 조타/쌀무문</t>
  </si>
  <si>
    <t>쌀므먼</t>
  </si>
  <si>
    <t>쌀무니</t>
  </si>
  <si>
    <t>푹 쌀무니까</t>
  </si>
  <si>
    <t>32022-0-5</t>
  </si>
  <si>
    <t>쌀＇마라</t>
  </si>
  <si>
    <t>쌀머얘지/쌀머서두 머꾸</t>
  </si>
  <si>
    <t>쌀머라/쌀머서 멍는다</t>
  </si>
  <si>
    <t>쌀머라</t>
  </si>
  <si>
    <t>읊-(吟)[ㄿ]</t>
  </si>
  <si>
    <t>32023-0-1</t>
  </si>
  <si>
    <t>을푼＇다그래조/을푸＇자/시＇를 을픈＇다</t>
  </si>
  <si>
    <t>시를 을푼다/을푸지</t>
  </si>
  <si>
    <t>을푼다</t>
  </si>
  <si>
    <t>을푸지 마라/잘 을푼다</t>
  </si>
  <si>
    <t>32023-0-2</t>
  </si>
  <si>
    <t>을푸＇고</t>
  </si>
  <si>
    <t>을푸고 이따</t>
  </si>
  <si>
    <t>시를 을푸고이따/을피고이따</t>
  </si>
  <si>
    <t>시를 잘 을푸구 이따</t>
  </si>
  <si>
    <t>32023-0-3</t>
  </si>
  <si>
    <t>을푸＇다라</t>
  </si>
  <si>
    <t>시를 을푸다라</t>
  </si>
  <si>
    <t>을피더라/을푸더라</t>
  </si>
  <si>
    <t>시를 을푸더라</t>
  </si>
  <si>
    <t>32023-0-4</t>
  </si>
  <si>
    <t>을＇푸니/을푸＇니까</t>
  </si>
  <si>
    <t>시를 을푸믄 마:미 조워진다</t>
  </si>
  <si>
    <t>시를 을푸니</t>
  </si>
  <si>
    <t>잘 을푸니까</t>
  </si>
  <si>
    <t>32023-0-5</t>
  </si>
  <si>
    <t>을＇파라 예 을＇파라/시＇를 을＇파따/시＇를 을＇퍼 바아＇라</t>
  </si>
  <si>
    <t>을퍼 바:라</t>
  </si>
  <si>
    <t>을펴라</t>
  </si>
  <si>
    <t>을퍼라</t>
  </si>
  <si>
    <t>밟:-(踏)[ㄼ]</t>
  </si>
  <si>
    <t>32024-0-1</t>
  </si>
  <si>
    <t>빠알＇짜/빠알＇른다</t>
  </si>
  <si>
    <t>땅을 밤:는다/밥:찌/밥:찌 마라</t>
  </si>
  <si>
    <t>밥:찌마라</t>
  </si>
  <si>
    <t>발:른다/여: 압때:는 보리바틀 발른데 {여기 앞지역에는 보리밭을 밟는데}</t>
  </si>
  <si>
    <t>밥:찌마라/밤:는다이래지요</t>
  </si>
  <si>
    <t>32024-0-2</t>
  </si>
  <si>
    <t>빠알＇꼬</t>
  </si>
  <si>
    <t>밥꼬 이따야/땅을 바:꼬 이따</t>
  </si>
  <si>
    <t>바:꼬 이는 중이다</t>
  </si>
  <si>
    <t>발:꼬이따</t>
  </si>
  <si>
    <t>지렁이를 밥:꾸이따</t>
  </si>
  <si>
    <t>32024-0-3</t>
  </si>
  <si>
    <t>빠알＇따라</t>
  </si>
  <si>
    <t>밥:따라</t>
  </si>
  <si>
    <t>밤:넝거지</t>
  </si>
  <si>
    <t>발:떠라</t>
  </si>
  <si>
    <t>밥:떠라</t>
  </si>
  <si>
    <t>32024-0-4</t>
  </si>
  <si>
    <t>빨＇부니까</t>
  </si>
  <si>
    <t>발버서/아이 너머 발버서 지렝이가 주건네 이래지 {아이 너무 밟아서 지렁이가 죽었네 이러지}/발브먼 {밟으면}</t>
  </si>
  <si>
    <t>발브니/땅을 발부면/땅을 발브믄</t>
  </si>
  <si>
    <t>발브먼</t>
  </si>
  <si>
    <t>발부니 움틀거린다</t>
  </si>
  <si>
    <t>발부니까</t>
  </si>
  <si>
    <t>32024-0-5</t>
  </si>
  <si>
    <t>빨＇바따/빨＇바라</t>
  </si>
  <si>
    <t>이러케 발:버 디디지 또</t>
  </si>
  <si>
    <t>발바도/지러~이를 발버따/땅을 발바라/발버선</t>
  </si>
  <si>
    <t>발버따/발버라</t>
  </si>
  <si>
    <t>발버따</t>
  </si>
  <si>
    <t>발버라</t>
  </si>
  <si>
    <t>하-(爲)[ㅏ변]</t>
  </si>
  <si>
    <t>32025-0-1</t>
  </si>
  <si>
    <t>한다＇/하＇자</t>
  </si>
  <si>
    <t>그 느믄 공부도 자래네 {그 놈은 공부도 잘하네}/절믄 사라미 일 마니 해지 {젊은 사람이 일 많이 하지}/소느로 해능 건 절구</t>
  </si>
  <si>
    <t>이를 하지 왜/이:를 한다</t>
  </si>
  <si>
    <t>이를 해지 말라</t>
  </si>
  <si>
    <t>일 한다</t>
  </si>
  <si>
    <t>허자</t>
  </si>
  <si>
    <t>32025-0-2</t>
  </si>
  <si>
    <t>하＇고</t>
  </si>
  <si>
    <t>꼬추두 해구/시꾸가 마느먼 한되 해구 두되 해구 이래자너 {식구가 많으면 한 되하구 두 되하구 이러잖아}</t>
  </si>
  <si>
    <t>하고 이따</t>
  </si>
  <si>
    <t>하고이따</t>
  </si>
  <si>
    <t>허구 이따구두 허구/이:를 허구</t>
  </si>
  <si>
    <t>32025-0-3</t>
  </si>
  <si>
    <t>공부＇르 하다＇라</t>
  </si>
  <si>
    <t>하다라</t>
  </si>
  <si>
    <t>이를 해는 중이다/핸다/이를 핸다</t>
  </si>
  <si>
    <t>하더라</t>
  </si>
  <si>
    <t>이:를 허더라</t>
  </si>
  <si>
    <t>32025-0-4</t>
  </si>
  <si>
    <t>공부＇르 하＇니까</t>
  </si>
  <si>
    <t>이:를 마:~이 하문 고다나다</t>
  </si>
  <si>
    <t>이:를 마니 해먼</t>
  </si>
  <si>
    <t>마:니 하니</t>
  </si>
  <si>
    <t>이:를 마니 허니까</t>
  </si>
  <si>
    <t>32025-0-5</t>
  </si>
  <si>
    <t>해애＇라</t>
  </si>
  <si>
    <t>해:야된다/심들게 해:두/일르 해:라</t>
  </si>
  <si>
    <t>이:를 마니 해서 피곤해다/해라/이를 해따/해:따</t>
  </si>
  <si>
    <t>빨리 해:라</t>
  </si>
  <si>
    <t>열씨미 해:따</t>
  </si>
  <si>
    <t>맺-(結)[ㅈ]</t>
  </si>
  <si>
    <t>32026-0-1</t>
  </si>
  <si>
    <t>매＇지자</t>
  </si>
  <si>
    <t>으형제넌 남남찌리 으형젤 매지자너 {의형제는 남남끼리 의형제를 맺잖아}/으형제 맨는다 그래 {의형제 맺는다 그래}</t>
  </si>
  <si>
    <t>맨는다/사도늘 매찌 왜 암맨냐</t>
  </si>
  <si>
    <t>맨는다/매찌 말라</t>
  </si>
  <si>
    <t>맨는다</t>
  </si>
  <si>
    <t>으형제를 매짜</t>
  </si>
  <si>
    <t>32026-0-2</t>
  </si>
  <si>
    <t>매＇지고</t>
  </si>
  <si>
    <t>매꼬 이따</t>
  </si>
  <si>
    <t>으예 매꼬</t>
  </si>
  <si>
    <t>매꼬</t>
  </si>
  <si>
    <t>32026-0-3</t>
  </si>
  <si>
    <t>의형제를 매＇지더라</t>
  </si>
  <si>
    <t>매따라</t>
  </si>
  <si>
    <t>맨는 중이다</t>
  </si>
  <si>
    <t>으형제를 매떠라</t>
  </si>
  <si>
    <t>매뜨라</t>
  </si>
  <si>
    <t>32026-0-4</t>
  </si>
  <si>
    <t>매＇즈니까</t>
  </si>
  <si>
    <t>사도늘 매지면 가꺼워진다</t>
  </si>
  <si>
    <t>매지려능건/매지먼 조타/매즈먼 조타</t>
  </si>
  <si>
    <t>의형제를 매즈니</t>
  </si>
  <si>
    <t>매즈니까 조:타</t>
  </si>
  <si>
    <t>32026-0-5</t>
  </si>
  <si>
    <t>매＇자라(+구)/매＇저라(+신)/매＇저따/매＇저떠라</t>
  </si>
  <si>
    <t>매저준다 그래</t>
  </si>
  <si>
    <t>매저라</t>
  </si>
  <si>
    <t>매저따/매저라 이:라</t>
  </si>
  <si>
    <t>없:-(無)[ㅄ]</t>
  </si>
  <si>
    <t>32027-0-1</t>
  </si>
  <si>
    <t>우웁＇찌/우웁＇따</t>
  </si>
  <si>
    <t>다: 가구 움:네/매민 움:는데 {매미는 없는데}</t>
  </si>
  <si>
    <t>고래가 업:찌</t>
  </si>
  <si>
    <t>그르시 움:는데 잘기 가서/한푼도 업:따</t>
  </si>
  <si>
    <t>도:니 업:찌안타</t>
  </si>
  <si>
    <t>32027-0-2</t>
  </si>
  <si>
    <t>으읍＇꼬</t>
  </si>
  <si>
    <t>우:꼬</t>
  </si>
  <si>
    <t>어:꼬</t>
  </si>
  <si>
    <t>읍:꾸/도:니 으:꾸</t>
  </si>
  <si>
    <t>32027-0-3</t>
  </si>
  <si>
    <t>웁＇따라</t>
  </si>
  <si>
    <t>웁:따구</t>
  </si>
  <si>
    <t>업:따라</t>
  </si>
  <si>
    <t>웁:따/웁:다구래얘지/웁:따구/업:떠라</t>
  </si>
  <si>
    <t>업:떠라하능거 업:따</t>
  </si>
  <si>
    <t>업:따/도:니 업따</t>
  </si>
  <si>
    <t>32027-0-4</t>
  </si>
  <si>
    <t>우웁＇쓰니까</t>
  </si>
  <si>
    <t>나 도:니 업씨~이 좀 꿔 줘요 이래야 꿔 주지</t>
  </si>
  <si>
    <t>업:쓰니까</t>
  </si>
  <si>
    <t>그거 웁씨먼/웁:씨니깐/웁:씨니까</t>
  </si>
  <si>
    <t>도:니 업:씨니 힘들다</t>
  </si>
  <si>
    <t>웁:씨니까/도:니 업:씨니까</t>
  </si>
  <si>
    <t>32027-0-5</t>
  </si>
  <si>
    <t>웁＇싸따 웁싸따</t>
  </si>
  <si>
    <t>갈:게 하능 건 웁써/게단 웁써 사네는 {계단 없어 산에는}</t>
  </si>
  <si>
    <t>업:써따/업:써두</t>
  </si>
  <si>
    <t>업:써서</t>
  </si>
  <si>
    <t>아믄니럽싸. {아무일 없어.}/업:써/초하기 읍:써요</t>
  </si>
  <si>
    <t>업:써</t>
  </si>
  <si>
    <t>앉-(坐)[ㄵ]</t>
  </si>
  <si>
    <t>32028-0-1</t>
  </si>
  <si>
    <t>안진＇다</t>
  </si>
  <si>
    <t>복파네 안는다 그래/그럼 문찌방 안찌 말라구/갈래다가 도로 와 안찌 {갈려다가 도로 와 앉지}/깔구 안는 거</t>
  </si>
  <si>
    <t>으르니 이씨니까 으자엔 안찌 말라</t>
  </si>
  <si>
    <t>안는다</t>
  </si>
  <si>
    <t>안짜/안는다</t>
  </si>
  <si>
    <t>32028-0-2</t>
  </si>
  <si>
    <t>안지＇고</t>
  </si>
  <si>
    <t>장적 가 앙:꼬 오너라 이래지</t>
  </si>
  <si>
    <t>앙꼬 이따</t>
  </si>
  <si>
    <t>저기도 앙꼬</t>
  </si>
  <si>
    <t>앙꼬</t>
  </si>
  <si>
    <t>안꾸</t>
  </si>
  <si>
    <t>32028-0-3</t>
  </si>
  <si>
    <t>안지＇다라</t>
  </si>
  <si>
    <t>안넌 중이다</t>
  </si>
  <si>
    <t>안떠라</t>
  </si>
  <si>
    <t>안뜨라</t>
  </si>
  <si>
    <t>32028-0-4</t>
  </si>
  <si>
    <t>안지＇니까</t>
  </si>
  <si>
    <t>가리느라구 문찌방에 안즘 재수웁따구/안즈먼 펴내지 {앉으면 편하지}/안즈라구</t>
  </si>
  <si>
    <t>안지문 페나나다</t>
  </si>
  <si>
    <t>으자에 안지라/안즈니까/으지에 안지니까</t>
  </si>
  <si>
    <t>으자에 안지니/안즈니</t>
  </si>
  <si>
    <t>안지니까 펴나다</t>
  </si>
  <si>
    <t>32028-0-5</t>
  </si>
  <si>
    <t>안재＇라/안제＇따/안제＇이따/안제＇쓰니까</t>
  </si>
  <si>
    <t>안저요</t>
  </si>
  <si>
    <t>안저서/안저 이찌</t>
  </si>
  <si>
    <t>빨리 안저라/안저 이따/시지 말고 안저라</t>
  </si>
  <si>
    <t>꼼짱말고 안저 이써라./안저따</t>
  </si>
  <si>
    <t>자리에 안저라</t>
  </si>
  <si>
    <t>비비-(刮)[ㅣ]</t>
  </si>
  <si>
    <t>32029-0-1</t>
  </si>
  <si>
    <t>비＇비자/비＇빈다</t>
  </si>
  <si>
    <t>등어릴 막 비비네 이래</t>
  </si>
  <si>
    <t>비빈다/비비지 왜</t>
  </si>
  <si>
    <t>나도 비비자/더 비비지 말라</t>
  </si>
  <si>
    <t>비빈다/누느 비빈다</t>
  </si>
  <si>
    <t>비빈다구/비비자</t>
  </si>
  <si>
    <t>32029-0-2</t>
  </si>
  <si>
    <t>비＇비고</t>
  </si>
  <si>
    <t>비비고 이따</t>
  </si>
  <si>
    <t>비비구이따</t>
  </si>
  <si>
    <t>비비고</t>
  </si>
  <si>
    <t>32029-0-3</t>
  </si>
  <si>
    <t>비＇비다라</t>
  </si>
  <si>
    <t>비비더라</t>
  </si>
  <si>
    <t>32029-0-4</t>
  </si>
  <si>
    <t>비＇비니까</t>
  </si>
  <si>
    <t>비비면</t>
  </si>
  <si>
    <t>잘 비비먼 마시따</t>
  </si>
  <si>
    <t>누늘 자꾸 비비니</t>
  </si>
  <si>
    <t>비비니까</t>
  </si>
  <si>
    <t>32029-0-5</t>
  </si>
  <si>
    <t>비＇베라</t>
  </si>
  <si>
    <t>수수깡을 대구 비벼가주구/누널 비벼누널</t>
  </si>
  <si>
    <t>비베선/비베도 부드럽짠:타/비베라</t>
  </si>
  <si>
    <t>잘 비벼라</t>
  </si>
  <si>
    <t>비베따/비벼라</t>
  </si>
  <si>
    <t>비베라</t>
  </si>
  <si>
    <t>끄-(消)[ㅡ]</t>
  </si>
  <si>
    <t>32030-0-1</t>
  </si>
  <si>
    <t>부루 끄자＇/끈다＇</t>
  </si>
  <si>
    <t>끄지 왜 앙끄냐</t>
  </si>
  <si>
    <t>난 부를 끈다/끄지 말구</t>
  </si>
  <si>
    <t>끈다</t>
  </si>
  <si>
    <t>끈다/끄자</t>
  </si>
  <si>
    <t>32030-0-2</t>
  </si>
  <si>
    <t>부루＇ 끄고＇</t>
  </si>
  <si>
    <t>부를 끄구 이따</t>
  </si>
  <si>
    <t>끄구이떠라</t>
  </si>
  <si>
    <t>끄구 이따</t>
  </si>
  <si>
    <t>32030-0-3</t>
  </si>
  <si>
    <t>부루 끄다＇라</t>
  </si>
  <si>
    <t>끄다라</t>
  </si>
  <si>
    <t>끄는 중이다</t>
  </si>
  <si>
    <t>끄더라</t>
  </si>
  <si>
    <t>32030-0-4</t>
  </si>
  <si>
    <t>끄니＇까</t>
  </si>
  <si>
    <t>끄니깐 어둡따</t>
  </si>
  <si>
    <t>끄니 암보인다</t>
  </si>
  <si>
    <t>끄니까</t>
  </si>
  <si>
    <t>32030-0-5</t>
  </si>
  <si>
    <t>꺼어라＇/꺼따</t>
  </si>
  <si>
    <t>부럴 꺼얘지 {불을 꺼야지}</t>
  </si>
  <si>
    <t>꺼라</t>
  </si>
  <si>
    <t>부를 꺼야/부룰 꺼라</t>
  </si>
  <si>
    <t>꺼야 애낀다</t>
  </si>
  <si>
    <t>꺾-(折)[ㄲ]</t>
  </si>
  <si>
    <t>32031-0-1</t>
  </si>
  <si>
    <t>꺽＇짜/껑는＇다</t>
  </si>
  <si>
    <t>껑넝 거 {꺾는 거}/껑넝구나 {꺾는구나}/꺽찌</t>
  </si>
  <si>
    <t>꺽찌 왜 앙껑냐/껑는다</t>
  </si>
  <si>
    <t>꺽찌말라</t>
  </si>
  <si>
    <t>꺽찌마라/껑는다</t>
  </si>
  <si>
    <t>껑는다/꺽찌마라</t>
  </si>
  <si>
    <t>32031-0-2</t>
  </si>
  <si>
    <t>꺼＇꼬</t>
  </si>
  <si>
    <t>꺼꼬이따</t>
  </si>
  <si>
    <t>꺼꾸 이따</t>
  </si>
  <si>
    <t>꺼꾸이따</t>
  </si>
  <si>
    <t>32031-0-3</t>
  </si>
  <si>
    <t>꺽따＇라</t>
  </si>
  <si>
    <t>꺽떠라</t>
  </si>
  <si>
    <t>껑넌다</t>
  </si>
  <si>
    <t>32031-0-4</t>
  </si>
  <si>
    <t>꺼＇끄니까</t>
  </si>
  <si>
    <t>꺼끄믄 아푸다</t>
  </si>
  <si>
    <t>꺼끄니깐/꺼끄먼</t>
  </si>
  <si>
    <t>꺼끄무 안된다</t>
  </si>
  <si>
    <t>꺼끄니까 부러지더라</t>
  </si>
  <si>
    <t>32031-0-5</t>
  </si>
  <si>
    <t>꺼＇까라</t>
  </si>
  <si>
    <t>꺼꺼 {꺾어}</t>
  </si>
  <si>
    <t>꺼꺼라</t>
  </si>
  <si>
    <t>얼른 꺼꺼라</t>
  </si>
  <si>
    <t>신:-(履)[ㄴ]</t>
  </si>
  <si>
    <t>32032-0-1</t>
  </si>
  <si>
    <t>시인＇짜</t>
  </si>
  <si>
    <t>신발 신:찌</t>
  </si>
  <si>
    <t>시늘 신:찌 왜 버서</t>
  </si>
  <si>
    <t>신늘 신:찌 말라</t>
  </si>
  <si>
    <t>신:는다</t>
  </si>
  <si>
    <t>심바를 신:는다/가치 신:짜</t>
  </si>
  <si>
    <t>32032-0-2</t>
  </si>
  <si>
    <t>시인＇꼬</t>
  </si>
  <si>
    <t>싱:꼬 이따</t>
  </si>
  <si>
    <t>시늘 싱:꾸 이따</t>
  </si>
  <si>
    <t>싱:꾸이따</t>
  </si>
  <si>
    <t>신:꾸이따</t>
  </si>
  <si>
    <t>32032-0-3</t>
  </si>
  <si>
    <t>시인＇따라</t>
  </si>
  <si>
    <t>신:는다구</t>
  </si>
  <si>
    <t>신:떠라</t>
  </si>
  <si>
    <t>32032-0-4</t>
  </si>
  <si>
    <t>시＇느니까</t>
  </si>
  <si>
    <t>시늘 시느믄 바리 아나푸다</t>
  </si>
  <si>
    <t>시늘 시늠</t>
  </si>
  <si>
    <t>시느니 펴나다</t>
  </si>
  <si>
    <t>시늘 시느니까</t>
  </si>
  <si>
    <t>32032-0-5</t>
  </si>
  <si>
    <t>시＇나라</t>
  </si>
  <si>
    <t>시너라 {신어라}</t>
  </si>
  <si>
    <t>시너야 한다/시늘 시너</t>
  </si>
  <si>
    <t>시너따</t>
  </si>
  <si>
    <t>시너라</t>
  </si>
  <si>
    <t>보-(視)[ㅗ]</t>
  </si>
  <si>
    <t>32033-0-1</t>
  </si>
  <si>
    <t>본다＇</t>
  </si>
  <si>
    <t>얘 너머지나 번다구/잘 보니?/내:다 보넝 거</t>
  </si>
  <si>
    <t>날: 보지 왜 암보냐/내:다 본다</t>
  </si>
  <si>
    <t>보능 거지</t>
  </si>
  <si>
    <t>누누로 본다</t>
  </si>
  <si>
    <t>보지마라/본다</t>
  </si>
  <si>
    <t>32033-0-2</t>
  </si>
  <si>
    <t>보＇고 이＇따/보게＇씀미다</t>
  </si>
  <si>
    <t>보구</t>
  </si>
  <si>
    <t>보고 이따라/내:다 보고 이따</t>
  </si>
  <si>
    <t>보고이따</t>
  </si>
  <si>
    <t>보구이따</t>
  </si>
  <si>
    <t>32033-0-3</t>
  </si>
  <si>
    <t>보다＇라</t>
  </si>
  <si>
    <t>보더라</t>
  </si>
  <si>
    <t>본다</t>
  </si>
  <si>
    <t>테레비저늘 보더라</t>
  </si>
  <si>
    <t>32033-0-4</t>
  </si>
  <si>
    <t>보＇니/봄미＇다/보＇니까</t>
  </si>
  <si>
    <t>봄미다 {봅니다}/나를 보니까</t>
  </si>
  <si>
    <t>보니깐</t>
  </si>
  <si>
    <t>보니</t>
  </si>
  <si>
    <t>보니까 잘보이더라</t>
  </si>
  <si>
    <t>32033-0-5</t>
  </si>
  <si>
    <t>바아＇씀미다/바아＇따/응 바아＇야 된다</t>
  </si>
  <si>
    <t>잘 봐라/츰 봐:씨까 부꾸럽짜너</t>
  </si>
  <si>
    <t>바:라/봐:야 된다/바:서 조:타</t>
  </si>
  <si>
    <t>봐:라</t>
  </si>
  <si>
    <t>바:라</t>
  </si>
  <si>
    <t>봐:라그래지요/봐:라 테레비저늘 봐:라</t>
  </si>
  <si>
    <t>추-(舞)[ㅜ]</t>
  </si>
  <si>
    <t>32034-0-1</t>
  </si>
  <si>
    <t>추무＇ 추자＇/추물 춘다＇ 촤:사 추니＇</t>
  </si>
  <si>
    <t>춤두 잘 추네/춤추넝 거</t>
  </si>
  <si>
    <t>추물 추지 왜 안추냐/춘다</t>
  </si>
  <si>
    <t>추믈 추지 말라</t>
  </si>
  <si>
    <t>춘다</t>
  </si>
  <si>
    <t>추물 춘다/추물 추지 마라</t>
  </si>
  <si>
    <t>32034-0-2</t>
  </si>
  <si>
    <t>추무＇ 추고＇</t>
  </si>
  <si>
    <t>추고 이따</t>
  </si>
  <si>
    <t>추구 이따</t>
  </si>
  <si>
    <t>추구이떠라</t>
  </si>
  <si>
    <t>추물 추구 이따</t>
  </si>
  <si>
    <t>32034-0-3</t>
  </si>
  <si>
    <t>추다＇라</t>
  </si>
  <si>
    <t>잘 춘다구</t>
  </si>
  <si>
    <t>추물 추다라</t>
  </si>
  <si>
    <t>추믈 춘다/추는 중이다/잘 추더라</t>
  </si>
  <si>
    <t>추더라</t>
  </si>
  <si>
    <t>추물 잘 추더라</t>
  </si>
  <si>
    <t>32034-0-4</t>
  </si>
  <si>
    <t>추니＇까</t>
  </si>
  <si>
    <t>추물 추무 시니 난다</t>
  </si>
  <si>
    <t>추니깐</t>
  </si>
  <si>
    <t>등:실등실 추니</t>
  </si>
  <si>
    <t>추니까</t>
  </si>
  <si>
    <t>32034-0-5</t>
  </si>
  <si>
    <t>추무＇ 촤따＇/촤:사/춘다＇</t>
  </si>
  <si>
    <t>우리 애기 춤도 잘 추네 이래지/춤 좀 춰봐라/너 춤 춰라 이래먼</t>
  </si>
  <si>
    <t>춰:라</t>
  </si>
  <si>
    <t>추물 춰:라/추어라</t>
  </si>
  <si>
    <t>추물 추어라두 이꾸</t>
  </si>
  <si>
    <t>피우-(吸煙)[ㅜ]</t>
  </si>
  <si>
    <t>32035-0-1</t>
  </si>
  <si>
    <t>피＇운다/피＇우자</t>
  </si>
  <si>
    <t>담:배 피운다 그래</t>
  </si>
  <si>
    <t>피운다/피우지</t>
  </si>
  <si>
    <t>피지 말라</t>
  </si>
  <si>
    <t>피운다</t>
  </si>
  <si>
    <t>피우지 마라/피운다</t>
  </si>
  <si>
    <t>32035-0-2</t>
  </si>
  <si>
    <t>피＇워서 피＇우니 피＇우고 피＇우다라</t>
  </si>
  <si>
    <t>피우고 이따</t>
  </si>
  <si>
    <t>피구 이따</t>
  </si>
  <si>
    <t>피우구이떠라</t>
  </si>
  <si>
    <t>담:배 피우구이따</t>
  </si>
  <si>
    <t>32035-0-3</t>
  </si>
  <si>
    <t>피우다라</t>
  </si>
  <si>
    <t>피운다/피는 중이다</t>
  </si>
  <si>
    <t>피우더라</t>
  </si>
  <si>
    <t>32035-0-4</t>
  </si>
  <si>
    <t>피＇우니까/피＇워서 피＇우니 피＇우고 피＇우다라</t>
  </si>
  <si>
    <t>담:밸 피우무</t>
  </si>
  <si>
    <t>담:밸 피니깐 영기가 난다</t>
  </si>
  <si>
    <t>피우니 마시떠라</t>
  </si>
  <si>
    <t>담:배 피우믄 모메 해:롭따</t>
  </si>
  <si>
    <t>32035-0-5</t>
  </si>
  <si>
    <t>피＇와사/피＇와라</t>
  </si>
  <si>
    <t>피워라 이래구</t>
  </si>
  <si>
    <t>피워라</t>
  </si>
  <si>
    <t>펴:라</t>
  </si>
  <si>
    <t>서-(立)[ㅓ]</t>
  </si>
  <si>
    <t>32036-0-1</t>
  </si>
  <si>
    <t>선＇다/나아＇는 선＇다</t>
  </si>
  <si>
    <t>따루 신다구/이러시넝 거/따루따루 시넝 거 {따로따로 세는 거}</t>
  </si>
  <si>
    <t>서지</t>
  </si>
  <si>
    <t>신다</t>
  </si>
  <si>
    <t>선다</t>
  </si>
  <si>
    <t>스자</t>
  </si>
  <si>
    <t>32036-0-2</t>
  </si>
  <si>
    <t>섬미＇다/서게＇씀미다/서＇고 이따</t>
  </si>
  <si>
    <t>서고 이따</t>
  </si>
  <si>
    <t>시구 이따</t>
  </si>
  <si>
    <t>뻐스가 서고</t>
  </si>
  <si>
    <t>스구</t>
  </si>
  <si>
    <t>32036-0-3</t>
  </si>
  <si>
    <t>서다＇라</t>
  </si>
  <si>
    <t>서더라</t>
  </si>
  <si>
    <t>스더라/서씨니</t>
  </si>
  <si>
    <t>32036-0-4</t>
  </si>
  <si>
    <t>서＇무/서＇니까</t>
  </si>
  <si>
    <t>애덜 다 츰: 실 쩌게/노:리 시먼 {노을이 서면}</t>
  </si>
  <si>
    <t>서먼 다리가 아푸다</t>
  </si>
  <si>
    <t>시니깐 자더라</t>
  </si>
  <si>
    <t>뻐스가 서니 사래미 탄다</t>
  </si>
  <si>
    <t>스니까 잘보인다</t>
  </si>
  <si>
    <t>32036-0-5</t>
  </si>
  <si>
    <t>서어＇사 이따 서어＇사/서어＇라/일라서＇ {일어서}/이쪼＇게 서어＇씀미다/일＇라서 {일어서}/이쪼＇ 와 서어＇라/서어＇ 이＇따/서어＇따/서어＇ 간다/서어＇야 된다/어제 서어＇따/서어＇사 기다＇린다</t>
  </si>
  <si>
    <t>너 이러서라 빨리 이러서라/서서 저:가 뭐 가주 와</t>
  </si>
  <si>
    <t>서이따라/서라</t>
  </si>
  <si>
    <t>서따/이러서따/선는데</t>
  </si>
  <si>
    <t>서:떠라/서:따</t>
  </si>
  <si>
    <t>스거라/여기서서 바:라/여기 서서</t>
  </si>
  <si>
    <t>기-(匍腹)[ㅣ]</t>
  </si>
  <si>
    <t>32037-0-1</t>
  </si>
  <si>
    <t>긴다＇/기자＇</t>
  </si>
  <si>
    <t>기지/기지 마라</t>
  </si>
  <si>
    <t>기지 말라</t>
  </si>
  <si>
    <t>긴다</t>
  </si>
  <si>
    <t>기지마라/긴다구래지</t>
  </si>
  <si>
    <t>32037-0-2</t>
  </si>
  <si>
    <t>기고＇</t>
  </si>
  <si>
    <t>기고 이따</t>
  </si>
  <si>
    <t>기구이따</t>
  </si>
  <si>
    <t>기구</t>
  </si>
  <si>
    <t>32037-0-3</t>
  </si>
  <si>
    <t>기다＇라</t>
  </si>
  <si>
    <t>긴다구래자너 긴다</t>
  </si>
  <si>
    <t>기더라</t>
  </si>
  <si>
    <t>32037-0-4</t>
  </si>
  <si>
    <t>기니＇까</t>
  </si>
  <si>
    <t>기니까는/기니깐 아푸다</t>
  </si>
  <si>
    <t>기니 팔꿈치가 아푸더라</t>
  </si>
  <si>
    <t>기니까</t>
  </si>
  <si>
    <t>32037-0-5</t>
  </si>
  <si>
    <t>게에＇따/게에＇라</t>
  </si>
  <si>
    <t>기여가능건지 거러가능건지/겨:가지 {기어가지}/개:미 게가네 {개미가 기어가네}</t>
  </si>
  <si>
    <t>기:간다/게:선/게:서 아푸다/게:라/기:라/기: 가거라/기: 간다</t>
  </si>
  <si>
    <t>기어간다/엉금 겨:가능거/기어가</t>
  </si>
  <si>
    <t>게:가라/게:라</t>
  </si>
  <si>
    <t>겨:라/겨:서</t>
  </si>
  <si>
    <t>이-(戴)[ㅣ]</t>
  </si>
  <si>
    <t>32038-0-1</t>
  </si>
  <si>
    <t>이＇자/인＇다</t>
  </si>
  <si>
    <t>머리에 이지 말라</t>
  </si>
  <si>
    <t>인다</t>
  </si>
  <si>
    <t>물똥 이자/인다구래요</t>
  </si>
  <si>
    <t>32038-0-2</t>
  </si>
  <si>
    <t>이＇고 이따</t>
  </si>
  <si>
    <t>똬:리 이고/이고 가기도 해구/똬:리 이구 물똥 여라</t>
  </si>
  <si>
    <t>이고 이따</t>
  </si>
  <si>
    <t>이구 이따</t>
  </si>
  <si>
    <t>이고이떠라/이고이따/이구이따</t>
  </si>
  <si>
    <t>물똥을 이구이따</t>
  </si>
  <si>
    <t>32038-0-3</t>
  </si>
  <si>
    <t>이＇니까/이＇면 무굽＇따/이다＇라</t>
  </si>
  <si>
    <t>물 리다가는 {물 이다가는}</t>
  </si>
  <si>
    <t>이다라</t>
  </si>
  <si>
    <t>물똥을 인다/이능거지</t>
  </si>
  <si>
    <t>이더라</t>
  </si>
  <si>
    <t>이라구</t>
  </si>
  <si>
    <t>32038-0-4</t>
  </si>
  <si>
    <t>이＇니까</t>
  </si>
  <si>
    <t>이문</t>
  </si>
  <si>
    <t>이니깐</t>
  </si>
  <si>
    <t>머리에 이니</t>
  </si>
  <si>
    <t>이니까</t>
  </si>
  <si>
    <t>32038-0-5</t>
  </si>
  <si>
    <t>에라＇/여라＇/예도＇ 된다</t>
  </si>
  <si>
    <t>똬:리 이구서 물똥 여라/똬:리 여</t>
  </si>
  <si>
    <t>머리예 여라/여두 된다</t>
  </si>
  <si>
    <t>여와라/여:서 와라</t>
  </si>
  <si>
    <t>여라</t>
  </si>
  <si>
    <t>아니-(否)[ㅣ]</t>
  </si>
  <si>
    <t>32039-0-1</t>
  </si>
  <si>
    <t>아~이＇지</t>
  </si>
  <si>
    <t>아~이다/아니다/아~이로구나</t>
  </si>
  <si>
    <t>아니다</t>
  </si>
  <si>
    <t>채기 아니지</t>
  </si>
  <si>
    <t>32039-0-2</t>
  </si>
  <si>
    <t>아~이＇고</t>
  </si>
  <si>
    <t>아니고</t>
  </si>
  <si>
    <t>채기 아니구 염피리다</t>
  </si>
  <si>
    <t>채기 아니구 연피리다</t>
  </si>
  <si>
    <t>32039-0-3</t>
  </si>
  <si>
    <t>아니＇다/아~이＇다라</t>
  </si>
  <si>
    <t>아~이더라</t>
  </si>
  <si>
    <t>아니더라</t>
  </si>
  <si>
    <t>채기 아니다/채기 아니더라</t>
  </si>
  <si>
    <t>32039-0-4</t>
  </si>
  <si>
    <t>아~이＇니까</t>
  </si>
  <si>
    <t>아니니</t>
  </si>
  <si>
    <t>아니니까</t>
  </si>
  <si>
    <t>32039-0-5</t>
  </si>
  <si>
    <t>아~이＇야/채기＇ 아니＇야/아~이＇래 그거야 금＇깝씨래</t>
  </si>
  <si>
    <t>아니여 그러케 하능 거 아녀 이래</t>
  </si>
  <si>
    <t>담:배가 아니래서 모피운다</t>
  </si>
  <si>
    <t>아니라/채기 아니래서</t>
  </si>
  <si>
    <t>아니</t>
  </si>
  <si>
    <t>되-(升)[ㅚ]</t>
  </si>
  <si>
    <t>32040-0-1</t>
  </si>
  <si>
    <t>되로＇ 된다＇</t>
  </si>
  <si>
    <t>된다구{말로}/말로 되능 거/마레다 되지 싸럴 {말에다 되지 쌀을}</t>
  </si>
  <si>
    <t>되지 왜 아나냐/말로 싸를 된다</t>
  </si>
  <si>
    <t>된다</t>
  </si>
  <si>
    <t>되지마라/된다</t>
  </si>
  <si>
    <t>32040-0-2</t>
  </si>
  <si>
    <t>되고＇ 이＇따/되고＇ 이따</t>
  </si>
  <si>
    <t>되고 이따</t>
  </si>
  <si>
    <t>되구 이따</t>
  </si>
  <si>
    <t>되고이따</t>
  </si>
  <si>
    <t>32040-0-3</t>
  </si>
  <si>
    <t>되다＇라</t>
  </si>
  <si>
    <t>되더라</t>
  </si>
  <si>
    <t>32040-0-4</t>
  </si>
  <si>
    <t>되니＇까</t>
  </si>
  <si>
    <t>되며넌/싸를 되먼</t>
  </si>
  <si>
    <t>되로 되니</t>
  </si>
  <si>
    <t>되니까</t>
  </si>
  <si>
    <t>32040-0-5</t>
  </si>
  <si>
    <t>돼애＇라/돼애＇따</t>
  </si>
  <si>
    <t>말로 돼:/돼: 가주구서 자루에다 부:먼 항 가마 {되어서 자루에다 부으면 한 가마}/가마에다 열마럴 돼 붜야 항 가마가 돼 {가마에다 열 말을 되어 부어야 한 가마가 돼}</t>
  </si>
  <si>
    <t>돼:라</t>
  </si>
  <si>
    <t>되루 돼:따</t>
  </si>
  <si>
    <t>있-(有)[ㅆ]</t>
  </si>
  <si>
    <t>32041-0-1</t>
  </si>
  <si>
    <t>이＇짜</t>
  </si>
  <si>
    <t>각:꾸 인넝 거</t>
  </si>
  <si>
    <t>이따</t>
  </si>
  <si>
    <t>마:니 이찌</t>
  </si>
  <si>
    <t>32041-0-2</t>
  </si>
  <si>
    <t>이＇꼬</t>
  </si>
  <si>
    <t>창꼬도 이꼬 이러치/섬:두 이꾸/너픈데도 이꼬 야츤데도 이꼬</t>
  </si>
  <si>
    <t>이꼬</t>
  </si>
  <si>
    <t>이꾸 이꾸</t>
  </si>
  <si>
    <t>32041-0-3</t>
  </si>
  <si>
    <t>이따＇라/이＇따</t>
  </si>
  <si>
    <t>사라미 이떠니 간네 {사람이 있더니 갔네}</t>
  </si>
  <si>
    <t>땅에다 노코 이따</t>
  </si>
  <si>
    <t>이떠라</t>
  </si>
  <si>
    <t>이따/이떠라</t>
  </si>
  <si>
    <t>32041-0-4</t>
  </si>
  <si>
    <t>이쓰＇니까</t>
  </si>
  <si>
    <t>이씨먼 {있으면}</t>
  </si>
  <si>
    <t>혼자 이씨니까/혼저 이씨니 심시마다/이쓸테니/나도 지베 이씰테니</t>
  </si>
  <si>
    <t>이씨니깐 빌려준다/이씨먼/이씸 시끄럽따</t>
  </si>
  <si>
    <t>도:니 이씨나 업씨나/어:르니 이쓰니</t>
  </si>
  <si>
    <t>도:니 이씨니까/이씨머 이떠라</t>
  </si>
  <si>
    <t>32041-0-5</t>
  </si>
  <si>
    <t>지＇베 이＇싸라</t>
  </si>
  <si>
    <t>이써서 조켄네 {있어서 좋겠네}/즈:근 게 이써</t>
  </si>
  <si>
    <t>지베 이써라</t>
  </si>
  <si>
    <t>이써서</t>
  </si>
  <si>
    <t>도:니 이써도</t>
  </si>
  <si>
    <t>놓-(放)[ㅎ]</t>
  </si>
  <si>
    <t>32042-0-1</t>
  </si>
  <si>
    <t>논는＇다/노＇차/언제 노＇치요.</t>
  </si>
  <si>
    <t>수 논는다구</t>
  </si>
  <si>
    <t>따~에다 놔:라/논:는다/노치 왜/논는다</t>
  </si>
  <si>
    <t>노치 말라</t>
  </si>
  <si>
    <t>살쩡 논는다</t>
  </si>
  <si>
    <t>논는다/노치마라</t>
  </si>
  <si>
    <t>32042-0-2</t>
  </si>
  <si>
    <t>노＇코</t>
  </si>
  <si>
    <t>흐트려 노쿠/깍뛰기 노코/설쐬에다 올려노쿠</t>
  </si>
  <si>
    <t>노코 이따</t>
  </si>
  <si>
    <t>살쩡노코이따</t>
  </si>
  <si>
    <t>살무시 노쿠 이따</t>
  </si>
  <si>
    <t>32042-0-3</t>
  </si>
  <si>
    <t>노타＇라</t>
  </si>
  <si>
    <t>땅에다 논:다</t>
  </si>
  <si>
    <t>살쩡 노터라</t>
  </si>
  <si>
    <t>노터라</t>
  </si>
  <si>
    <t>32042-0-4</t>
  </si>
  <si>
    <t>노＇오니까/언제 노＇오오./노＇우니/노＇으니</t>
  </si>
  <si>
    <t>노:니까</t>
  </si>
  <si>
    <t>땅에 노:니깐</t>
  </si>
  <si>
    <t>살쩡 노:니</t>
  </si>
  <si>
    <t>32042-0-5</t>
  </si>
  <si>
    <t>놔＇아따/언제 놔＇아라/언제 나＇아라</t>
  </si>
  <si>
    <t>차곡차곡 채워놔라/비누리 가따 푹 싸아 놔따 {비닐 갖다 푹 쌓아 놨다}/소:믈 놔서/잘 놔야 할텐데 이래자너</t>
  </si>
  <si>
    <t>놔: 준다</t>
  </si>
  <si>
    <t>말른 땅에 놔:라</t>
  </si>
  <si>
    <t>살쩡 놔:/탕 나:따/나:라</t>
  </si>
  <si>
    <t>놔:라/살무시 놔:라</t>
  </si>
  <si>
    <t>훑-(扱)[ㄾ]</t>
  </si>
  <si>
    <t>32043-0-1</t>
  </si>
  <si>
    <t>훌＇짜/베르＇ 훌른＇다/훌룬＇다</t>
  </si>
  <si>
    <t>훌찌 왜 안훌르냐/훌찌 마라/훌룬다</t>
  </si>
  <si>
    <t>여물지 아나 훌찌 말라</t>
  </si>
  <si>
    <t>훌런다</t>
  </si>
  <si>
    <t>훌찌마라</t>
  </si>
  <si>
    <t>32043-0-2</t>
  </si>
  <si>
    <t>훌＇꼬</t>
  </si>
  <si>
    <t>훌꼬 이따</t>
  </si>
  <si>
    <t>이사글 훌꾸 이따</t>
  </si>
  <si>
    <t>훌꾸이따</t>
  </si>
  <si>
    <t>훌꾸이따/훌투구이따</t>
  </si>
  <si>
    <t>32043-0-3</t>
  </si>
  <si>
    <t>훌따＇라/훌＇타라</t>
  </si>
  <si>
    <t>훌룬다</t>
  </si>
  <si>
    <t>나넌 훌런다</t>
  </si>
  <si>
    <t>훌떠라</t>
  </si>
  <si>
    <t>32043-0-4</t>
  </si>
  <si>
    <t>훌＇투니까/훌＇트니</t>
  </si>
  <si>
    <t>훌투니/마:~이 훌투니까</t>
  </si>
  <si>
    <t>훌투니까</t>
  </si>
  <si>
    <t>훌트니</t>
  </si>
  <si>
    <t>32043-0-5</t>
  </si>
  <si>
    <t>쫙:: 훌＇타 삐레/훌＇타라</t>
  </si>
  <si>
    <t>세루 헐터라 {혀로 핥아라}</t>
  </si>
  <si>
    <t>훌터라</t>
  </si>
  <si>
    <t>베이사글 훌터라</t>
  </si>
  <si>
    <t>빨리 훌터라</t>
  </si>
  <si>
    <t>훌터따</t>
  </si>
  <si>
    <t>곱:-(麗)[ㅂ변]</t>
  </si>
  <si>
    <t>32044-0-1</t>
  </si>
  <si>
    <t>고옵＇찌</t>
  </si>
  <si>
    <t>고:께 꼬먼</t>
  </si>
  <si>
    <t>곱:따</t>
  </si>
  <si>
    <t>곱:찔 앙코</t>
  </si>
  <si>
    <t>곱:찌안타</t>
  </si>
  <si>
    <t>32044-0-2</t>
  </si>
  <si>
    <t>고옵＇꼬</t>
  </si>
  <si>
    <t>고:꾸</t>
  </si>
  <si>
    <t>곱:꼬/고:꼬</t>
  </si>
  <si>
    <t>고:꼬</t>
  </si>
  <si>
    <t>32044-0-3</t>
  </si>
  <si>
    <t>고옵＇따라</t>
  </si>
  <si>
    <t>아이 곱:따</t>
  </si>
  <si>
    <t>이거뚜 고:꼬 저거또 곱:따라/곱:떠라</t>
  </si>
  <si>
    <t>곱:떠라/곱:따</t>
  </si>
  <si>
    <t>곱:따구두허구/곱:떠라</t>
  </si>
  <si>
    <t>32044-0-4</t>
  </si>
  <si>
    <t>고오＇우니까</t>
  </si>
  <si>
    <t>삐까리 고:우면/고:우믄</t>
  </si>
  <si>
    <t>고:우니깐</t>
  </si>
  <si>
    <t>고:우니</t>
  </si>
  <si>
    <t>고:우니까</t>
  </si>
  <si>
    <t>32044-0-5</t>
  </si>
  <si>
    <t>고오＇와따</t>
  </si>
  <si>
    <t>피부가 하두 고:와서 만지고 심네 {피부가 하두 고:와서 만지고 싶네}</t>
  </si>
  <si>
    <t>고와도/고:워서</t>
  </si>
  <si>
    <t>고:와서</t>
  </si>
  <si>
    <t>고:워서</t>
  </si>
  <si>
    <t>쥐:-(握)[ㅟ]</t>
  </si>
  <si>
    <t>32045-0-1</t>
  </si>
  <si>
    <t>쥐위＇자/쥐윈＇다</t>
  </si>
  <si>
    <t>하노쿰 쥔:다/이거또 주머걸 쥐는 걸 좸:좸: 이래 {이것도 주먹을 쥐는 걸 좸좸이래}</t>
  </si>
  <si>
    <t>쥔:다/소네 쥐:지 왜 노첸니</t>
  </si>
  <si>
    <t>쥐:지 말라</t>
  </si>
  <si>
    <t>쥔:다</t>
  </si>
  <si>
    <t>주먹 쥐지마라</t>
  </si>
  <si>
    <t>32045-0-2</t>
  </si>
  <si>
    <t>쥐위＇고</t>
  </si>
  <si>
    <t>주머걸 쥐구 때리네 {주먹을 쥐고 때리네}</t>
  </si>
  <si>
    <t>쥐:고 이따/쥐:구</t>
  </si>
  <si>
    <t>쥐:구 이따</t>
  </si>
  <si>
    <t>쥐:구이따</t>
  </si>
  <si>
    <t>쥐:구이따/주먹 쥐구이따</t>
  </si>
  <si>
    <t>32045-0-3</t>
  </si>
  <si>
    <t>쥐위＇다라</t>
  </si>
  <si>
    <t>쥐:다라</t>
  </si>
  <si>
    <t>쥐:더라</t>
  </si>
  <si>
    <t>꽉 쥐더라</t>
  </si>
  <si>
    <t>32045-0-4</t>
  </si>
  <si>
    <t>쥐위＇니까</t>
  </si>
  <si>
    <t>쥐:문</t>
  </si>
  <si>
    <t>쥐:니깐</t>
  </si>
  <si>
    <t>쥐:니</t>
  </si>
  <si>
    <t>꽉 쥐:니까</t>
  </si>
  <si>
    <t>32045-0-5</t>
  </si>
  <si>
    <t>줴＇에라/줴＇에쓰니까</t>
  </si>
  <si>
    <t>수수는 뜰만 이러케 해서 모겔 줴서 매다라 노쿠 {수수는 떨면 이렇게 해서 목을 쥐어서 매달아 놓고}/주ㅕ:따/주머걸 주ㅕ:라/주먹 주ㅕ라 {주먹 쥐어라}</t>
  </si>
  <si>
    <t>줴:라</t>
  </si>
  <si>
    <t>주ㅕ:라</t>
  </si>
  <si>
    <t>빨리 꽉 줴:라</t>
  </si>
  <si>
    <t>줴:떠라/주머글 줴:따</t>
  </si>
  <si>
    <t>가-(去)[ㅏ]</t>
  </si>
  <si>
    <t>32046-0-1</t>
  </si>
  <si>
    <t>간다＇/가자안＇나</t>
  </si>
  <si>
    <t>재 지금 하꾜 간다고 밤 머거 {저 아이 지금 학교 간다고 밥 먹어}/어쩌구 이따 가느냐구</t>
  </si>
  <si>
    <t>가가라/가지 왜 오니</t>
  </si>
  <si>
    <t>가지 마라</t>
  </si>
  <si>
    <t>간다</t>
  </si>
  <si>
    <t>간다/가지마라</t>
  </si>
  <si>
    <t>32046-0-2</t>
  </si>
  <si>
    <t>하꾜＇로 가＇고 이따</t>
  </si>
  <si>
    <t>가고 이따</t>
  </si>
  <si>
    <t>난 가구 이따</t>
  </si>
  <si>
    <t>가고이따</t>
  </si>
  <si>
    <t>가구이따</t>
  </si>
  <si>
    <t>32046-0-3</t>
  </si>
  <si>
    <t>하꾜＇에 가다＇라</t>
  </si>
  <si>
    <t>멀:리 가더라</t>
  </si>
  <si>
    <t>가더라</t>
  </si>
  <si>
    <t>32046-0-4</t>
  </si>
  <si>
    <t>가＇면 조＇:타/일찌＇기 가면 조오＇타/하꾜＇ 일찌＇ 가＇무 조타 가＇무/감미＇다보다 가끼＇~이요/하꾜＇ 가＇니까</t>
  </si>
  <si>
    <t>이쪼그로 가먼 암 보인다/가니깐 잘 보인다</t>
  </si>
  <si>
    <t>하꾜에 다 가니</t>
  </si>
  <si>
    <t>바테 가니까</t>
  </si>
  <si>
    <t>32046-0-5</t>
  </si>
  <si>
    <t>일찍＇ 가가＇라/가야＇된다/학꾜＇는 일찍＇ 가야 한다</t>
  </si>
  <si>
    <t>가라 구래먼 책뽀 들고 가넝거지 머</t>
  </si>
  <si>
    <t>멀:리 가도 난 {멀리 가도 나는}</t>
  </si>
  <si>
    <t>천처니 가:라</t>
  </si>
  <si>
    <t>가따/가거라</t>
  </si>
  <si>
    <t>가거라/가:라하기도 허구 가거라하기도 허구</t>
  </si>
  <si>
    <t>먹-(食)</t>
  </si>
  <si>
    <t>32047-0-1</t>
  </si>
  <si>
    <t>{-지,-고,-더라}</t>
  </si>
  <si>
    <t>먹＇짜/멍는＇다</t>
  </si>
  <si>
    <t>머그러 {먹으러}/새벽쪼반 멍는다 그래대요/즘:심 머꼬 온대씨니까/생 걸 머그먼 안되지/먹따 몸 머꼬 내놔써 {먹다가 못 먹고 내놨어}/구워서두 머꾸 {구워서도 먹고}/이켜 머그라구 {익혀 먹으라고}</t>
  </si>
  <si>
    <t>멍는다/바블 머꾸이따</t>
  </si>
  <si>
    <t>머꾸 이따/멍넌다</t>
  </si>
  <si>
    <t>멍는다/먹떠라</t>
  </si>
  <si>
    <t>짐 먹짜 {지금 먹짜}</t>
  </si>
  <si>
    <t>32047-0-2</t>
  </si>
  <si>
    <t>{-아/어도, -아/어서, -았/었다}</t>
  </si>
  <si>
    <t>머＇가라</t>
  </si>
  <si>
    <t>아이 배 고픈데 밤 머거라 {아이 배 고픈데 밥 먹어라}/바벌 머거라 {밥을 먹어라}</t>
  </si>
  <si>
    <t>빨리 바블 머거라</t>
  </si>
  <si>
    <t>머거라</t>
  </si>
  <si>
    <t>뜯-(摘)</t>
  </si>
  <si>
    <t>32048-0-1</t>
  </si>
  <si>
    <t>뜨짜＇/뜬는＇다</t>
  </si>
  <si>
    <t>뜬는다/뜨꼬이따</t>
  </si>
  <si>
    <t>뜬는다/뜨꾸 이따</t>
  </si>
  <si>
    <t>뜬는다</t>
  </si>
  <si>
    <t>뜨짜</t>
  </si>
  <si>
    <t>32048-0-2</t>
  </si>
  <si>
    <t>뜨다＇라</t>
  </si>
  <si>
    <t>뜨더 먹찌 {뜯어 먹지}/푸를 뜨더 멍네 {풀을 뜯어 먹네}</t>
  </si>
  <si>
    <t>푸를 뜨더라</t>
  </si>
  <si>
    <t>뜨더멍능건</t>
  </si>
  <si>
    <t>뜨더버려라</t>
  </si>
  <si>
    <t>빨리 뜨더라</t>
  </si>
  <si>
    <t>같-(如)</t>
  </si>
  <si>
    <t>32049-0-1</t>
  </si>
  <si>
    <t>가따＇라/똑까따＇</t>
  </si>
  <si>
    <t>엉겅구 가끼도 해요/썽능 거 가틍 거/아침 가트먼/마:리 가찌/주몽낭그 가튼데</t>
  </si>
  <si>
    <t>가코 {같고}/가치 {같지}/가타 {같다}</t>
  </si>
  <si>
    <t>가따</t>
  </si>
  <si>
    <t>가타/또까타</t>
  </si>
  <si>
    <t>가따 건</t>
  </si>
  <si>
    <t>32049-0-2</t>
  </si>
  <si>
    <t>가태＇애서 실타＇</t>
  </si>
  <si>
    <t>가터/이건 말매미 가태</t>
  </si>
  <si>
    <t>가태두 조:쿠/가트니/가튼데</t>
  </si>
  <si>
    <t>가태서</t>
  </si>
  <si>
    <t>가태서 조:터라/또까태: 조:터라</t>
  </si>
  <si>
    <t>얕-(淺)</t>
  </si>
  <si>
    <t>32050-0-1</t>
  </si>
  <si>
    <t>야＇꼬/아이 무리＇ 무척 나따＇라/무리 야＇따/야＇따 야＇따/별거 아~이＇다라 나따＇라/얄＇따</t>
  </si>
  <si>
    <t>무리 야트먼 건느기가 쉽꾸 {물이 얕으면 건너기가 쉽고}/야꾸 {얕고}/야틍 거 {얕은 거}/너픈데도 이꼬 야츤데도 이꼬/야트먼 {얕으면}</t>
  </si>
  <si>
    <t>무리 야따</t>
  </si>
  <si>
    <t>나따구래는데</t>
  </si>
  <si>
    <t>야떠라</t>
  </si>
  <si>
    <t>나따/야따</t>
  </si>
  <si>
    <t>32050-0-2</t>
  </si>
  <si>
    <t>야＇트니/야＇타서 건＇네기 쉬입＇따</t>
  </si>
  <si>
    <t>야터서 조:타 {얕아서 좋다}</t>
  </si>
  <si>
    <t>야튼데/무리 야터서 건네기 조:타</t>
  </si>
  <si>
    <t>나터서/나튼데/나즌데루/나저서</t>
  </si>
  <si>
    <t>야터서 건:네기 쉽:떠라</t>
  </si>
  <si>
    <t>무리 야타/무리 나자서/나즈니까 쉽따</t>
  </si>
  <si>
    <t>흩-(散)</t>
  </si>
  <si>
    <t>32051-0-1</t>
  </si>
  <si>
    <t>헤티＇린다/흐트＇리고</t>
  </si>
  <si>
    <t>헤친다 구래 헤친다구</t>
  </si>
  <si>
    <t>헤치구이따/헤친다</t>
  </si>
  <si>
    <t>헤:치구 이따/흐트려라</t>
  </si>
  <si>
    <t>헤치구 이따</t>
  </si>
  <si>
    <t>32051-0-2</t>
  </si>
  <si>
    <t>헤티＇레라/흐트레/흐트레진다</t>
  </si>
  <si>
    <t>헤처 논: 거 {헤쳐 놓은 거}</t>
  </si>
  <si>
    <t>헤처라</t>
  </si>
  <si>
    <t>헤테진다</t>
  </si>
  <si>
    <t>흐터저 조:터라/모여라 헤처라</t>
  </si>
  <si>
    <t>날:-(飛)</t>
  </si>
  <si>
    <t>32052-0-1</t>
  </si>
  <si>
    <t>난＇다/날＇고</t>
  </si>
  <si>
    <t>독쑤리가 젤 너피 날지/다 날르능 거지</t>
  </si>
  <si>
    <t>나르고이따/나르니 보이기 조타 {나니 보기 좋다}/섀:가 하느를 나르고이따/나른다</t>
  </si>
  <si>
    <t>난다</t>
  </si>
  <si>
    <t>날고 이따</t>
  </si>
  <si>
    <t>이쩍또 날:구 저쩍뚜 난다/난다그래지요</t>
  </si>
  <si>
    <t>32052-0-2</t>
  </si>
  <si>
    <t>나＇라라</t>
  </si>
  <si>
    <t>훠럴 나라간다 {훨훨 날아간다}</t>
  </si>
  <si>
    <t>나라간다/나러간다</t>
  </si>
  <si>
    <t>나러라</t>
  </si>
  <si>
    <t>나러간다</t>
  </si>
  <si>
    <t>날라간다</t>
  </si>
  <si>
    <t>울:-(泣)</t>
  </si>
  <si>
    <t>32053-0-1</t>
  </si>
  <si>
    <t>우운＇다/우울＇자</t>
  </si>
  <si>
    <t>매:미는 죙일 죙일 우:네/우:넝 거 {우는 거}/막 울:지</t>
  </si>
  <si>
    <t>울:고이따</t>
  </si>
  <si>
    <t>울:지 말라/슬푸니까 운:다</t>
  </si>
  <si>
    <t>엉엉 울:고 이따</t>
  </si>
  <si>
    <t>울:더라/울:구 이따/운:다</t>
  </si>
  <si>
    <t>32053-0-2</t>
  </si>
  <si>
    <t>우＇러서는 안된다</t>
  </si>
  <si>
    <t>왜 이러케 우러 {왜 이렇게 울어}/응 우러</t>
  </si>
  <si>
    <t>우러선 안된다</t>
  </si>
  <si>
    <t>고만 우러라</t>
  </si>
  <si>
    <t>우러서 시끄럽따</t>
  </si>
  <si>
    <t>너머 우러 눈이 다 붜:따</t>
  </si>
  <si>
    <t>일:-(淘)</t>
  </si>
  <si>
    <t>32054-0-1</t>
  </si>
  <si>
    <t>이인＇다/이일＇고</t>
  </si>
  <si>
    <t>이:넝 거는 이:남바기써 {이는 거는 이남박 있어}/야:중에 조:리로 떠서 돌:치이라구 이남바그로 일:지</t>
  </si>
  <si>
    <t>싸를 일:고이따/싸를 인:다</t>
  </si>
  <si>
    <t>인:다</t>
  </si>
  <si>
    <t>일:구 이따/조:리로 싸르 인:다</t>
  </si>
  <si>
    <t>돌:일런다/싸를 일쿠/싸를 인다그래지요</t>
  </si>
  <si>
    <t>32054-0-2</t>
  </si>
  <si>
    <t>이＇라라(+구)/이＇러라(+신)</t>
  </si>
  <si>
    <t>잘 이러라 {잘 일어라}</t>
  </si>
  <si>
    <t>싸를 이러서 바블 한다</t>
  </si>
  <si>
    <t>빨리 이러라</t>
  </si>
  <si>
    <t>도:리씨니까 이러라</t>
  </si>
  <si>
    <t>얼:-(凍)</t>
  </si>
  <si>
    <t>32055-0-1</t>
  </si>
  <si>
    <t>어＇르미 으은＇다/으을＇고</t>
  </si>
  <si>
    <t>배 은:다구/어르미 꽁꽁 얼:먼 {얼음이 꽁꽁 얼:면}</t>
  </si>
  <si>
    <t>얼:고/언:다</t>
  </si>
  <si>
    <t>언다</t>
  </si>
  <si>
    <t>언:다/꽁꽁 얼:고</t>
  </si>
  <si>
    <t>얼:구</t>
  </si>
  <si>
    <t>32055-0-2</t>
  </si>
  <si>
    <t>어＇라사</t>
  </si>
  <si>
    <t>너머도 꽁꽁 어런네 {너무도 꽁꽁 얼었네}/어르미 소시러지게 어런네 {얼음이 소스러지게 얼었네}</t>
  </si>
  <si>
    <t>어러서 어르미 된다</t>
  </si>
  <si>
    <t>두꺼께 어러서</t>
  </si>
  <si>
    <t>어리미 어러서</t>
  </si>
  <si>
    <t>어러따</t>
  </si>
  <si>
    <t>넘:-(越)</t>
  </si>
  <si>
    <t>32056-0-1</t>
  </si>
  <si>
    <t>너엄＇꼬/느음＇는다</t>
  </si>
  <si>
    <t>넘:넌다 {넘는다}</t>
  </si>
  <si>
    <t>넘:는다/넘:꼬이따</t>
  </si>
  <si>
    <t>사늘 넝:꼬 이따/넘:넌다</t>
  </si>
  <si>
    <t>넝:꼬</t>
  </si>
  <si>
    <t>넝:꾸</t>
  </si>
  <si>
    <t>32056-0-2</t>
  </si>
  <si>
    <t>너＇머따</t>
  </si>
  <si>
    <t>고개 너머 가네</t>
  </si>
  <si>
    <t>너무니 안된다/너머두/뛰어 너므니/뛔:너므니까 안된다 {뛰어 넘으니까 안된다}</t>
  </si>
  <si>
    <t>너머간다구</t>
  </si>
  <si>
    <t>너머따</t>
  </si>
  <si>
    <t>너머라/너머따</t>
  </si>
  <si>
    <t>숨:-(隱)</t>
  </si>
  <si>
    <t>32057-0-1</t>
  </si>
  <si>
    <t>숨꼬＇</t>
  </si>
  <si>
    <t>수무먼 암 베키자너 {숨으면 안 보이잖아}</t>
  </si>
  <si>
    <t>숭:꼬/숨:꼬이따</t>
  </si>
  <si>
    <t>숭:꾸 이따/슘:꾸 이따</t>
  </si>
  <si>
    <t>숭:꾸이따</t>
  </si>
  <si>
    <t>숨:는다</t>
  </si>
  <si>
    <t>32057-0-2</t>
  </si>
  <si>
    <t>수머＇따</t>
  </si>
  <si>
    <t>머리카랑 베킨다 꼭꼭 수머라 {머리카락 보인다 꼭꼭 숨어라}/수머라 {숨어라}</t>
  </si>
  <si>
    <t>수머야댄다</t>
  </si>
  <si>
    <t>슈머라</t>
  </si>
  <si>
    <t>수머이따</t>
  </si>
  <si>
    <t>수머라/수머떠라</t>
  </si>
  <si>
    <t>쉽:-(易)</t>
  </si>
  <si>
    <t>32058-0-1</t>
  </si>
  <si>
    <t>쉬윕＇따/쉬윕＇꼬</t>
  </si>
  <si>
    <t>무리 야트먼 건느기가 쉽꾸/너머 쉬:꾸나/쉬:웅 거 {쉬운 거}</t>
  </si>
  <si>
    <t>쉽:떠라</t>
  </si>
  <si>
    <t>쉽:따</t>
  </si>
  <si>
    <t>쉽:따/십:따</t>
  </si>
  <si>
    <t>32058-0-2</t>
  </si>
  <si>
    <t>쉬위＇와서</t>
  </si>
  <si>
    <t>너머 쉬:워 잘 푸러따 {너무 쉬워 잘 풀었다}</t>
  </si>
  <si>
    <t>쉬워서 풀기 쉽:따</t>
  </si>
  <si>
    <t>너머 쉬:워서</t>
  </si>
  <si>
    <t>문제가 쉬:워서</t>
  </si>
  <si>
    <t>눕:-(臥)</t>
  </si>
  <si>
    <t>32059-0-1</t>
  </si>
  <si>
    <t>누우＇짜/누운＇는다/둘룬＇다/나아＇는 누운＇는다</t>
  </si>
  <si>
    <t>자리에 눈:는다 그래 {자리에 눕는다 그래}/모:로 드러눈네 {모루 드러눕네}</t>
  </si>
  <si>
    <t>바~에 누코이따/누꼬이따/눅꼬이따/누치말고 이러나라</t>
  </si>
  <si>
    <t>누꾸 이따</t>
  </si>
  <si>
    <t>누꼬이따</t>
  </si>
  <si>
    <t>누:쿠</t>
  </si>
  <si>
    <t>32059-0-2</t>
  </si>
  <si>
    <t>누우＇시개/놔＇아라/누우＇께 된＇다 누＇워야지/둘롸＇ 이＇싸야지/둘롸＇아 이꺼＇라</t>
  </si>
  <si>
    <t>그냥 벌럭 드러눠:</t>
  </si>
  <si>
    <t>누워이따/누우니 펴난하더라</t>
  </si>
  <si>
    <t>누어/누워라</t>
  </si>
  <si>
    <t>누워 쉰:다/누어이따/누워이따</t>
  </si>
  <si>
    <t>방에 누워라/누워따그래지요/누워떠라</t>
  </si>
  <si>
    <t>깁:-(縫)</t>
  </si>
  <si>
    <t>32060-0-1</t>
  </si>
  <si>
    <t>진＇는다(옷을)/지이＇짜/지인＇는다</t>
  </si>
  <si>
    <t>진:넝 거 {깁는 거}/짐:능 거지 {깁는 것이지}/진:넌다구/진:는다 구래</t>
  </si>
  <si>
    <t>진는다능거는/지코이따</t>
  </si>
  <si>
    <t>대:구 진:넌다/지:꾸 이따</t>
  </si>
  <si>
    <t>진:는다</t>
  </si>
  <si>
    <t>진:는다쏘리하과 {짓는다 소리하고}/제:이버따 {지어 입었다}</t>
  </si>
  <si>
    <t>32060-0-2</t>
  </si>
  <si>
    <t>제＇에라</t>
  </si>
  <si>
    <t>지어라/흐:녿 제 이버따구 {헌옷 지어 입었다고}/얘 이거 쫌 지어라 {얘 이것 좀 기워라}/지어 임능 거/제: 임능 거/기어 임능 거</t>
  </si>
  <si>
    <t>지어라</t>
  </si>
  <si>
    <t>제:야지 {깁어야지}</t>
  </si>
  <si>
    <t>지어라/제:임는다/지어이버라</t>
  </si>
  <si>
    <t>밉:-(憎)</t>
  </si>
  <si>
    <t>32061-0-1</t>
  </si>
  <si>
    <t>밉＇꼬/밉＇따/미＇우니</t>
  </si>
  <si>
    <t>미운 지설 해서</t>
  </si>
  <si>
    <t>밉떠라</t>
  </si>
  <si>
    <t>얄:밉따구</t>
  </si>
  <si>
    <t>밉따</t>
  </si>
  <si>
    <t>밉:따</t>
  </si>
  <si>
    <t>32061-0-2</t>
  </si>
  <si>
    <t>미＇와서/미와＇</t>
  </si>
  <si>
    <t>미워해지/난: 재가 미워 주께써 {난 저 아이가 미워 죽겠어}</t>
  </si>
  <si>
    <t>미워서 시타</t>
  </si>
  <si>
    <t>얄:미워서</t>
  </si>
  <si>
    <t>미워서/미운지스 한다</t>
  </si>
  <si>
    <t>미:워서</t>
  </si>
  <si>
    <t>높-(高)</t>
  </si>
  <si>
    <t>32062-0-1</t>
  </si>
  <si>
    <t>놉＇따/놉따＇라/노푸＇다/산 꼭떼＇기 참 올＇라가보~이 노푸＇다라/놉＇꼬/노푸＇니</t>
  </si>
  <si>
    <t>에이 넌: 남자 보는 누니 엄청 넙꾸나 이래구 {넌 남자 보는 눈이 엄청 높구나 이러고}/노푼 산 {높은 산}/넙꾸나 {높구나}/놉따 그래 {높다 그래}/너픈데도 이꼬 야츤데도 이꼬/너픈데 씨는 나시로군 {높은 데 쓰는 낫이로군}/너픈 산 {높은 산}</t>
  </si>
  <si>
    <t>넙떠라/지부~이 놉따</t>
  </si>
  <si>
    <t>사니 놉따</t>
  </si>
  <si>
    <t>넙따/너푸다</t>
  </si>
  <si>
    <t>놉따</t>
  </si>
  <si>
    <t>32062-0-2</t>
  </si>
  <si>
    <t>노＇파사</t>
  </si>
  <si>
    <t>너퍼서 {높아서}</t>
  </si>
  <si>
    <t>너퍼서 모돌라간다</t>
  </si>
  <si>
    <t>노파서 조타</t>
  </si>
  <si>
    <t>사니 너머 너퍼서</t>
  </si>
  <si>
    <t>노파서 히미 들다</t>
  </si>
  <si>
    <t>짓:-(作)</t>
  </si>
  <si>
    <t>32063-0-1</t>
  </si>
  <si>
    <t>지이＇꼬/시＇를 지인＇는다</t>
  </si>
  <si>
    <t>진:넌다구/달게장 진넝 거 {닭장 짓는 것}/진:는다구</t>
  </si>
  <si>
    <t>지코이따</t>
  </si>
  <si>
    <t>진:는 중이다/지:꾸 이따</t>
  </si>
  <si>
    <t>진:는다/달거자~: 지:꾸서/진:는다니</t>
  </si>
  <si>
    <t>새로 지블 진는다</t>
  </si>
  <si>
    <t>32063-0-2</t>
  </si>
  <si>
    <t>지어/집 한 채 제:얘지 {집 한 채 지어야지}</t>
  </si>
  <si>
    <t>지블 지:서/지블 지어서/지:야 조:타/지어야지</t>
  </si>
  <si>
    <t>지어서 조타</t>
  </si>
  <si>
    <t>제:따/제:가주고/제:라</t>
  </si>
  <si>
    <t>빨리 지어라/제:야지/질:라문</t>
  </si>
  <si>
    <t>붓:-(腫)</t>
  </si>
  <si>
    <t>32064-0-1</t>
  </si>
  <si>
    <t>부우＇꼬/부운＇는다</t>
  </si>
  <si>
    <t>분:넌다구 {붓는다고}</t>
  </si>
  <si>
    <t>부코이따/분는다</t>
  </si>
  <si>
    <t>쪼꿈 붜:라/쏴:서 부:꾸 이따</t>
  </si>
  <si>
    <t>퉁퉁 분:는다</t>
  </si>
  <si>
    <t>부:꾸</t>
  </si>
  <si>
    <t>32064-0-2</t>
  </si>
  <si>
    <t>버＇어따/버＇어서 나뿌다</t>
  </si>
  <si>
    <t>부어리 쏴서 부원네</t>
  </si>
  <si>
    <t>붜:서 아푸다</t>
  </si>
  <si>
    <t>누워서/붜:서 아푸다/부어따</t>
  </si>
  <si>
    <t>부어서 모:껄른다</t>
  </si>
  <si>
    <t>붜:따그래지요/부어오른다/부어서</t>
  </si>
  <si>
    <t>웃:-(笑)</t>
  </si>
  <si>
    <t>32065-0-1</t>
  </si>
  <si>
    <t>우운＇는다/우우＇짜</t>
  </si>
  <si>
    <t>우시라구/우시라구 간지린다 {웃으라고 간질인다}/운:넝 거 {웃는 거}/우:찌 {웃지}</t>
  </si>
  <si>
    <t>우:꼬이따/운:는다</t>
  </si>
  <si>
    <t>우:찌/깔깔 운:는데</t>
  </si>
  <si>
    <t>껄껄 운:는다</t>
  </si>
  <si>
    <t>운:는다</t>
  </si>
  <si>
    <t>32065-0-2</t>
  </si>
  <si>
    <t>우우＇사라</t>
  </si>
  <si>
    <t>우:찌/우서 바라 {웃어 봐라}</t>
  </si>
  <si>
    <t>우서서 모야~이 조:타</t>
  </si>
  <si>
    <t>우서라</t>
  </si>
  <si>
    <t>껄껄함 우서라 {껄껄 한번 웃어라}</t>
  </si>
  <si>
    <t>우시니까/우서따</t>
  </si>
  <si>
    <t>짖-(吠)</t>
  </si>
  <si>
    <t>32066-0-1</t>
  </si>
  <si>
    <t>지이＇짜/지＇이니까 시끄럽＇따/지인＇는다</t>
  </si>
  <si>
    <t>진넌다 구래 {짖는다 그래}/지지니까 {짖으니까}/너머 지지니까</t>
  </si>
  <si>
    <t>진는다/지꼬이따</t>
  </si>
  <si>
    <t>지:꾸 이따</t>
  </si>
  <si>
    <t>지꾸이따/진는다</t>
  </si>
  <si>
    <t>진는다</t>
  </si>
  <si>
    <t>32066-0-2</t>
  </si>
  <si>
    <t>지＇이니까/제＇에따/되::게＇ 지＇저대＇애내/지＇즈~이까네</t>
  </si>
  <si>
    <t>지저 {짖어}</t>
  </si>
  <si>
    <t>야깐 지저도 조:타/너머 지저서 시끄럽따/지즈니 시끄럽따</t>
  </si>
  <si>
    <t>지저서 시끄럽따/지저라</t>
  </si>
  <si>
    <t>지저서 시끄럽따</t>
  </si>
  <si>
    <t>지저서 시끼럽따/지지니까</t>
  </si>
  <si>
    <t>꽂-(揷)</t>
  </si>
  <si>
    <t>32067-0-1</t>
  </si>
  <si>
    <t>꼬＇지지 마＇라라/꼬＇지고 이＇따/꼬지지＇ 마라라/꼬＇지나 꼬＇지지 마＇라라 꼬＇지지</t>
  </si>
  <si>
    <t>꼰넌다구 {꽂는다고}</t>
  </si>
  <si>
    <t>꼬꼬이따/꼰는다</t>
  </si>
  <si>
    <t>꼬즈니까/꼬꼬 이따</t>
  </si>
  <si>
    <t>꼰는다</t>
  </si>
  <si>
    <t>꼬찌마라</t>
  </si>
  <si>
    <t>32067-0-2</t>
  </si>
  <si>
    <t>꼬＇제따</t>
  </si>
  <si>
    <t>꼬저 놔라 {꽂아 놔라}/필통에 꼬저라 {필통에 꽂어라}</t>
  </si>
  <si>
    <t>꼬즈~이 조:타/꼬자라</t>
  </si>
  <si>
    <t>꼬자따</t>
  </si>
  <si>
    <t>꼬저라/머레다 꼬지니</t>
  </si>
  <si>
    <t>꼬자라</t>
  </si>
  <si>
    <t>낳-(産)</t>
  </si>
  <si>
    <t>32068-0-1</t>
  </si>
  <si>
    <t>나＇코이따/난는＇다</t>
  </si>
  <si>
    <t>애기 난는다 그래 {아기 낳는다 그래}</t>
  </si>
  <si>
    <t>나코이따/난는다</t>
  </si>
  <si>
    <t>난는다/애길 나쿠 이따/난는 중이다</t>
  </si>
  <si>
    <t>쇠가 송아질 난는다</t>
  </si>
  <si>
    <t>나쿠나/나케 되고</t>
  </si>
  <si>
    <t>32068-0-2</t>
  </si>
  <si>
    <t>나＇아라/나＇아따</t>
  </si>
  <si>
    <t>잘 라:야되지</t>
  </si>
  <si>
    <t>날:라고 {낳으려고}/나아라</t>
  </si>
  <si>
    <t>순:조로께 나:서 조타</t>
  </si>
  <si>
    <t>땋:-(辮)</t>
  </si>
  <si>
    <t>32069-0-1</t>
  </si>
  <si>
    <t>딴는＇다/따아＇꼬 이＇따/따＇차/따＇아고 이따/머＇리르 딴＇는다</t>
  </si>
  <si>
    <t>딴넝 거 {땋는 거}</t>
  </si>
  <si>
    <t>딴는데 이걸/따코이따/따치/따:니 이뿌다</t>
  </si>
  <si>
    <t>따:니까/딴:다/따구 이따</t>
  </si>
  <si>
    <t>댕기를 딴는다/따코이따</t>
  </si>
  <si>
    <t>따쿠</t>
  </si>
  <si>
    <t>32069-0-2</t>
  </si>
  <si>
    <t>따＇아준다＇/따＇아라/머＇리 따＇아가주 댕게＇라</t>
  </si>
  <si>
    <t>잘 따:라 {잘 땋아라}</t>
  </si>
  <si>
    <t>아~이 따:두 조:쿠</t>
  </si>
  <si>
    <t>따:라/댕기를 따라</t>
  </si>
  <si>
    <t>빨리 따아라</t>
  </si>
  <si>
    <t>따:따구/따:라/따:서</t>
  </si>
  <si>
    <t>끊-(切)</t>
  </si>
  <si>
    <t>32070-0-1</t>
  </si>
  <si>
    <t>오＇늘부텀 에이 다암＇배를 끈는＇다/끈＇차</t>
  </si>
  <si>
    <t>끈넌다구 {끊는다고}</t>
  </si>
  <si>
    <t>끈는다/끄는 끈터라</t>
  </si>
  <si>
    <t>끄늘 끙쿠 이따/끈능거지</t>
  </si>
  <si>
    <t>끈는다</t>
  </si>
  <si>
    <t>끈치마라</t>
  </si>
  <si>
    <t>32070-0-2</t>
  </si>
  <si>
    <t>끄＇나라</t>
  </si>
  <si>
    <t>끄너저씨니까 다시 동게야 하자너/끄너짐 동고매구 {끊어지면 동여매고}/끄너져{끊어져}</t>
  </si>
  <si>
    <t>끄너선 안된다</t>
  </si>
  <si>
    <t>끄너라</t>
  </si>
  <si>
    <t>끄너따</t>
  </si>
  <si>
    <t>괜찮-(無妨)</t>
  </si>
  <si>
    <t>32071-0-1</t>
  </si>
  <si>
    <t>머 오＇질 안 할＇따 기＇인차안＇타/기＇인＇차안＇타(괜찮다)</t>
  </si>
  <si>
    <t>그건 괜:창쿠</t>
  </si>
  <si>
    <t>괜:찬:니/괜찬:치/괜:찬:다</t>
  </si>
  <si>
    <t>갠찬타</t>
  </si>
  <si>
    <t>괜:찬:타</t>
  </si>
  <si>
    <t>너머저도 괜찬타/괜차는 사람</t>
  </si>
  <si>
    <t>32071-0-2</t>
  </si>
  <si>
    <t>기인차＇나서</t>
  </si>
  <si>
    <t>아이 괜:차너/괜차너 {괜찮아}</t>
  </si>
  <si>
    <t>괜:차너서 다시 거러가따</t>
  </si>
  <si>
    <t>갠차너</t>
  </si>
  <si>
    <t>괜:차나. {괜찮아.}/괜:차나요/괜:차:나요</t>
  </si>
  <si>
    <t>너머저도 괜차나요</t>
  </si>
  <si>
    <t>읽-(讀)</t>
  </si>
  <si>
    <t>32072-0-1</t>
  </si>
  <si>
    <t>시＇를 일른＇다/일＇가라/일＇짜/채글＇ 일른＇다</t>
  </si>
  <si>
    <t>잉넌다 구래 {읽는다 그래}/챙 닝넌다구 {책 읽는다고}</t>
  </si>
  <si>
    <t>일꾸이따/익찌마라/일끼두 하구 인제/채글 일찌마라</t>
  </si>
  <si>
    <t>일꾸 이따/이꾸/잉는다</t>
  </si>
  <si>
    <t>일른다/일꾸이따</t>
  </si>
  <si>
    <t>익짜/그를 잉는다/이꾸이따</t>
  </si>
  <si>
    <t>32072-0-2</t>
  </si>
  <si>
    <t>잘: 일거라 {잘 읽어라}</t>
  </si>
  <si>
    <t>일거라/채글 일거본다</t>
  </si>
  <si>
    <t>일거라</t>
  </si>
  <si>
    <t>일거라/일그라구</t>
  </si>
  <si>
    <t>떫:-(澁)</t>
  </si>
  <si>
    <t>32073-0-1</t>
  </si>
  <si>
    <t>가아＇믄 뜨을＇따/뜨을＇꼬/트을＇따</t>
  </si>
  <si>
    <t>뜹:따구 {떫다고}/아니그먼 떨:꼬/뜰:부먼 이켜서 먹찌 몸 머거 {떫으면 익혀서 먹지 못 먹어}</t>
  </si>
  <si>
    <t>틀:겁따/틀:겁떠라/틀겁따</t>
  </si>
  <si>
    <t>뜳떠라구/틃짜너/뜰:따</t>
  </si>
  <si>
    <t>틀:따</t>
  </si>
  <si>
    <t>뜳:찌 머/가:미 뜰:꾸/떨:따구</t>
  </si>
  <si>
    <t>32073-0-2</t>
  </si>
  <si>
    <t>뜨을＇바사/트을＇바</t>
  </si>
  <si>
    <t>뜰:버요/뜰:버서 몸 멍는다 {떫어서 못 먹는다}/틀:버</t>
  </si>
  <si>
    <t>틀거워시타/틀거워서</t>
  </si>
  <si>
    <t>뜰:버서</t>
  </si>
  <si>
    <t>틀:버서 몸:머께다</t>
  </si>
  <si>
    <t>털:버서/뜰븐 가미</t>
  </si>
  <si>
    <t>옮:-(遷)</t>
  </si>
  <si>
    <t>32074-0-1</t>
  </si>
  <si>
    <t>옴는＇다는 아~이＇고 오옴＇꼬/올＇무니 올＇마</t>
  </si>
  <si>
    <t>눔뼝 옴:넌다구/올른다구 {오른다고}</t>
  </si>
  <si>
    <t>옴:꾸이따</t>
  </si>
  <si>
    <t>옴:는다</t>
  </si>
  <si>
    <t>오른다(+옴이)/오치 잘 옴:는다</t>
  </si>
  <si>
    <t>옴:따</t>
  </si>
  <si>
    <t>32074-0-2</t>
  </si>
  <si>
    <t>올＇마따</t>
  </si>
  <si>
    <t>눔뼝이 올러서 {눈병이 올라서}/올머 {옮아}</t>
  </si>
  <si>
    <t>올머따</t>
  </si>
  <si>
    <t>올마따구</t>
  </si>
  <si>
    <t>오치 올러서/올머서</t>
  </si>
  <si>
    <t>올마따그래요</t>
  </si>
  <si>
    <t>뚫:-(貫)</t>
  </si>
  <si>
    <t>뚤루능거 {뚫는 거}</t>
  </si>
  <si>
    <t>32075-0-1</t>
  </si>
  <si>
    <t>뜨을＇꼬/구멍＇으 뚜울＇룬다/뜨읇＇짜</t>
  </si>
  <si>
    <t>뚜루넝 거 봐 이래 {뚫는 거 봐 이래}/뚤런 구녕으루 {뚫은 구멍으로}/재 심방 지키느라 뭉꾸녕 뚜루능 거 봐 {저 아이 신방 지키느라 문구멍 뚫는 거 봐}/뚜루능 건</t>
  </si>
  <si>
    <t>뚤르니 안조터라/뚤루믄/뚤:른다/뚤쿠 이따라/뚤루고이따/뚤루문 안된다/뚤르지 마라야/뚤른다/뚤:루고이따</t>
  </si>
  <si>
    <t>뚤룬다/구멍을 뚤룬다/뚤루구 이따</t>
  </si>
  <si>
    <t>구녀~을 뚤:른다/뚤:런다</t>
  </si>
  <si>
    <t>송:고스로 구녕을 뚜루구이따/뚜룬다그래지요</t>
  </si>
  <si>
    <t>32075-0-2</t>
  </si>
  <si>
    <t>뜰＇바라/이미＇트르 이제 구머＇~이 뚜러저이꺼든뇨.</t>
  </si>
  <si>
    <t>뚤러/뭉꾸녕 뚤러 논능 거지/송까라그루 뚤러가주 {손가락으로 뚫어서}/뚤러 {뚫어}</t>
  </si>
  <si>
    <t>뚤러야/뚤러야된다</t>
  </si>
  <si>
    <t>빨리 뚤러라</t>
  </si>
  <si>
    <t>구녀~을 뚤구니 잘 보인다/뚤거라</t>
  </si>
  <si>
    <t>뚤러라</t>
  </si>
  <si>
    <t>꿇-(跪)</t>
  </si>
  <si>
    <t>32076-0-1</t>
  </si>
  <si>
    <t>꾼다＇/꾸고＇/무루＇부 꿀고＇ 이따/무룹 꾸고＇/꿀자＇/꾸루＇니</t>
  </si>
  <si>
    <t>꿀꼬 안는다구 {꿇고 앉는다고}</t>
  </si>
  <si>
    <t>꿀코이따/꿀치마라/꾸르고이따</t>
  </si>
  <si>
    <t>꿀:쿠이따</t>
  </si>
  <si>
    <t>꿀른다/무르꿀꼬 안저따/꿀꾸이따</t>
  </si>
  <si>
    <t>꾸리고</t>
  </si>
  <si>
    <t>32076-0-2</t>
  </si>
  <si>
    <t>무루불 꽈아라＇/무룹 꽈아라＇/꾸라＇라</t>
  </si>
  <si>
    <t>무루팍 꾸러 {무릎 꿇어}</t>
  </si>
  <si>
    <t>꾸레서도안된다</t>
  </si>
  <si>
    <t>꾸러라</t>
  </si>
  <si>
    <t>꾸러야 된다</t>
  </si>
  <si>
    <t>무루풀 꾸레라/무루풀 꾸레따</t>
  </si>
  <si>
    <t>32077-0-1</t>
  </si>
  <si>
    <t>딸＇코/달＇코</t>
  </si>
  <si>
    <t>무둘고 이따/무둔다</t>
  </si>
  <si>
    <t>달치 아너따/다릉건</t>
  </si>
  <si>
    <t>딸:른다</t>
  </si>
  <si>
    <t>달쿠</t>
  </si>
  <si>
    <t>32077-0-2</t>
  </si>
  <si>
    <t>따＇라따/다＇라따</t>
  </si>
  <si>
    <t>따러따구두 해구 {닳았다고도 하고}/다 따런네 {다 딿았네}</t>
  </si>
  <si>
    <t>무두러서 안대따 {무뎌져서 안됐다}</t>
  </si>
  <si>
    <t>따러서</t>
  </si>
  <si>
    <t>다라꾸나/다러씨니 까까라</t>
  </si>
  <si>
    <t>닳:-(煎, 소체서 장이~)</t>
  </si>
  <si>
    <t>32078-0-1</t>
  </si>
  <si>
    <t>다알＇고/벌::거＇케 다알＇고</t>
  </si>
  <si>
    <t>단:다구</t>
  </si>
  <si>
    <t>딸:코이따/딸치유/딴:다 {닳는다}/따른다 {닳는다}</t>
  </si>
  <si>
    <t>달쿠 이따</t>
  </si>
  <si>
    <t>달:구이따/달:고 이따/단:다</t>
  </si>
  <si>
    <t>32078-0-2</t>
  </si>
  <si>
    <t>다＇라따</t>
  </si>
  <si>
    <t>부럴 너머 때서 소치 다런네 {불을 너무 때서 솥이 달았네}/다러따구 {달았다고(솥이)}</t>
  </si>
  <si>
    <t>따러서/따러따</t>
  </si>
  <si>
    <t>다러 이따</t>
  </si>
  <si>
    <t>부리 벌:커게 다러따 그래야지/다러서 벌거타</t>
  </si>
  <si>
    <t>다라따</t>
  </si>
  <si>
    <t>짜-(鹽)</t>
  </si>
  <si>
    <t>32079-0-1</t>
  </si>
  <si>
    <t>짜다＇/짜다＇란 마르는 쪼끔 그＇러코 저 아주 사투＇리는 짜굽＇따</t>
  </si>
  <si>
    <t>짜지/짜굽따구/무척 짜굽찌 머/짜다 그래구/짜겁때능 게 마찌 {짜갑다는 것이 맞지}/소구믈 너머 너꾸나 너머 짜다 이래지 {소금을 너무 넣었구나 너무 짜다 이러지}/짜겁따 구래</t>
  </si>
  <si>
    <t>소고믄 짜고 설탕은 달다/짜지</t>
  </si>
  <si>
    <t>짜다</t>
  </si>
  <si>
    <t>짜지요/짜굽따</t>
  </si>
  <si>
    <t>32079-0-2</t>
  </si>
  <si>
    <t>짜과＇아서</t>
  </si>
  <si>
    <t>아이 짜궈 이래자너</t>
  </si>
  <si>
    <t>짜서 몽멍:다 {짜서 못 먹는다}</t>
  </si>
  <si>
    <t>짜서 몸머께따</t>
  </si>
  <si>
    <t>짜서 몸:머께따</t>
  </si>
  <si>
    <t>짜구워서/짜서</t>
  </si>
  <si>
    <t>말-(捲)</t>
  </si>
  <si>
    <t>32080-0-1</t>
  </si>
  <si>
    <t>만＇다/마＇니/말＇고</t>
  </si>
  <si>
    <t>만다구/조이를 똘똘 만다 그래 {종이를 똘똘 만다}</t>
  </si>
  <si>
    <t>만다/말고이따</t>
  </si>
  <si>
    <t>말구 이따/만다구래지</t>
  </si>
  <si>
    <t>뚤뚤 말고</t>
  </si>
  <si>
    <t>똘똘 말구이따</t>
  </si>
  <si>
    <t>32080-0-2</t>
  </si>
  <si>
    <t>마＇라라</t>
  </si>
  <si>
    <t>마러(종이를)/조이를 마러가주 때리네 {종이를 말아서 때리네}</t>
  </si>
  <si>
    <t>마러선</t>
  </si>
  <si>
    <t>마러라</t>
  </si>
  <si>
    <t>마러서</t>
  </si>
  <si>
    <t>똘똘 마라라</t>
  </si>
  <si>
    <t>쓰-(書)</t>
  </si>
  <si>
    <t>32081-0-1</t>
  </si>
  <si>
    <t>씬다＇/씨자＇/그르＇ 씨구 이＇따/그르＇ 씬다＇</t>
  </si>
  <si>
    <t>글 씬다구/지꿈 글씨 씨능구나/왜 그러게 들고 씨니 {왜 그렇게 들고 쓰니}/천:처니 씨구</t>
  </si>
  <si>
    <t>쓰니까/쑨다/그를 쑤고이따/쓰고/쓴다</t>
  </si>
  <si>
    <t>그를 씨구 이따/그를 씬다</t>
  </si>
  <si>
    <t>그를 빨리 씬다.(+다)/쓴다</t>
  </si>
  <si>
    <t>쓴다</t>
  </si>
  <si>
    <t>32081-0-2</t>
  </si>
  <si>
    <t>그르＇ 써따＇/써서＇는 안된다</t>
  </si>
  <si>
    <t>잘 써라</t>
  </si>
  <si>
    <t>써야/써야된다</t>
  </si>
  <si>
    <t>빨리 써라</t>
  </si>
  <si>
    <t>그를 빨리 써라</t>
  </si>
  <si>
    <t>써라</t>
  </si>
  <si>
    <t>오르-(登)</t>
  </si>
  <si>
    <t>32082-0-1</t>
  </si>
  <si>
    <t>오른＇다/오르＇자</t>
  </si>
  <si>
    <t>오른다 구래/올른다구/사네 오르네</t>
  </si>
  <si>
    <t>기어서 올루문 조:찬타/오르고이따/기여서 오르지마라/올르고</t>
  </si>
  <si>
    <t>올루고 이따</t>
  </si>
  <si>
    <t>올라간다 오른다</t>
  </si>
  <si>
    <t>오루고 이따/오룬다</t>
  </si>
  <si>
    <t>32082-0-2</t>
  </si>
  <si>
    <t>올＇라간다</t>
  </si>
  <si>
    <t>올라가</t>
  </si>
  <si>
    <t>올라가고이따/올러라</t>
  </si>
  <si>
    <t>올라라</t>
  </si>
  <si>
    <t>사네 올라</t>
  </si>
  <si>
    <t>올라라/올라가따</t>
  </si>
  <si>
    <t>바쁘-(忙)</t>
  </si>
  <si>
    <t>32083-0-1</t>
  </si>
  <si>
    <t>바뿌＇다</t>
  </si>
  <si>
    <t>바뿌니까/바뿐데 머/바뿌다</t>
  </si>
  <si>
    <t>바뿌다</t>
  </si>
  <si>
    <t>바뿌다/바뿌지요</t>
  </si>
  <si>
    <t>바뿌구</t>
  </si>
  <si>
    <t>32083-0-2</t>
  </si>
  <si>
    <t>바＇빠서</t>
  </si>
  <si>
    <t>바뻐서 갈 때두 모깐네 {바빠서 갈 때도 못 갔네}</t>
  </si>
  <si>
    <t>바빠서 정신 웁:따</t>
  </si>
  <si>
    <t>바뻐서</t>
  </si>
  <si>
    <t>바뻐서두</t>
  </si>
  <si>
    <t>고프-(餓)</t>
  </si>
  <si>
    <t>32084-0-1</t>
  </si>
  <si>
    <t>고푸＇고/배가＇ 고푸＇다</t>
  </si>
  <si>
    <t>엄청 고푸다구/배 고풍 거/아이 배 고픈데 밤 머거라/고푸지</t>
  </si>
  <si>
    <t>고푸다/배가 고푸다</t>
  </si>
  <si>
    <t>고푸다</t>
  </si>
  <si>
    <t>오푸다</t>
  </si>
  <si>
    <t>고푸다그래지/배가 고푸다</t>
  </si>
  <si>
    <t>32084-0-2</t>
  </si>
  <si>
    <t>고＇파서</t>
  </si>
  <si>
    <t>배 고퍼/배가 고퍼얘/배가 엄청 고퍼얘 {배가 엄청 고파}/32047-0-1 아이 배 고프자너 밤 머거 {아이 배 고프잖아 밥 먹어}</t>
  </si>
  <si>
    <t>배가 고퍼서 바블 머거따</t>
  </si>
  <si>
    <t>배가 고파서 바블 머거따</t>
  </si>
  <si>
    <t>배가 너무 오퍼서/배고퍼</t>
  </si>
  <si>
    <t>고파서 잠도 아논다</t>
  </si>
  <si>
    <t>쏘-(射)</t>
  </si>
  <si>
    <t>32085-0-1</t>
  </si>
  <si>
    <t>화＇를 쑤는＇대/화＇를 쑤다＇라/화＇를 쑤구＇/쑨다＇/쏨미＇다/화＇를 쏜다＇/화＇를 쑨다＇</t>
  </si>
  <si>
    <t>총으로 쏜다구</t>
  </si>
  <si>
    <t>쏘코이따/쏘치마라</t>
  </si>
  <si>
    <t>쏜다/쏘구 이따</t>
  </si>
  <si>
    <t>쏜다</t>
  </si>
  <si>
    <t>쏜다그래지 쏜다/총을 쏘고이따</t>
  </si>
  <si>
    <t>32085-0-2</t>
  </si>
  <si>
    <t>화＇를 쏴따＇/쏴씀＇미다/화＇를 쏴아라＇/화＇를 쏴야＇ 된다</t>
  </si>
  <si>
    <t>쏴:서</t>
  </si>
  <si>
    <t>쏴:라</t>
  </si>
  <si>
    <t>빨리 쏴:라/잘 쏴:라</t>
  </si>
  <si>
    <t>쏴:사 돼:지가 주거따/쏴:서</t>
  </si>
  <si>
    <t>꾸-(夢)</t>
  </si>
  <si>
    <t>32086-0-1</t>
  </si>
  <si>
    <t>뀐다구</t>
  </si>
  <si>
    <t>꾸믈 뀐다(+구)/너 꿈뀌니 어떠티(+구) {너 꿈꾸니 어떻디?}/꾸믈 뀐다능거는/꾸고이따/꾼다(+신)</t>
  </si>
  <si>
    <t>뀐다/뀌구 이따</t>
  </si>
  <si>
    <t>꾀:고이따</t>
  </si>
  <si>
    <t>나도 꾸물 꾸구</t>
  </si>
  <si>
    <t>32086-0-2</t>
  </si>
  <si>
    <t>꾸무＇ 꿰＇에사</t>
  </si>
  <si>
    <t>잘 꾸ㅕㄴ:니 {잘 꾸었니}</t>
  </si>
  <si>
    <t>꿔:야된다/너 꿈 꿴:니</t>
  </si>
  <si>
    <t>뀌어따/꾸ㅕ:따</t>
  </si>
  <si>
    <t>잘 꿰:따</t>
  </si>
  <si>
    <t>꿰:따</t>
  </si>
  <si>
    <t>머무르-(留)</t>
  </si>
  <si>
    <t>32087-0-1</t>
  </si>
  <si>
    <t>머＇물고 이따/한 사＇밀 머＇무다라/머＇무르다라/머물＇고 이＇다/머무＇르고는 요새＇마림미다/머물＇다라/머＇무더라</t>
  </si>
  <si>
    <t>머무른다 그래 머문다구/머문다 구래</t>
  </si>
  <si>
    <t>머물르고이따/머물르니</t>
  </si>
  <si>
    <t>머물구 이따/머무르는 중이다</t>
  </si>
  <si>
    <t>머물고 이따</t>
  </si>
  <si>
    <t>머무르기두허구</t>
  </si>
  <si>
    <t>32087-0-2</t>
  </si>
  <si>
    <t>머물＇러라</t>
  </si>
  <si>
    <t>머무러/메칠 머무러따 {며칠 머물렀다}</t>
  </si>
  <si>
    <t>머물러간다</t>
  </si>
  <si>
    <t>머물러서 간다/머물러간다</t>
  </si>
  <si>
    <t>머물러 이써라</t>
  </si>
  <si>
    <t>머무러따구</t>
  </si>
  <si>
    <t>다듬-(整)</t>
  </si>
  <si>
    <t>32088-0-1</t>
  </si>
  <si>
    <t>다드＇무니 다듬＇꼬</t>
  </si>
  <si>
    <t>다듬꼬 이따/다듬능기지</t>
  </si>
  <si>
    <t>다듬꾸 이따</t>
  </si>
  <si>
    <t>다듬능기고</t>
  </si>
  <si>
    <t>다등꾸이따/잘 다등꾸이따</t>
  </si>
  <si>
    <t>32088-0-2</t>
  </si>
  <si>
    <t>다다＇마라/전＇대라</t>
  </si>
  <si>
    <t>다드머라</t>
  </si>
  <si>
    <t>다드머따</t>
  </si>
  <si>
    <t>다드머서/머리는 다드머라</t>
  </si>
  <si>
    <t>잘 다드머라</t>
  </si>
  <si>
    <t>견디-(忍)</t>
  </si>
  <si>
    <t>32089-0-1</t>
  </si>
  <si>
    <t>전＇딘다</t>
  </si>
  <si>
    <t>전딘다구</t>
  </si>
  <si>
    <t>견데고 이따/창꼬 견데니</t>
  </si>
  <si>
    <t>전디고/전딘다</t>
  </si>
  <si>
    <t>이사람도 추위를 잘 전디구/추위를 잘 견딘다</t>
  </si>
  <si>
    <t>32089-0-2</t>
  </si>
  <si>
    <t>전뎌</t>
  </si>
  <si>
    <t>견데라</t>
  </si>
  <si>
    <t>견뎌낸다</t>
  </si>
  <si>
    <t>전데낸:다</t>
  </si>
  <si>
    <t>전데라</t>
  </si>
  <si>
    <t>마르-(裁)</t>
  </si>
  <si>
    <t>32090-0-1</t>
  </si>
  <si>
    <t>마른＇다/마르＇고 이따</t>
  </si>
  <si>
    <t>말리고 이따/말린다</t>
  </si>
  <si>
    <t>오까믈 말르고 이따/말른다</t>
  </si>
  <si>
    <t>마르구</t>
  </si>
  <si>
    <t>32090-0-2</t>
  </si>
  <si>
    <t>말＇라라</t>
  </si>
  <si>
    <t>말례야</t>
  </si>
  <si>
    <t>말러라</t>
  </si>
  <si>
    <t>오까믈 빨리 말러라</t>
  </si>
  <si>
    <t>끼-(烟, 안개가~)</t>
  </si>
  <si>
    <t>32091-0-1</t>
  </si>
  <si>
    <t>찌＇이고 이따/끼＇이고 이따/끼＇이니</t>
  </si>
  <si>
    <t>마:~이 찐:다구 {많이 끼인다고}</t>
  </si>
  <si>
    <t>앙:개가 찌고이따</t>
  </si>
  <si>
    <t>찐다 내린다/앙개가 찐다</t>
  </si>
  <si>
    <t>앙:개가 찌인다</t>
  </si>
  <si>
    <t>끼:구</t>
  </si>
  <si>
    <t>32091-0-2</t>
  </si>
  <si>
    <t>쩨＇에따라/께＇에가＇주고/앙＇개가 께＇에따/앙＇개가 께＇에 노니까 아무＇도 암보인＇다</t>
  </si>
  <si>
    <t>구루미 마:~이 찌어따 구래/앙:개가 찌어따</t>
  </si>
  <si>
    <t>쩨:쓰니까/앙개가 찌에서/찌어서 암보인다/찌어따/마:니 찌어떠라/쩨:서/찌:서</t>
  </si>
  <si>
    <t>앙개가 쩌서</t>
  </si>
  <si>
    <t>앙:개가 찌에서 암보인다</t>
  </si>
  <si>
    <t>앙개가 께:따구/끼어따</t>
  </si>
  <si>
    <t>마시-(飮)</t>
  </si>
  <si>
    <t>32092-0-1</t>
  </si>
  <si>
    <t>수＇를 마신다</t>
  </si>
  <si>
    <t>마신다 그래구/마시네/물두 마시구</t>
  </si>
  <si>
    <t>마시구 이따/마시고 이따</t>
  </si>
  <si>
    <t>마신다</t>
  </si>
  <si>
    <t>무룰 마시구이따/마신다</t>
  </si>
  <si>
    <t>32092-0-2</t>
  </si>
  <si>
    <t>무루＇ 마세야지요</t>
  </si>
  <si>
    <t>마세야 된다/잘:: 마세라</t>
  </si>
  <si>
    <t>빨리 마셔라</t>
  </si>
  <si>
    <t>무를 마서라</t>
  </si>
  <si>
    <t>마세라그래지요</t>
  </si>
  <si>
    <t>세:-(强)</t>
  </si>
  <si>
    <t>32093-0-1</t>
  </si>
  <si>
    <t>경자＇~이 쎄에＇다</t>
  </si>
  <si>
    <t>담:또 시구/굉장이 시:다구</t>
  </si>
  <si>
    <t>팔씨미 시:다라</t>
  </si>
  <si>
    <t>시:다</t>
  </si>
  <si>
    <t>히미 시:다</t>
  </si>
  <si>
    <t>세:다 그래요/시미 시:더라</t>
  </si>
  <si>
    <t>32093-0-2</t>
  </si>
  <si>
    <t>쎄＇에서</t>
  </si>
  <si>
    <t>시미 셔: {힘이 세}</t>
  </si>
  <si>
    <t>히미 너머 시:서</t>
  </si>
  <si>
    <t>셔:서</t>
  </si>
  <si>
    <t>셰:서</t>
  </si>
  <si>
    <t>시미 셔:그러지/굉자~이 셔:</t>
  </si>
  <si>
    <t>포개-(重疊)</t>
  </si>
  <si>
    <t>32094-0-1</t>
  </si>
  <si>
    <t>포개＇애고 이따/포개＇앤다</t>
  </si>
  <si>
    <t>잘 포개 놔라</t>
  </si>
  <si>
    <t>포기고 이따/포기지 마라</t>
  </si>
  <si>
    <t>포갠다</t>
  </si>
  <si>
    <t>포개지 마라</t>
  </si>
  <si>
    <t>32094-0-2</t>
  </si>
  <si>
    <t>포개＇애라</t>
  </si>
  <si>
    <t>포게선 안된다/포개 노치 마라</t>
  </si>
  <si>
    <t>포개놔라/그냥 포개라/포개논는다</t>
  </si>
  <si>
    <t>포개놔:라</t>
  </si>
  <si>
    <t>포개라/포개따구</t>
  </si>
  <si>
    <t>두드리-(敲)</t>
  </si>
  <si>
    <t>32095-0-1</t>
  </si>
  <si>
    <t>뚜디＇린다/뚜디＇리고</t>
  </si>
  <si>
    <t>등어리 좀 뚜디레라</t>
  </si>
  <si>
    <t>등을 두디린다</t>
  </si>
  <si>
    <t>두두린다</t>
  </si>
  <si>
    <t>뒤딜고/두두리는 암:마/두딘다고/두드린다</t>
  </si>
  <si>
    <t>뚜디리능거지/뛰디리구이따/뛰디린다</t>
  </si>
  <si>
    <t>32095-0-2</t>
  </si>
  <si>
    <t>뚜디＇레라</t>
  </si>
  <si>
    <t>뚜디레 다:고/뚜디레라</t>
  </si>
  <si>
    <t>등을 두디레라/두디리니 시워나다</t>
  </si>
  <si>
    <t>두두려라</t>
  </si>
  <si>
    <t>뒤디러요/마:이 좀 뒤디러 다:와/뒤디러라</t>
  </si>
  <si>
    <t>뛰디레라</t>
  </si>
  <si>
    <t>켜-(點燈)</t>
  </si>
  <si>
    <t>32096-0-1</t>
  </si>
  <si>
    <t>부룰 케자＇/케＇고 이따</t>
  </si>
  <si>
    <t>남폴 케짜너 {남포를 켰잖아}</t>
  </si>
  <si>
    <t>케고 이따</t>
  </si>
  <si>
    <t>등을 켜구 이따</t>
  </si>
  <si>
    <t>키구이따/킨다</t>
  </si>
  <si>
    <t>부를 케구이따</t>
  </si>
  <si>
    <t>32096-0-2</t>
  </si>
  <si>
    <t>부루＇ 케에＇라</t>
  </si>
  <si>
    <t>부리 어둡따 좀 박께 케 놔</t>
  </si>
  <si>
    <t>케:라/케:선 안된다/케야 된다(불을)</t>
  </si>
  <si>
    <t>빨리 부를 켜라</t>
  </si>
  <si>
    <t>정:기르 케:라</t>
  </si>
  <si>
    <t>부를 케야/켜라</t>
  </si>
  <si>
    <t>쐬:-(바람을)</t>
  </si>
  <si>
    <t>32097-0-1</t>
  </si>
  <si>
    <t>쒸＇운다/쒸＇우자</t>
  </si>
  <si>
    <t>바람 좀 쏘이고 오께/쐬:구 드러오라구래던지</t>
  </si>
  <si>
    <t>쐬:고 이따/쐬:지 마라/바람 쐬러 나간다</t>
  </si>
  <si>
    <t>바라믈 쐬구 이따</t>
  </si>
  <si>
    <t>쐰:다/바람 좀 쐰:다(+＇쐰다＇의 ＇ㅆ＇는 경구개음에 가깝게 들림)</t>
  </si>
  <si>
    <t>쐬지마라/쐬구</t>
  </si>
  <si>
    <t>32097-0-2</t>
  </si>
  <si>
    <t>쒸＇와라</t>
  </si>
  <si>
    <t>쐐:라</t>
  </si>
  <si>
    <t>바라믈 쐐:라</t>
  </si>
  <si>
    <t>쏘ㅒ:라</t>
  </si>
  <si>
    <t>쇠-(老)</t>
  </si>
  <si>
    <t>32098-0-1</t>
  </si>
  <si>
    <t>나무＇리 쇠왼＇다</t>
  </si>
  <si>
    <t>전뎌 {견뎌}</t>
  </si>
  <si>
    <t>쉐:구/쇠:고 이따</t>
  </si>
  <si>
    <t>쇵:건 꺽찌마러/쇠지 아는건</t>
  </si>
  <si>
    <t>쇤:다(+＇ㅅ＇은 경구개음에 가깝게 들림)/쇠:먼</t>
  </si>
  <si>
    <t>쇠구</t>
  </si>
  <si>
    <t>32098-0-2</t>
  </si>
  <si>
    <t>쇄애꼬/쇄＇애쓰니</t>
  </si>
  <si>
    <t>쇄:서 몽멍는다/쉐:서/쉐:니까 마시 읍따</t>
  </si>
  <si>
    <t>쇄:따 그래지</t>
  </si>
  <si>
    <t>쇄:서</t>
  </si>
  <si>
    <t>또 쇄:서 몸멍는다</t>
  </si>
  <si>
    <t>쉬:-(䭇, 밥이~)</t>
  </si>
  <si>
    <t>32099-0-1</t>
  </si>
  <si>
    <t>바비＇ 쉬위＇고</t>
  </si>
  <si>
    <t>쉰:다/쉬고 이따</t>
  </si>
  <si>
    <t>슁:거하구/쉬:지</t>
  </si>
  <si>
    <t>쉬:구</t>
  </si>
  <si>
    <t>32099-0-2</t>
  </si>
  <si>
    <t>쉐＇에서 몸머깨따</t>
  </si>
  <si>
    <t>쉬어서 몸 머거 내비리자너</t>
  </si>
  <si>
    <t>쉬:야/쉐:서/쉬:서 시타</t>
  </si>
  <si>
    <t>쉬어서/쉐:서/수ㅕ:서 몸멍는다</t>
  </si>
  <si>
    <t>쉬:에서/쉐:따</t>
  </si>
  <si>
    <t>바비 쉐:서</t>
  </si>
  <si>
    <t>희-(白)</t>
  </si>
  <si>
    <t>32100-0-1</t>
  </si>
  <si>
    <t>살껴＇리 히다＇라</t>
  </si>
  <si>
    <t>히다구래지/히자너/너머 혀:서 누니 부시다</t>
  </si>
  <si>
    <t>히다</t>
  </si>
  <si>
    <t>이 조:~도 히다 {이 종이도 희다}</t>
  </si>
  <si>
    <t>32100-0-2</t>
  </si>
  <si>
    <t>헤에＇서</t>
  </si>
  <si>
    <t>오시 히서 조타</t>
  </si>
  <si>
    <t>혀:서 조타</t>
  </si>
  <si>
    <t>헤:서 누니 부시다고/너무 헤:서</t>
  </si>
  <si>
    <t>혀:서</t>
  </si>
  <si>
    <t>볶-(炒)</t>
  </si>
  <si>
    <t>32101-0-1</t>
  </si>
  <si>
    <t>뽀＇꼬 이따/뽕는＇다/뽀＇끄니까 고소::하＇다</t>
  </si>
  <si>
    <t>복떤지 무치던지/태우장코 보끄먼/기르메 복찌</t>
  </si>
  <si>
    <t>봉는다/보꼬 이따</t>
  </si>
  <si>
    <t>봉넌건/달달 봉넌건</t>
  </si>
  <si>
    <t>뽕는다</t>
  </si>
  <si>
    <t>봉는다그래지요/복찌마라</t>
  </si>
  <si>
    <t>32101-0-2</t>
  </si>
  <si>
    <t>뽀＇까라</t>
  </si>
  <si>
    <t>처가주 보까/태우장코 잘 보껀네</t>
  </si>
  <si>
    <t>보꺼라</t>
  </si>
  <si>
    <t>달달 보까</t>
  </si>
  <si>
    <t>뽀꺼서 멍는다</t>
  </si>
  <si>
    <t>보까라</t>
  </si>
  <si>
    <t>안:-(抱)</t>
  </si>
  <si>
    <t>32102-0-1</t>
  </si>
  <si>
    <t>아안＇는다/아안＇짜</t>
  </si>
  <si>
    <t>끄러앙께찌</t>
  </si>
  <si>
    <t>안:는다/앙:꼬 이따</t>
  </si>
  <si>
    <t>앙:꼬 이따/안:는다</t>
  </si>
  <si>
    <t>푸메 앙:꼬 저즈 미게라</t>
  </si>
  <si>
    <t>안:꾸</t>
  </si>
  <si>
    <t>32102-0-2</t>
  </si>
  <si>
    <t>아＇나라</t>
  </si>
  <si>
    <t>끄러아너</t>
  </si>
  <si>
    <t>아너야 댄다</t>
  </si>
  <si>
    <t>아:너라</t>
  </si>
  <si>
    <t>아너라</t>
  </si>
  <si>
    <t>아나따/아나라</t>
  </si>
  <si>
    <t>묻-(埋)</t>
  </si>
  <si>
    <t>32103-0-1</t>
  </si>
  <si>
    <t>무＇꼬/무＇드니/문는＇다/무＇짜</t>
  </si>
  <si>
    <t>거기다 무찌</t>
  </si>
  <si>
    <t>무:찌 마라/무꼬 이따</t>
  </si>
  <si>
    <t>무꾸 이따/문는다</t>
  </si>
  <si>
    <t>문는다</t>
  </si>
  <si>
    <t>무찌마라/땅에 문는다구</t>
  </si>
  <si>
    <t>32103-0-2</t>
  </si>
  <si>
    <t>무＇더따/무＇더라</t>
  </si>
  <si>
    <t>무더</t>
  </si>
  <si>
    <t>무더야/무드믄 안된다</t>
  </si>
  <si>
    <t>따~에다 파무더라</t>
  </si>
  <si>
    <t>땅에 무더라</t>
  </si>
  <si>
    <t>불:-(吹)</t>
  </si>
  <si>
    <t>32104-0-1</t>
  </si>
  <si>
    <t>부운＇다/부울＇고</t>
  </si>
  <si>
    <t>바라미 마:~이 부는데/마:니 분다/바라미 마:~이 분다/바라미 마니 불먼</t>
  </si>
  <si>
    <t>불:고 이따</t>
  </si>
  <si>
    <t>바라미 불:구 이따</t>
  </si>
  <si>
    <t>분:다</t>
  </si>
  <si>
    <t>분:다/불:구</t>
  </si>
  <si>
    <t>32104-0-2</t>
  </si>
  <si>
    <t>부＇라사</t>
  </si>
  <si>
    <t>부:니/부러서</t>
  </si>
  <si>
    <t>부러라</t>
  </si>
  <si>
    <t>바래미 너머 쌩쌩 부러서</t>
  </si>
  <si>
    <t>부러꾸/바라미 세:게 부러따</t>
  </si>
  <si>
    <t>빨-(洗濯)</t>
  </si>
  <si>
    <t>32105-0-1</t>
  </si>
  <si>
    <t>빤다＇/빨고＇</t>
  </si>
  <si>
    <t>빨지/빠니까/빨거럴 {빨 것을}/빨래 빠넝 거</t>
  </si>
  <si>
    <t>빨고 이따/허예서 조:타/빠르니 허여터라 {빠니 허옇더라}/빨지 마라</t>
  </si>
  <si>
    <t>빤다/빨구 이따</t>
  </si>
  <si>
    <t>빤다</t>
  </si>
  <si>
    <t>빨구/비베서 빤다</t>
  </si>
  <si>
    <t>32105-0-2</t>
  </si>
  <si>
    <t>빠라＇라</t>
  </si>
  <si>
    <t>빠라가주/개우레서 빠라찌 머</t>
  </si>
  <si>
    <t>빠러라/빨문 조타/새까리가 허여타</t>
  </si>
  <si>
    <t>빠러라</t>
  </si>
  <si>
    <t>빨리 빠러라</t>
  </si>
  <si>
    <t>죽-(死)</t>
  </si>
  <si>
    <t>32106-0-1</t>
  </si>
  <si>
    <t>중는＇다/죽＇찌마라</t>
  </si>
  <si>
    <t>죽께 되구/중능 거/죽께따</t>
  </si>
  <si>
    <t>중는다</t>
  </si>
  <si>
    <t>주구머 이르믈 냉기구/중는다/병이 드러 중는다</t>
  </si>
  <si>
    <t>죽꾸/중는다</t>
  </si>
  <si>
    <t>32106-0-2</t>
  </si>
  <si>
    <t>주＇거서는 안된다</t>
  </si>
  <si>
    <t>발브먼 지레~이가 주거 {밟으면 지렁이가 죽어}</t>
  </si>
  <si>
    <t>빨리 주거야 된다</t>
  </si>
  <si>
    <t>주거간다/주거따</t>
  </si>
  <si>
    <t>주거서</t>
  </si>
  <si>
    <t>사라믄 주거서 이르믈 냉기구</t>
  </si>
  <si>
    <t>32107-0-1</t>
  </si>
  <si>
    <t>빨리 건네/건:넌다</t>
  </si>
  <si>
    <t>걸:꼬 이따(+소)/건:는다(+다)/거:찌 마라/발리 거:꼬 이따/부지러~이 걸:른다/건:네/빨리 걸:꾸</t>
  </si>
  <si>
    <t>건:넌다/거:꾸 이따</t>
  </si>
  <si>
    <t>걸:꼬이따/모:껄런다</t>
  </si>
  <si>
    <t>거:찌마라/거:꾸</t>
  </si>
  <si>
    <t>32107-0-2</t>
  </si>
  <si>
    <t>거＇라 가＇고 이따/거＇르믈 거＇라라</t>
  </si>
  <si>
    <t>거러가라</t>
  </si>
  <si>
    <t>거러라/거르문</t>
  </si>
  <si>
    <t>거러간다</t>
  </si>
  <si>
    <t>천처니 거러라</t>
  </si>
  <si>
    <t>거러라/빨리 거러라</t>
  </si>
  <si>
    <t>가물-(旱)</t>
  </si>
  <si>
    <t>32108-0-1</t>
  </si>
  <si>
    <t>가물＇더라/나리＇ 가물＇따(+할머니, 날이 가물겠다.}/나리＇ 가문＇다/가무＇니</t>
  </si>
  <si>
    <t>날씨가 너머 가문다/가무네/가문다구</t>
  </si>
  <si>
    <t>가물고 이따/가문다</t>
  </si>
  <si>
    <t>가문다</t>
  </si>
  <si>
    <t>너무 가문다</t>
  </si>
  <si>
    <t>32108-0-2</t>
  </si>
  <si>
    <t>가물＇이 드러＇따/가무＇러따</t>
  </si>
  <si>
    <t>가무러서 곡써기 다 죽껜네</t>
  </si>
  <si>
    <t>가무러서</t>
  </si>
  <si>
    <t>가무러서/가무러따</t>
  </si>
  <si>
    <t>흉녀니 드러따/나리 가무러서/너무 가무러서</t>
  </si>
  <si>
    <t>가무러서 안 된다</t>
  </si>
  <si>
    <t>졸:-(睡)</t>
  </si>
  <si>
    <t>32109-0-1</t>
  </si>
  <si>
    <t>자분＇다/자부＇고 이따/자부＇는 꼬라＇지 바라</t>
  </si>
  <si>
    <t>그건 조:능 거/자꾸 졸:자너/조:넝 거/졸:먼 비비지/존:다</t>
  </si>
  <si>
    <t>졸:고 이따/졸:지 마라/존:다</t>
  </si>
  <si>
    <t>졸:다 떠러저따</t>
  </si>
  <si>
    <t>자울구이따</t>
  </si>
  <si>
    <t>존:다쏘릴 마:~이 써요/존:다그래요</t>
  </si>
  <si>
    <t>32109-0-2</t>
  </si>
  <si>
    <t>자부＇라서는 아안＇된다/자부＇란는지</t>
  </si>
  <si>
    <t>자꾸 조러/조:러/저놈 왜 이러케 만날 조러</t>
  </si>
  <si>
    <t>조러서는 안된다/졸:문</t>
  </si>
  <si>
    <t>조라따</t>
  </si>
  <si>
    <t>자우러서 모:까따/자우러따</t>
  </si>
  <si>
    <t>조라선 안된다</t>
  </si>
  <si>
    <t>쓸-(掃)</t>
  </si>
  <si>
    <t>32110-0-1</t>
  </si>
  <si>
    <t>씬다＇/씨고＇</t>
  </si>
  <si>
    <t>씨넝 거</t>
  </si>
  <si>
    <t>쓴:다/쓸:고 이따</t>
  </si>
  <si>
    <t>씰구 이따</t>
  </si>
  <si>
    <t>비루 씬다</t>
  </si>
  <si>
    <t>씰구이꾸/마당을 쓸구이따</t>
  </si>
  <si>
    <t>32110-0-2</t>
  </si>
  <si>
    <t>씨라＇라</t>
  </si>
  <si>
    <t>마당 좀 씨러라</t>
  </si>
  <si>
    <t>씨러라/쓰러라</t>
  </si>
  <si>
    <t>마당을 씨러따</t>
  </si>
  <si>
    <t>비로 씨러서</t>
  </si>
  <si>
    <t>쓴:다/씨러라/마당을 씨러라</t>
  </si>
  <si>
    <t>감:-(捲)</t>
  </si>
  <si>
    <t>32111-0-1</t>
  </si>
  <si>
    <t>가암＇짜/가암＇는다/가앙＇꼬 이따</t>
  </si>
  <si>
    <t>척척 감떠라구 {척척 감더라구}/실패에 가무라구</t>
  </si>
  <si>
    <t>감:꼬 이따/감:는다</t>
  </si>
  <si>
    <t>감:넌다/감:꾸 이따</t>
  </si>
  <si>
    <t>감:는다</t>
  </si>
  <si>
    <t>감:는다/감:꾸</t>
  </si>
  <si>
    <t>32111-0-2</t>
  </si>
  <si>
    <t>가＇마라/시이＇르 가＇마라</t>
  </si>
  <si>
    <t>시를 실패에 가머라</t>
  </si>
  <si>
    <t>가머야 된다</t>
  </si>
  <si>
    <t>더듬-(摸)</t>
  </si>
  <si>
    <t>32112-0-1</t>
  </si>
  <si>
    <t>더＇듬는다/더＇듬짜</t>
  </si>
  <si>
    <t>더듬는다/더듬껜네</t>
  </si>
  <si>
    <t>더등꼬 이따</t>
  </si>
  <si>
    <t>더듬는다</t>
  </si>
  <si>
    <t>더듬는다구</t>
  </si>
  <si>
    <t>32112-0-2</t>
  </si>
  <si>
    <t>더＇드마라</t>
  </si>
  <si>
    <t>더드머선 안된다/더드무니까 시러하더라</t>
  </si>
  <si>
    <t>빨리 더드머라</t>
  </si>
  <si>
    <t>더드머라</t>
  </si>
  <si>
    <t>굽:-(炙)</t>
  </si>
  <si>
    <t>32113-0-1</t>
  </si>
  <si>
    <t>고＇기를 꾸웁＇짜/꾸움＇는다</t>
  </si>
  <si>
    <t>구:꾸이따/군:는다구/구우자너 부럴 때서/군:넌다</t>
  </si>
  <si>
    <t>구코 이따/군는다</t>
  </si>
  <si>
    <t>고길 구:꾸 이따/구:니깐 마시따</t>
  </si>
  <si>
    <t>꾼:는다/고기 꾼:느라고</t>
  </si>
  <si>
    <t>고기를 구찌마라/고리를 구:꾸/군:는다</t>
  </si>
  <si>
    <t>32113-0-2</t>
  </si>
  <si>
    <t>꽈＇아라</t>
  </si>
  <si>
    <t>구워머거/구워 먹찌/참낭그를 구워야 수치 되지</t>
  </si>
  <si>
    <t>구워서 멍는다/구:니 마시따</t>
  </si>
  <si>
    <t>구워라</t>
  </si>
  <si>
    <t>꾸어서 머거라/꿔:야 먹찌</t>
  </si>
  <si>
    <t>궈:라</t>
  </si>
  <si>
    <t>무겁-(重)</t>
  </si>
  <si>
    <t>32114-0-1</t>
  </si>
  <si>
    <t>무굽＇따/이＇면 무굽＇따</t>
  </si>
  <si>
    <t>무거워 들 쑤가 업때/꽤 무검네</t>
  </si>
  <si>
    <t>잉:꼬 이따/잉:는다/무겁따</t>
  </si>
  <si>
    <t>쇠는 무굽찌</t>
  </si>
  <si>
    <t>무굽쪼</t>
  </si>
  <si>
    <t>무겁따</t>
  </si>
  <si>
    <t>32114-0-2</t>
  </si>
  <si>
    <t>무과＇아사 실타＇</t>
  </si>
  <si>
    <t>무거워</t>
  </si>
  <si>
    <t>잉어야 된다/무거워/무거워서 모뜰게따/잉어라</t>
  </si>
  <si>
    <t>무구워서</t>
  </si>
  <si>
    <t>쇠꼬시 무구워서/무거서</t>
  </si>
  <si>
    <t>무거워서</t>
  </si>
  <si>
    <t>잇:-(連)</t>
  </si>
  <si>
    <t>32115-0-1</t>
  </si>
  <si>
    <t>이＇꼬 이따/잉는＇다</t>
  </si>
  <si>
    <t>끄너지먼 걸 이:찌</t>
  </si>
  <si>
    <t>인:넌다/이:꾸 이따</t>
  </si>
  <si>
    <t>잉:꾸이따/인:는다</t>
  </si>
  <si>
    <t>이:꾸</t>
  </si>
  <si>
    <t>32115-0-2</t>
  </si>
  <si>
    <t>이＇까라</t>
  </si>
  <si>
    <t>이여/여:/이여서</t>
  </si>
  <si>
    <t>여:라/이:라/이어라</t>
  </si>
  <si>
    <t>이~어라</t>
  </si>
  <si>
    <t>이어라</t>
  </si>
  <si>
    <t>빗-(梳)</t>
  </si>
  <si>
    <t>32116-0-1</t>
  </si>
  <si>
    <t>삔는＇다</t>
  </si>
  <si>
    <t>비스먼 이가 그리 무더 나오지 {빗으면}/빤::빠나게 빈넌다/그거 인제 머리 아이비실 쩌게 {그거 인제 머리 아이빗을 적에}/비네 풀구서 그걸루 아이비꾸서 참비스루 해</t>
  </si>
  <si>
    <t>비꼬 이따/빈는다/잘 빈:는다</t>
  </si>
  <si>
    <t>비꾸 이따/비시먼/빈넌다</t>
  </si>
  <si>
    <t>삐꾸이따</t>
  </si>
  <si>
    <t>비찌마라/빈는다</t>
  </si>
  <si>
    <t>32116-0-2</t>
  </si>
  <si>
    <t>삐＇사라</t>
  </si>
  <si>
    <t>비서 줘</t>
  </si>
  <si>
    <t>비서야 된다/비즈니 이:뿌다/비스니 이:뿌다/비저야 된다</t>
  </si>
  <si>
    <t>빈는다/비서라</t>
  </si>
  <si>
    <t>삐서라</t>
  </si>
  <si>
    <t>비서라</t>
  </si>
  <si>
    <t>까맣-(黑)</t>
  </si>
  <si>
    <t>32117-0-1</t>
  </si>
  <si>
    <t>까마＇타/까마＇코</t>
  </si>
  <si>
    <t>까망 거/까:마니까 뵈기 조타구/머루는 까머케 이꾸 그래요 {머루는 까맣게 익고 그래요}/까머코 이:뿌다 이래지</t>
  </si>
  <si>
    <t>꺼머니까/거머타/꺼머치</t>
  </si>
  <si>
    <t>꺼머타구</t>
  </si>
  <si>
    <t>까머타/껌:따</t>
  </si>
  <si>
    <t>꺼머타</t>
  </si>
  <si>
    <t>32117-0-2</t>
  </si>
  <si>
    <t>까매＇애서 조타</t>
  </si>
  <si>
    <t>까머서 뵈기 조타/까:마서 뵈기 조타</t>
  </si>
  <si>
    <t>거매서 보기 조:타/꺼머서 조:타</t>
  </si>
  <si>
    <t>거머서 조타/까:매서 보기 조타</t>
  </si>
  <si>
    <t>꺼머서 보기실타</t>
  </si>
  <si>
    <t>꺼매서</t>
  </si>
  <si>
    <t>넣-(入)</t>
  </si>
  <si>
    <t>32118-0-1</t>
  </si>
  <si>
    <t>느＇코/는는＇다</t>
  </si>
  <si>
    <t>도게다 는는 거/착착 개서 차곡차곡 느치/세기지름 느:치 {석유기름 넣지}/파뚜 느쿠/모러 넌는다</t>
  </si>
  <si>
    <t>느코 이따/는:는다/너코 이따</t>
  </si>
  <si>
    <t>는는 중이라/누쿠 이따</t>
  </si>
  <si>
    <t>빼다지 는는다</t>
  </si>
  <si>
    <t>느쿠이따</t>
  </si>
  <si>
    <t>32118-0-2</t>
  </si>
  <si>
    <t>너＇어라</t>
  </si>
  <si>
    <t>착착 개: 너:/채곡채공 느:/얘 그거 모두 쏘더 가주 다시 가지러니 느:라</t>
  </si>
  <si>
    <t>느:야된다/이베 너:니까 마시따/너:라/느:라</t>
  </si>
  <si>
    <t>누워따/눠:라</t>
  </si>
  <si>
    <t>너허라/빼다지에 너어라/너:라</t>
  </si>
  <si>
    <t>느어라/늘:대요 {넣을 때요}</t>
  </si>
  <si>
    <t>고:-(煮)</t>
  </si>
  <si>
    <t>32119-0-1</t>
  </si>
  <si>
    <t>꾸＇우니/꾸우＇떠라/여슬＇ 꾸우＇꼬/꾸＇울쑤록 마시＇ 이따/꾸우＇따라/여스＇ 꾸우＇꼬 이따/여슬＇ 꾸운＇는다/여스＇ 꾸운＇는다/여스＇ 꾸우＇따라/여슬＇ 꾸＇우면</t>
  </si>
  <si>
    <t>인제 여꼰다 그래 {인제 엿을 곤다}/엳 꼬능 거</t>
  </si>
  <si>
    <t>여슬 곤는다/여슬 고코 이따</t>
  </si>
  <si>
    <t>잘 곤:다구</t>
  </si>
  <si>
    <t>여꼬코/여꼰는다 {엿을 고다}/꼰:는다고 꼰:는다/여슬 꼴:라고</t>
  </si>
  <si>
    <t>여슬 고고이따/여슬 곤:다그래나</t>
  </si>
  <si>
    <t>32119-0-2</t>
  </si>
  <si>
    <t>꽈＇아라/꽈＇야 된다/여슬＇ 꽈＇아라</t>
  </si>
  <si>
    <t>과:지먼</t>
  </si>
  <si>
    <t>과:야</t>
  </si>
  <si>
    <t>잘 과:라</t>
  </si>
  <si>
    <t>꽈:가주는/가매다가 꽈:</t>
  </si>
  <si>
    <t>잘 고아따/여슬 잘 과:라</t>
  </si>
  <si>
    <t>얹-(載)</t>
  </si>
  <si>
    <t>32120-0-1</t>
  </si>
  <si>
    <t>언지＇고/언진＇다</t>
  </si>
  <si>
    <t>대들뽀 언는데다가/언는다 그래</t>
  </si>
  <si>
    <t>언는다/언찌 마라/엉꼬 이따</t>
  </si>
  <si>
    <t>엉꾸 이따/언지니깐/실궝에다 언지니까/실궝에 언지고 이따</t>
  </si>
  <si>
    <t>언는다/엉꼬이따</t>
  </si>
  <si>
    <t>언꾸이따/언찌마라</t>
  </si>
  <si>
    <t>32120-0-2</t>
  </si>
  <si>
    <t>언제 나＇아라/언제＇에라</t>
  </si>
  <si>
    <t>호:박 까틍 거 마:~이 언저찌/저 실궝에다 언저 놔</t>
  </si>
  <si>
    <t>언저라/언지문 안된다</t>
  </si>
  <si>
    <t>언저라/언저따</t>
  </si>
  <si>
    <t>언저라</t>
  </si>
  <si>
    <t>언저라/섬바네 언지니까</t>
  </si>
  <si>
    <t>32121-0-1</t>
  </si>
  <si>
    <t>귀위＇찬타</t>
  </si>
  <si>
    <t>구찬타구/구차느니까/구창케 왜 이래</t>
  </si>
  <si>
    <t>귀찬타</t>
  </si>
  <si>
    <t>구찬타구래나</t>
  </si>
  <si>
    <t>귀찬타/귀창케 군다</t>
  </si>
  <si>
    <t>32121-0-2</t>
  </si>
  <si>
    <t>귀위＇차내서 귀위＇차내서</t>
  </si>
  <si>
    <t>구차너</t>
  </si>
  <si>
    <t>이:를 귀차너서 모타게따</t>
  </si>
  <si>
    <t>구차나 주께따</t>
  </si>
  <si>
    <t>귀:차나서</t>
  </si>
  <si>
    <t>귀차너서 자바다</t>
  </si>
  <si>
    <t>바르-(剔, 생선 뼈를~)</t>
  </si>
  <si>
    <t>32122-0-1</t>
  </si>
  <si>
    <t>발린＇다/발구＇고 발레＇라</t>
  </si>
  <si>
    <t>발리고 이따/발리문 조타</t>
  </si>
  <si>
    <t>발리구 이따</t>
  </si>
  <si>
    <t>발린다그래조</t>
  </si>
  <si>
    <t>발린다/마꾸/굉자~이 막따구두허구</t>
  </si>
  <si>
    <t>32122-0-2</t>
  </si>
  <si>
    <t>발레＇라/발과＇아야</t>
  </si>
  <si>
    <t>잘 발려 머거라</t>
  </si>
  <si>
    <t>뻬를 발례라/발레준다/발려라</t>
  </si>
  <si>
    <t>발려라/뻬를 잘 발려서</t>
  </si>
  <si>
    <t>뻬르 잘 발레서 줘:라</t>
  </si>
  <si>
    <t>무릴 말거서/생선뻬를 발레라</t>
  </si>
  <si>
    <t>맑-(淸)</t>
  </si>
  <si>
    <t>32123-0-1</t>
  </si>
  <si>
    <t>말＇그니/말＇따/말＇꼬/말따＇라/말른＇다</t>
  </si>
  <si>
    <t>꽤 말게/말그머서두 깨끄태다구/막따/말꾸 깨끄태다 그래/꽤 막따</t>
  </si>
  <si>
    <t>말따(+소)/말꼬/막따(+다)/막찌안타 {맑지 않다}/막따 {맑다}/막떠라</t>
  </si>
  <si>
    <t>막따/말꼬/막따구</t>
  </si>
  <si>
    <t>말따/말꼬</t>
  </si>
  <si>
    <t>32123-0-2</t>
  </si>
  <si>
    <t>말＇가사</t>
  </si>
  <si>
    <t>말가/말거</t>
  </si>
  <si>
    <t>말거서/말그니</t>
  </si>
  <si>
    <t>말거서 조타</t>
  </si>
  <si>
    <t>무리 말거서 조타</t>
  </si>
  <si>
    <t>곪:-(膿)</t>
  </si>
  <si>
    <t>32124-0-1</t>
  </si>
  <si>
    <t>고옴＇는다</t>
  </si>
  <si>
    <t>곰:는다구/인제 곰:느라구 이랜다/곰능구나/노:라케 곰:찌/곰:는다 그래지/던나가주 곰:짜너/골무먼 짜야지 노::라케 골무먼</t>
  </si>
  <si>
    <t>곰:꼬 이따/곰:는다</t>
  </si>
  <si>
    <t>곰:넝거지/골무먼/종지가 곰:넌다</t>
  </si>
  <si>
    <t>종기 곰:는다/점점 곰:찌/곰:는다고</t>
  </si>
  <si>
    <t>32124-0-2</t>
  </si>
  <si>
    <t>골＇마서 실타</t>
  </si>
  <si>
    <t>골머/골머서/골머서 짜야 하게따/곰:는다 그래지/이게 다 골머꾸나</t>
  </si>
  <si>
    <t>골머서</t>
  </si>
  <si>
    <t>골마서 아푸다/골마따</t>
  </si>
  <si>
    <t>골머서 아푸다</t>
  </si>
  <si>
    <t>들 골뭉거 짜믄</t>
  </si>
  <si>
    <t>굵:-(太)</t>
  </si>
  <si>
    <t>32125-0-1</t>
  </si>
  <si>
    <t>구울＇따/구울＇꼬</t>
  </si>
  <si>
    <t>굴:그먼/꽤 굴:게/국:꾸 안되먼 {굵고 안 되면}/구:꾸나</t>
  </si>
  <si>
    <t>국:찌 안타/구:꼬/국:따</t>
  </si>
  <si>
    <t>굴:따구래나 가늘다구래나/굵:따</t>
  </si>
  <si>
    <t>굴:따</t>
  </si>
  <si>
    <t>구:꾸/국:따</t>
  </si>
  <si>
    <t>32125-0-2</t>
  </si>
  <si>
    <t>구울＇가서 조타</t>
  </si>
  <si>
    <t>바:미 굴거서 조:타</t>
  </si>
  <si>
    <t>굴거서</t>
  </si>
  <si>
    <t>굴:거서</t>
  </si>
  <si>
    <t>파리 굴:거서</t>
  </si>
  <si>
    <t>엷:-(薄)</t>
  </si>
  <si>
    <t>32126-0-1</t>
  </si>
  <si>
    <t>야알＇꼬/야알＇따</t>
  </si>
  <si>
    <t>얄붕 거/열:부니까 들리뿌지 {엷으니까 덜 이쁘지}/얄따구</t>
  </si>
  <si>
    <t>얄:떠라/얄따/얄:꾸/얄부니까/얍:찌 안타/이거슨 얄:꼬 저거슨 두껍따/얄:따/으ㅡㄴ:하다/얄브니 조:코</t>
  </si>
  <si>
    <t>얄:따</t>
  </si>
  <si>
    <t>얄따</t>
  </si>
  <si>
    <t>얄:찌여/얄:따</t>
  </si>
  <si>
    <t>32126-0-2</t>
  </si>
  <si>
    <t>얄＇바사 조타</t>
  </si>
  <si>
    <t>꽤 얄베/얄버/열:버</t>
  </si>
  <si>
    <t>얄버서/얄버서 조타/얄:버서/으ㅡ:내서 보기 조타</t>
  </si>
  <si>
    <t>얄버서</t>
  </si>
  <si>
    <t>얄:버서</t>
  </si>
  <si>
    <t>쓿-(舂, 곡식을 절구에다~)</t>
  </si>
  <si>
    <t>32127-0-1</t>
  </si>
  <si>
    <t>시일＇꼬/실른＇다</t>
  </si>
  <si>
    <t>바~아다 씰:른다구/씰:른다구랜다구</t>
  </si>
  <si>
    <t>씰:른다/씰:구이따</t>
  </si>
  <si>
    <t>32127-0-2</t>
  </si>
  <si>
    <t>시＇라라</t>
  </si>
  <si>
    <t>자꾸 씨르먼</t>
  </si>
  <si>
    <t>씨러라</t>
  </si>
  <si>
    <t>잃-(失)</t>
  </si>
  <si>
    <t>32128-0-1</t>
  </si>
  <si>
    <t>일＇치 마알＇자</t>
  </si>
  <si>
    <t>도:늘 일치</t>
  </si>
  <si>
    <t>다 일쿠 와따(+노름판에서 돈을 잃다)</t>
  </si>
  <si>
    <t>일쿠</t>
  </si>
  <si>
    <t>32128-0-2</t>
  </si>
  <si>
    <t>이＇라따/이＇라삐레따</t>
  </si>
  <si>
    <t>이저버려서 모차께다.</t>
  </si>
  <si>
    <t>이러따/이저버려따/이저따</t>
  </si>
  <si>
    <t>이러따(+노름판에서 돈을 잃다)/이저버려따(+물건을 잃다)</t>
  </si>
  <si>
    <t>이러따고</t>
  </si>
  <si>
    <t>이러머거따/이러따</t>
  </si>
  <si>
    <t>핥-(䑛)</t>
  </si>
  <si>
    <t>32129-0-1</t>
  </si>
  <si>
    <t>헐＇꼬/헐른＇다</t>
  </si>
  <si>
    <t>헐런다</t>
  </si>
  <si>
    <t>헐꾸/헐꼬 이따/헐떠라/헐찌 마라/헐트니까/헐른다</t>
  </si>
  <si>
    <t>헐런다/개:가 헐꼬 이따</t>
  </si>
  <si>
    <t>헐른다</t>
  </si>
  <si>
    <t>헐떠라/물겨늘 헐꾸이따/헐른다/헐찌마라</t>
  </si>
  <si>
    <t>32129-0-2</t>
  </si>
  <si>
    <t>헐＇타라</t>
  </si>
  <si>
    <t>헐터 멍는다</t>
  </si>
  <si>
    <t>헐트문/헐터서 멍는다/헐터라/헐터 먹떠라</t>
  </si>
  <si>
    <t>잘 헐터따/헐터라</t>
  </si>
  <si>
    <t>세르 헐터서 간지릅따</t>
  </si>
  <si>
    <t>마:니 헐트니까/헐터따구두허구/마:니 헐터서</t>
  </si>
  <si>
    <t>짧-(短)</t>
  </si>
  <si>
    <t>32130-0-1</t>
  </si>
  <si>
    <t>짜르＇다/짜르＇면/짤＇꼬/짜르＇다라/짤＇따/짜르＇고</t>
  </si>
  <si>
    <t>여르메 짤꾸/짜릉 거/짤따구</t>
  </si>
  <si>
    <t>짤르지/짤르더라/봄도 짤르다/짜르다</t>
  </si>
  <si>
    <t>나는 짤따</t>
  </si>
  <si>
    <t>짜르다/짜르고</t>
  </si>
  <si>
    <t>짤꾸/짤따</t>
  </si>
  <si>
    <t>32130-0-2</t>
  </si>
  <si>
    <t>짤＇라사/짤＇바사/짤＇라사 소＇네</t>
  </si>
  <si>
    <t>짤러전네</t>
  </si>
  <si>
    <t>짤러서 조:타</t>
  </si>
  <si>
    <t>짤버서/짤버 실타</t>
  </si>
  <si>
    <t>짤러서</t>
  </si>
  <si>
    <t>짤버 모씨게따</t>
  </si>
  <si>
    <t>놀라-(驚)</t>
  </si>
  <si>
    <t>32131-0-1</t>
  </si>
  <si>
    <t>아＇아드리 노올＇래따 노올＇랜다/노올＇래고 이따/노올＇래니</t>
  </si>
  <si>
    <t>깜짱 놀랜네/놀:랜다/놀:랜다구</t>
  </si>
  <si>
    <t>놀:랜다/놀:래고 이따</t>
  </si>
  <si>
    <t>깜짝 놀래능거지</t>
  </si>
  <si>
    <t>놀:래지마라/놀:랜다고</t>
  </si>
  <si>
    <t>놀:래선 안된다/놀:래지마라</t>
  </si>
  <si>
    <t>32131-0-2</t>
  </si>
  <si>
    <t>아＇아드리 노올＇래따 노올＇랜다</t>
  </si>
  <si>
    <t>놀:래서</t>
  </si>
  <si>
    <t>놀:래따</t>
  </si>
  <si>
    <t>놀래따</t>
  </si>
  <si>
    <t>놀:래써따/놀:래따</t>
  </si>
  <si>
    <t>자-(宿)</t>
  </si>
  <si>
    <t>32132-0-1</t>
  </si>
  <si>
    <t>자＇문/자＇니까/잠미＇다/자다＇라/구두＇레서 잔다＇/자믈＇ 잔다＇/자＇고 이따</t>
  </si>
  <si>
    <t>잔다구/바루 자구/고다내 잔다구 {고단해 잔다고}</t>
  </si>
  <si>
    <t>잔다/자고 이따</t>
  </si>
  <si>
    <t>비갤 비구 잔다/자믈 잔다</t>
  </si>
  <si>
    <t>자믈 자고 이따</t>
  </si>
  <si>
    <t>자구</t>
  </si>
  <si>
    <t>32132-0-2</t>
  </si>
  <si>
    <t>자씀＇미다/자＇라/자가＇라/자서＇/빨＇리 자＇라</t>
  </si>
  <si>
    <t>자믈 자야 된다</t>
  </si>
  <si>
    <t>잘 자따</t>
  </si>
  <si>
    <t>자따</t>
  </si>
  <si>
    <t>못:하-(不爲)</t>
  </si>
  <si>
    <t>32133-0-1</t>
  </si>
  <si>
    <t>모오＇타고/모탄다＇</t>
  </si>
  <si>
    <t>꽤두 모태네 {꽤도 못하네}</t>
  </si>
  <si>
    <t>모:타고/모:타는 사람도 이꼬/모:타구/모:탄다</t>
  </si>
  <si>
    <t>모:태구/모:탠다</t>
  </si>
  <si>
    <t>모:탄다</t>
  </si>
  <si>
    <t>모:터구/모:턴다그래지</t>
  </si>
  <si>
    <t>32133-0-2</t>
  </si>
  <si>
    <t>모오＇태서</t>
  </si>
  <si>
    <t>공부를 모태서</t>
  </si>
  <si>
    <t>모:태선 안된다</t>
  </si>
  <si>
    <t>길:러서 모:태니까</t>
  </si>
  <si>
    <t>모:태서 너무 모:태 실타</t>
  </si>
  <si>
    <t>모:태</t>
  </si>
  <si>
    <t>모르-(不知)</t>
  </si>
  <si>
    <t>32134-0-1</t>
  </si>
  <si>
    <t>몰래고/모올랜다＇/보＇머 몰래나?/몰래＇니까/모올＇랜다</t>
  </si>
  <si>
    <t>지럴 몰:릉거덩 누구 보고 무러보고 가거라/잘 모른다구/몰:르니까 그 사람 이르믈/몰:르지/모르게따구</t>
  </si>
  <si>
    <t>모:른다/몰:른다/난 모른다/난 그걸 모:르고 이따/모른다(+다)/몰:르구(+소)</t>
  </si>
  <si>
    <t>몰:르는 사람/모루고/몰:르는데</t>
  </si>
  <si>
    <t>모른다</t>
  </si>
  <si>
    <t>모른다/모룬다</t>
  </si>
  <si>
    <t>32134-0-2</t>
  </si>
  <si>
    <t>모올＇래따/모올＇래도 된다</t>
  </si>
  <si>
    <t>몰:라/난 잘 몰:라</t>
  </si>
  <si>
    <t>몰:러도 된다/잘: 몰:러</t>
  </si>
  <si>
    <t>몰:라</t>
  </si>
  <si>
    <t>난 몰:러(+머)/몰:라도 돼따</t>
  </si>
  <si>
    <t>몰:라따가</t>
  </si>
  <si>
    <t>아프-(痛)</t>
  </si>
  <si>
    <t>32135-0-1</t>
  </si>
  <si>
    <t>아푸니까 괴롭따구/아푸다구/누니 아푸다/주머그로 때려 머리가 아푼데</t>
  </si>
  <si>
    <t>아푸다/아푸니까 시타/아푸지</t>
  </si>
  <si>
    <t>아푸지/아풍걸/아푸지 안타</t>
  </si>
  <si>
    <t>아푸다</t>
  </si>
  <si>
    <t>개루꾸 아푸구</t>
  </si>
  <si>
    <t>32135-0-2</t>
  </si>
  <si>
    <t>아＇파사 먼지＇ 갈깨＇</t>
  </si>
  <si>
    <t>다리가 아푸다 다리 좀 주물러 다고/아퍼서</t>
  </si>
  <si>
    <t>아퍼서/아퍼한다</t>
  </si>
  <si>
    <t>아퍼서</t>
  </si>
  <si>
    <t>크-(大)</t>
  </si>
  <si>
    <t>32136-0-1</t>
  </si>
  <si>
    <t>크다＇/크지＇</t>
  </si>
  <si>
    <t>크네/방구두 크게두 뀌네/입싸구가 크다구</t>
  </si>
  <si>
    <t>크고 이따/크니까 조:타/크다</t>
  </si>
  <si>
    <t>크구</t>
  </si>
  <si>
    <t>크다</t>
  </si>
  <si>
    <t>크지요</t>
  </si>
  <si>
    <t>32136-0-2</t>
  </si>
  <si>
    <t>커서＇</t>
  </si>
  <si>
    <t>키두 크예</t>
  </si>
  <si>
    <t>커야</t>
  </si>
  <si>
    <t>키가 커서</t>
  </si>
  <si>
    <t>키가 너무 커도/키가 커서 조:타고</t>
  </si>
  <si>
    <t>꼬-(索, 새끼를 ~)</t>
  </si>
  <si>
    <t>32137-0-1</t>
  </si>
  <si>
    <t>꿈미＇다/꾸고＇ 이따/새끼＇를 꿀쑤＇록 점점 잘 꾸인다/꾸게＇씀미다/꾼다＇(새끼를)/새끼＇르 꾸면＇ 된다/새끼＇르 꾸니＇까</t>
  </si>
  <si>
    <t>새끼 꼰다구/꼬네/꼬넝 거/다시 꼬지/새끼 꼬다가/새끼루 꾸구/고:께 꼬먼</t>
  </si>
  <si>
    <t>꼬치 마라/꼰는다</t>
  </si>
  <si>
    <t>꼬:능거야/꼰:다/새끼를 꼬고 이따</t>
  </si>
  <si>
    <t>새끼 꼬고 이따/꼰다</t>
  </si>
  <si>
    <t>꼰다고/꼬구</t>
  </si>
  <si>
    <t>32137-0-2</t>
  </si>
  <si>
    <t>꽈씀＇미다/꽈야＇ 된다/새끼＇르 꽈서＇/새끼＇르 꽈따＇</t>
  </si>
  <si>
    <t>새끼를 꽈가주구는/새끼를 꽈가주구서</t>
  </si>
  <si>
    <t>꽈:라</t>
  </si>
  <si>
    <t>잘: 꽈:라/꽈라</t>
  </si>
  <si>
    <t>새끼르 잘 꽈:라</t>
  </si>
  <si>
    <t>쑤-(造)</t>
  </si>
  <si>
    <t>32138-0-1</t>
  </si>
  <si>
    <t>쑬쑤＇록/쑤게＇끔미다 만니＇께 쑤게＇씀미다 {쑤겠습니다, 맛있게 쑤겠습니다.}/쑤면＇/쑤고＇ 이따/쑴미＇다/주굴＇ 쑨다＇/주글＇ 쑤니＇까</t>
  </si>
  <si>
    <t>쑨다구/쑤머는/죽 쑤능 거</t>
  </si>
  <si>
    <t>쑤고 이따/쑤지 마라</t>
  </si>
  <si>
    <t>쑨:다/미우믈 쑤구 이따</t>
  </si>
  <si>
    <t>쑤고이따/쒀:라</t>
  </si>
  <si>
    <t>주굴 쑨다/주굴 쑤구</t>
  </si>
  <si>
    <t>32138-0-2</t>
  </si>
  <si>
    <t>쏴사＇ 머그니까 마시＇따라/주글＇ 쏴따＇/쏴야＇ 된다/쏴씀＇미다</t>
  </si>
  <si>
    <t>쒀:/메주를 쒀:서</t>
  </si>
  <si>
    <t>쒀:서 멍는다/쒀:라</t>
  </si>
  <si>
    <t>주글 잘 쒀라/쒀:라</t>
  </si>
  <si>
    <t>주굴 잘 쒀:라</t>
  </si>
  <si>
    <t>맞추-(組合)</t>
  </si>
  <si>
    <t>32139-0-1</t>
  </si>
  <si>
    <t>마춘＇다/마추＇우고</t>
  </si>
  <si>
    <t>잘 마치라구/잘 마친다구래(활로) {잘 맞힌다 그래}</t>
  </si>
  <si>
    <t>마추고 이따/마추지 마라</t>
  </si>
  <si>
    <t>잘 마친다/잘 마치고 이따</t>
  </si>
  <si>
    <t>짜글 마췬다/마취구이따</t>
  </si>
  <si>
    <t>마친다</t>
  </si>
  <si>
    <t>32139-0-2</t>
  </si>
  <si>
    <t>마촤＇아라</t>
  </si>
  <si>
    <t>마체야 하자너(활로) {맞혀야 하잖아}/마처</t>
  </si>
  <si>
    <t>마춰야</t>
  </si>
  <si>
    <t>마춰라/잘 마처라</t>
  </si>
  <si>
    <t>마췌:라</t>
  </si>
  <si>
    <t>잘 마체라</t>
  </si>
  <si>
    <t>32140-0-1</t>
  </si>
  <si>
    <t>데＇운다/데＇우니</t>
  </si>
  <si>
    <t>데운다구</t>
  </si>
  <si>
    <t>데우고 이따</t>
  </si>
  <si>
    <t>데운다</t>
  </si>
  <si>
    <t>뜨쉰다/데운다</t>
  </si>
  <si>
    <t>32140-0-2</t>
  </si>
  <si>
    <t>데＇와라</t>
  </si>
  <si>
    <t>데워/데워얘지</t>
  </si>
  <si>
    <t>데워야</t>
  </si>
  <si>
    <t>데워서 멍넝거/데워 멍넌다</t>
  </si>
  <si>
    <t>뜨쉐라/데워라</t>
  </si>
  <si>
    <t>데워라</t>
  </si>
  <si>
    <t>이:-(盖, 지붕을 ~)</t>
  </si>
  <si>
    <t>32141-0-1</t>
  </si>
  <si>
    <t>지붕 이＇인다/이＇이고 이따</t>
  </si>
  <si>
    <t>응 인:는다구/지붕 인는다</t>
  </si>
  <si>
    <t>이:지 마라/인:다/이:고 이따/이코 이따</t>
  </si>
  <si>
    <t>인:다/이:꾸 이따</t>
  </si>
  <si>
    <t>인:는다/잉:꾸이따</t>
  </si>
  <si>
    <t>빨리 이:꾸/인:는다구</t>
  </si>
  <si>
    <t>32141-0-2</t>
  </si>
  <si>
    <t>지＇부 에＇에따/집 에＇에라/지＇부 에＇에라</t>
  </si>
  <si>
    <t>여얘지</t>
  </si>
  <si>
    <t>지붕을 이어따/이:라/이:야 된다</t>
  </si>
  <si>
    <t>여:라</t>
  </si>
  <si>
    <t>이~어라/잉어라</t>
  </si>
  <si>
    <t>갈기-(打)</t>
  </si>
  <si>
    <t>32142-0-1</t>
  </si>
  <si>
    <t>갈리＇고</t>
  </si>
  <si>
    <t>갈린다구/종아리럴 갈리네/회초리로 갈리넝 거</t>
  </si>
  <si>
    <t>내 갈기고 이따</t>
  </si>
  <si>
    <t>갈리고 이따</t>
  </si>
  <si>
    <t>몽데~이루 갈린다</t>
  </si>
  <si>
    <t>갈린다</t>
  </si>
  <si>
    <t>32142-0-2</t>
  </si>
  <si>
    <t>갈레＇라 내＇애따 갈레＇라</t>
  </si>
  <si>
    <t>갈게야</t>
  </si>
  <si>
    <t>갈려따</t>
  </si>
  <si>
    <t>갈레라</t>
  </si>
  <si>
    <t>기다리-(待)</t>
  </si>
  <si>
    <t>32143-0-1</t>
  </si>
  <si>
    <t>지다＇린다/지다＇리고 게시오./지다＇리시오</t>
  </si>
  <si>
    <t>기달린다구/뽀수 오넝 거 기다린다/오길 기달린다/기다리넝 거</t>
  </si>
  <si>
    <t>기다리고 이따</t>
  </si>
  <si>
    <t>뽀스를 기다린다/기다리구 이따</t>
  </si>
  <si>
    <t>기다린다/기달레라/기달러라</t>
  </si>
  <si>
    <t>누니 빠지게 기달리구</t>
  </si>
  <si>
    <t>32143-0-2</t>
  </si>
  <si>
    <t>지다＇레라</t>
  </si>
  <si>
    <t>기달려/기달려라</t>
  </si>
  <si>
    <t>기다레야</t>
  </si>
  <si>
    <t>기다려따</t>
  </si>
  <si>
    <t>난 누니 빠지게 기달레따</t>
  </si>
  <si>
    <t>세:-(算)</t>
  </si>
  <si>
    <t>32144-0-1</t>
  </si>
  <si>
    <t>세엔＇다/세에＇고</t>
  </si>
  <si>
    <t>시능 거 {세는 거}</t>
  </si>
  <si>
    <t>셴:다/셰:고 이따</t>
  </si>
  <si>
    <t>시:구 이따</t>
  </si>
  <si>
    <t>시:구이따/센:다</t>
  </si>
  <si>
    <t>센:다그래지요/수짤 세:구</t>
  </si>
  <si>
    <t>32144-0-2</t>
  </si>
  <si>
    <t>세＇에라</t>
  </si>
  <si>
    <t>셰:야 된다</t>
  </si>
  <si>
    <t>시어따/빨리 셔:라</t>
  </si>
  <si>
    <t>빨리 수:짜르 세:라</t>
  </si>
  <si>
    <t>잘 셔:라</t>
  </si>
  <si>
    <t>빼-(拔)</t>
  </si>
  <si>
    <t>32145-0-1</t>
  </si>
  <si>
    <t>뺀다＇</t>
  </si>
  <si>
    <t>이 뺀다구/이걸루 모설 빼:구바꾸 이래</t>
  </si>
  <si>
    <t>빼고 이따/빼고이따/뺀다</t>
  </si>
  <si>
    <t>모슬 빼구 이따/뺀다</t>
  </si>
  <si>
    <t>모슬 뺀다</t>
  </si>
  <si>
    <t>빼구이따/뺀다</t>
  </si>
  <si>
    <t>32145-0-2</t>
  </si>
  <si>
    <t>빼애＇라</t>
  </si>
  <si>
    <t>빼야지 갈지</t>
  </si>
  <si>
    <t>빼먼 하나이 된다/빼:야 된다</t>
  </si>
  <si>
    <t>빼:라</t>
  </si>
  <si>
    <t>빨리 빼:라</t>
  </si>
  <si>
    <t>켜-(引, 톱으로 ~)</t>
  </si>
  <si>
    <t>32146-0-1</t>
  </si>
  <si>
    <t>케＇고/켄＇다</t>
  </si>
  <si>
    <t>토부루 케네/켄다</t>
  </si>
  <si>
    <t>켄다/나무를 케고 이따</t>
  </si>
  <si>
    <t>여푸루 켄다/케구 이따</t>
  </si>
  <si>
    <t>키구이따</t>
  </si>
  <si>
    <t>케구이따/켄다구</t>
  </si>
  <si>
    <t>32146-0-2</t>
  </si>
  <si>
    <t>케에＇라</t>
  </si>
  <si>
    <t>빨리 케라</t>
  </si>
  <si>
    <t>케:야</t>
  </si>
  <si>
    <t>나무를 케라/빨리 케라</t>
  </si>
  <si>
    <t>빨리 케:라</t>
  </si>
  <si>
    <t>케:라</t>
  </si>
  <si>
    <t>되:-(硬)</t>
  </si>
  <si>
    <t>32147-0-1</t>
  </si>
  <si>
    <t>되외＇다</t>
  </si>
  <si>
    <t>돼:서 몸 머껜네/바비 되:구나</t>
  </si>
  <si>
    <t>되:데~이 {되더니}/되:다/되:고/너무 되:다</t>
  </si>
  <si>
    <t>되:다구</t>
  </si>
  <si>
    <t>너무 되:다</t>
  </si>
  <si>
    <t>되:다그래지요</t>
  </si>
  <si>
    <t>32147-0-2</t>
  </si>
  <si>
    <t>돼＇애사 머＇끼 힘들다＇</t>
  </si>
  <si>
    <t>이:리 돼:서 바께</t>
  </si>
  <si>
    <t>돼:서</t>
  </si>
  <si>
    <t>돼:서 몸:머께따</t>
  </si>
  <si>
    <t>돼:서 몸머께따</t>
  </si>
  <si>
    <t>쉬:-(休)</t>
  </si>
  <si>
    <t>32148-0-1</t>
  </si>
  <si>
    <t>쉬이＇고/쉬인＇다/쉬윈＇다</t>
  </si>
  <si>
    <t>쉰:다구래지/이료일랄 쉬:구서</t>
  </si>
  <si>
    <t>쉰:다/쉬:고 이따</t>
  </si>
  <si>
    <t>쉰:다구두</t>
  </si>
  <si>
    <t>32148-0-2</t>
  </si>
  <si>
    <t>쉐＇에따/쉐＇에라</t>
  </si>
  <si>
    <t>수ㅕ:라/좀 수ㅕ:라 이래지/수ㅕ:간다구</t>
  </si>
  <si>
    <t>쉬:야 된다/쉐:두</t>
  </si>
  <si>
    <t>수ㅕ:간다/수ㅕ:라</t>
  </si>
  <si>
    <t>푹 쉐:라</t>
  </si>
  <si>
    <t>쉬어라 쉐:라</t>
  </si>
  <si>
    <t>할퀴-(搔)</t>
  </si>
  <si>
    <t>32149-0-1</t>
  </si>
  <si>
    <t>회＇비고/회＇비다라/회빈다</t>
  </si>
  <si>
    <t>할쿠ㅕ:서 아푸다/고냥이가 얼구를 헝켠네/할퀸다/고내~이가 이러케 항킹 거는 항킨 거지</t>
  </si>
  <si>
    <t>회빈다/후빈다/후비고 이따/회비고 이따</t>
  </si>
  <si>
    <t>앙쿤다구래지/항쿤다</t>
  </si>
  <si>
    <t>휘빈다</t>
  </si>
  <si>
    <t>호빈다구</t>
  </si>
  <si>
    <t>32149-0-2</t>
  </si>
  <si>
    <t>회＇베따</t>
  </si>
  <si>
    <t>헝켜따 {할퀴었다}</t>
  </si>
  <si>
    <t>회베/회베선</t>
  </si>
  <si>
    <t>앙쿼서 아푸다</t>
  </si>
  <si>
    <t>내 얼구리르 회베따/회베서 아푸다</t>
  </si>
  <si>
    <t>호베서 아푸다</t>
  </si>
  <si>
    <t>눋:-(燋)</t>
  </si>
  <si>
    <t>32150-0-1</t>
  </si>
  <si>
    <t>누울＇른다/누울＇꼬 이따</t>
  </si>
  <si>
    <t>징 거는 눋따 이래구/눈:넌다구래지</t>
  </si>
  <si>
    <t>눌:떠라/눌코 이따/누르니/눌:꼬/눌꼬 이따/눌:른다/생길 파니니 눌:찌</t>
  </si>
  <si>
    <t>눌:쿠</t>
  </si>
  <si>
    <t>바비 눌:꾸</t>
  </si>
  <si>
    <t>눌:찌 아나따/눌:구/눌:쿠</t>
  </si>
  <si>
    <t>32150-0-2</t>
  </si>
  <si>
    <t>누＇라따</t>
  </si>
  <si>
    <t>바비 마:~이 누런네/누러따구</t>
  </si>
  <si>
    <t>누러선 안된다/누러따/누러서</t>
  </si>
  <si>
    <t>누러/바비 누러따</t>
  </si>
  <si>
    <t>바비 누러따</t>
  </si>
  <si>
    <t>누러서/누러따</t>
  </si>
  <si>
    <t>깨닫-(覺)</t>
  </si>
  <si>
    <t>32151-0-1</t>
  </si>
  <si>
    <t>깨달＇꼬/깨다＇르니</t>
  </si>
  <si>
    <t>깨달른다</t>
  </si>
  <si>
    <t>깨다르고 이따/깨다르니 조:타</t>
  </si>
  <si>
    <t>깨달따</t>
  </si>
  <si>
    <t>깨달꼬</t>
  </si>
  <si>
    <t>깨달쿠</t>
  </si>
  <si>
    <t>32151-0-2</t>
  </si>
  <si>
    <t>깨다＇라따/깨다＇라싸 {깨달았어}</t>
  </si>
  <si>
    <t>이제 깨다런네</t>
  </si>
  <si>
    <t>깨다러서 조:타/깨다러따</t>
  </si>
  <si>
    <t>깨다러따/깨다라따</t>
  </si>
  <si>
    <t>나는 깨다러따</t>
  </si>
  <si>
    <t>깨:다라따</t>
  </si>
  <si>
    <t>마렵-(오줌이 ~)</t>
  </si>
  <si>
    <t>32152-0-1</t>
  </si>
  <si>
    <t>매＇룹따</t>
  </si>
  <si>
    <t>매러웅 거를 차머떠니/매루니까 눠야지</t>
  </si>
  <si>
    <t>매룹따</t>
  </si>
  <si>
    <t>매릅따</t>
  </si>
  <si>
    <t>오주미 너무 매룹따</t>
  </si>
  <si>
    <t>32152-0-2</t>
  </si>
  <si>
    <t>매＇롸사</t>
  </si>
  <si>
    <t>매러워서 너머 싸겐네</t>
  </si>
  <si>
    <t>매루워서</t>
  </si>
  <si>
    <t>오주미 매루워서</t>
  </si>
  <si>
    <t>부끄럽-(恥)</t>
  </si>
  <si>
    <t>32153-0-1</t>
  </si>
  <si>
    <t>부꾸＇룹따 부꾸＇루와</t>
  </si>
  <si>
    <t>츰 봐:씨까 부꾸럽짜너</t>
  </si>
  <si>
    <t>비끄럽따</t>
  </si>
  <si>
    <t>부꾸룹따</t>
  </si>
  <si>
    <t>남보기 부꾸럽따</t>
  </si>
  <si>
    <t>32153-0-2</t>
  </si>
  <si>
    <t>부끄러멀 마:~이</t>
  </si>
  <si>
    <t>비끄러워</t>
  </si>
  <si>
    <t>부꾸루워서</t>
  </si>
  <si>
    <t>부꾸러워서 얼구리를 모뜰게따</t>
  </si>
  <si>
    <t>가깝-(近)</t>
  </si>
  <si>
    <t>32154-0-1</t>
  </si>
  <si>
    <t>가차＇께 사안＇다/이＇우지 개깝＇따</t>
  </si>
  <si>
    <t>지비 가껍따구/가꺼웅 거/가꺼우니까</t>
  </si>
  <si>
    <t>가껍따</t>
  </si>
  <si>
    <t>멀:지 앙코 가껍따</t>
  </si>
  <si>
    <t>가깝따</t>
  </si>
  <si>
    <t>가깝찌요</t>
  </si>
  <si>
    <t>32154-0-2</t>
  </si>
  <si>
    <t>우리집하고는 무청＇ 가차＇와요.</t>
  </si>
  <si>
    <t>충주가 가까워/가까워서</t>
  </si>
  <si>
    <t>가꺼워 조:타</t>
  </si>
  <si>
    <t>가꺼워서</t>
  </si>
  <si>
    <t>가꺼워 잘 보인다</t>
  </si>
  <si>
    <t>가까워서/가까우니까</t>
  </si>
  <si>
    <t>깊-(深)</t>
  </si>
  <si>
    <t>32155-0-1</t>
  </si>
  <si>
    <t>지푸＇다/기푸고 접쎄기는/무리＇ 지푸＇더라/무리＇ 지푸＇니까</t>
  </si>
  <si>
    <t>지품 어려꾸 그래 {깊으면 어렵고 그래}/우리지번 가꺼워 {우리집은 가까워}/지풍 거 {깊은 거}/집꾸 이렁 거 {깊고 이런 거}</t>
  </si>
  <si>
    <t>집따</t>
  </si>
  <si>
    <t>깁따/기꾸</t>
  </si>
  <si>
    <t>32155-0-2</t>
  </si>
  <si>
    <t>지＇파사/지＇파서 모껀＇네게따</t>
  </si>
  <si>
    <t>지퍼서 어려께따 건너가기가 이래지 {깊어서 어렵겠다 건너가기가 이러지}</t>
  </si>
  <si>
    <t>지퍼서</t>
  </si>
  <si>
    <t>기퍼서</t>
  </si>
  <si>
    <t>긋:-(劃)</t>
  </si>
  <si>
    <t>32156-0-1</t>
  </si>
  <si>
    <t>그무＇ 그으＇꼬 이따/그무＇ 그은＇는다</t>
  </si>
  <si>
    <t>그코 이따/그치 마라</t>
  </si>
  <si>
    <t>근:는다/그믈 그꾸 이따</t>
  </si>
  <si>
    <t>근:는다</t>
  </si>
  <si>
    <t>그찌마라/그믈 그꾸이따</t>
  </si>
  <si>
    <t>32156-0-2</t>
  </si>
  <si>
    <t>그믈＇ 거＇어라</t>
  </si>
  <si>
    <t>그어</t>
  </si>
  <si>
    <t>거:야/그:라</t>
  </si>
  <si>
    <t>거:라</t>
  </si>
  <si>
    <t>그어라</t>
  </si>
  <si>
    <t>씻-(洗)</t>
  </si>
  <si>
    <t>32157-0-1</t>
  </si>
  <si>
    <t>씨＇꼬 이따/씽는＇다 마제 씽는＇다/씬는＇다</t>
  </si>
  <si>
    <t>얼굴 씨:라 그래지/얼굴 씬넌다구</t>
  </si>
  <si>
    <t>씬는다/어구를 씨코 이따/얼구를 씨코 이따</t>
  </si>
  <si>
    <t>바를 씨쿠 이따</t>
  </si>
  <si>
    <t>씬는다</t>
  </si>
  <si>
    <t>씬능걸 모교기라하고/씨치마라/씨쿠/씬는다</t>
  </si>
  <si>
    <t>32157-0-2</t>
  </si>
  <si>
    <t>씨＇사라/씨＇까라/앙 그＇래머 니 나＇트 좀 씨까라 이래＇거든뇨</t>
  </si>
  <si>
    <t>씨어야 한다/무레 씨어야 해 느:집까서 {물에 씻어야 해 너희집 가서}/껀저서 씨어가주 마라 머거야지 {건져서 씻어서 말아 먹어야지}/얼굴 쎼:야지/낟 씨어라/씨에 치우던지 그래라 {씻어 치우든지 그래라}</t>
  </si>
  <si>
    <t>씨:니까 조타/씨:야 된다/나틀 쎼:라/아:무리 씨:도/얼구를 씨:라</t>
  </si>
  <si>
    <t>쎠:라/씨어라</t>
  </si>
  <si>
    <t>빨리 소늘 쎄:라</t>
  </si>
  <si>
    <t>소늘 빨리 씨어라</t>
  </si>
  <si>
    <t>찧-(搗)</t>
  </si>
  <si>
    <t>32158-0-1</t>
  </si>
  <si>
    <t>찐는＇다/찌＇코/찌터＇라/바＇~아 찌차안＇쏘?/찌＇이니/바＇~아 찌쏘.</t>
  </si>
  <si>
    <t>버리방아 찐는다/방아 찐는다구</t>
  </si>
  <si>
    <t>찐는다/찌코 이따/찌터라/가루를 찌코 이따/찌:니 조타</t>
  </si>
  <si>
    <t>찌쿠 이따/방애를 찐다</t>
  </si>
  <si>
    <t>찐는다 {찧는다}/찌쿠(+머)/바~아를 찐는다</t>
  </si>
  <si>
    <t>기낭은 찌쿠/찐는다</t>
  </si>
  <si>
    <t>32158-0-2</t>
  </si>
  <si>
    <t>바＇~아 쫌 쩨＇: 주:오?/쩨＇에사/쩨＇에라/우린 바＇~아 쩨:요.</t>
  </si>
  <si>
    <t>찌어야 하구/버리두 방아에다 찌어 머꾸/방아 얼른 쩨얘지</t>
  </si>
  <si>
    <t>찌:선 안된다/찌:야 된다/찌에서 조:타/바~아를 쩨:다/찌어선 안된다</t>
  </si>
  <si>
    <t>쩌:라/찌어라</t>
  </si>
  <si>
    <t>바~아를 빨리 쩨:라</t>
  </si>
  <si>
    <t>찌어라</t>
  </si>
  <si>
    <t>갉-(搔)</t>
  </si>
  <si>
    <t>32159-0-1</t>
  </si>
  <si>
    <t>갈른＇단데/갈른＇다/깔른＇다/가알＇찌 마라</t>
  </si>
  <si>
    <t>각:꾸 인넝 거/강는다 그래지</t>
  </si>
  <si>
    <t>갈:꼬 이따</t>
  </si>
  <si>
    <t>가꾸 이따/찐능거/찌치앙쿠</t>
  </si>
  <si>
    <t>갈:꼬</t>
  </si>
  <si>
    <t>가꾸/쥐가 나무를 강는다</t>
  </si>
  <si>
    <t>32159-0-2</t>
  </si>
  <si>
    <t>깔＇가서는 안된다</t>
  </si>
  <si>
    <t>쥐가 갈거 머건네/갈거 멍는다</t>
  </si>
  <si>
    <t>갈거 멍는다</t>
  </si>
  <si>
    <t>찌어서/갈거멍는다</t>
  </si>
  <si>
    <t>깔가 멍는다/갈거</t>
  </si>
  <si>
    <t>갈가서</t>
  </si>
  <si>
    <t>굶:-(飢)</t>
  </si>
  <si>
    <t>32160-0-1</t>
  </si>
  <si>
    <t>구움＇꼬 이따/구움＇따라/구움＇는다 굴＇마/굴＇무먼 배가＇ 고풀＇ 쑤배께 업＇찌요/구울＇문다</t>
  </si>
  <si>
    <t>굼:꾸 이따구/굼:능가 버</t>
  </si>
  <si>
    <t>굼:찌 마라/굼:떠라/궁:꼬 이따</t>
  </si>
  <si>
    <t>굼:꾸 이따</t>
  </si>
  <si>
    <t>굼:는다</t>
  </si>
  <si>
    <t>굼:꾸</t>
  </si>
  <si>
    <t>32160-0-2</t>
  </si>
  <si>
    <t>구움＇는다 굴＇마/굴＇마따 함미＇다</t>
  </si>
  <si>
    <t>너머 굴머서/굴머꾸나</t>
  </si>
  <si>
    <t>굴무문 배 고푸다/굴머따/굴머서/굴머선</t>
  </si>
  <si>
    <t>굴머따</t>
  </si>
  <si>
    <t>굴머따/쫄쫄 굴머서</t>
  </si>
  <si>
    <t>닮:-(似)</t>
  </si>
  <si>
    <t>32161-0-1</t>
  </si>
  <si>
    <t>다암＇꼬 이따/달＇무니 보기 조오＇타라/다암＇는다</t>
  </si>
  <si>
    <t>담:장쿠 {닮지 않고}</t>
  </si>
  <si>
    <t>담:꼬 이따</t>
  </si>
  <si>
    <t>저사람두 당:꾸</t>
  </si>
  <si>
    <t>당:꼬</t>
  </si>
  <si>
    <t>당:꾸</t>
  </si>
  <si>
    <t>32161-0-2</t>
  </si>
  <si>
    <t>달＇마따</t>
  </si>
  <si>
    <t>달머따구/달머따구 {닮았다구}/달머서</t>
  </si>
  <si>
    <t>달머따</t>
  </si>
  <si>
    <t>싫-(厭)</t>
  </si>
  <si>
    <t>32162-0-1</t>
  </si>
  <si>
    <t>실타＇/실코＇</t>
  </si>
  <si>
    <t>실타/가기 실타구 {가기 싫다고}</t>
  </si>
  <si>
    <t>실타/실쿠/저 사람두 실터라/시타/실쏘</t>
  </si>
  <si>
    <t>그래서 실타/뵈기실타</t>
  </si>
  <si>
    <t>실타</t>
  </si>
  <si>
    <t>32162-0-2</t>
  </si>
  <si>
    <t>시라＇/난 그＇사라미 시라＇/시르＇니까/시라＇사/쾨르＇ 기린＇다</t>
  </si>
  <si>
    <t>시러 {싫어}/난: 재 지꾸저서 시러 {난 저 아이 짖궂어서 싫어}</t>
  </si>
  <si>
    <t>시러서 실타/시러서 {싫어서}</t>
  </si>
  <si>
    <t>시러/시러서</t>
  </si>
  <si>
    <t>시러서 암멍는다</t>
  </si>
  <si>
    <t>시러서</t>
  </si>
  <si>
    <t>32163-0-1</t>
  </si>
  <si>
    <t>곤다＇/골고＇ 이따</t>
  </si>
  <si>
    <t>골:치</t>
  </si>
  <si>
    <t>골:코 이따</t>
  </si>
  <si>
    <t>곤는다/골코 이따</t>
  </si>
  <si>
    <t>곤다</t>
  </si>
  <si>
    <t>골쿠</t>
  </si>
  <si>
    <t>32163-0-2</t>
  </si>
  <si>
    <t>고라＇따/고라＇쓰니 모옴 멍는다/고랃＇따/곤 달＇갈이다</t>
  </si>
  <si>
    <t>고러서 몸 멍는다구</t>
  </si>
  <si>
    <t>고러서</t>
  </si>
  <si>
    <t>고라</t>
  </si>
  <si>
    <t>고라따/고라서</t>
  </si>
  <si>
    <t>붓:-(注)</t>
  </si>
  <si>
    <t>32164-0-1</t>
  </si>
  <si>
    <t>부우니/부우＇떠라/부우＇꼬 이따/부운＇는다</t>
  </si>
  <si>
    <t>분:능 거/자네다 술 분능 거/돼: 가주구서 자루에다 부:먼 항 가마</t>
  </si>
  <si>
    <t>분:는다/부코 이따</t>
  </si>
  <si>
    <t>무를 분:는다/부꾸 이따</t>
  </si>
  <si>
    <t>무를 분:는다</t>
  </si>
  <si>
    <t>분:는다</t>
  </si>
  <si>
    <t>32164-0-2</t>
  </si>
  <si>
    <t>버＇어라/버＇어따</t>
  </si>
  <si>
    <t>부워도 되고</t>
  </si>
  <si>
    <t>붜:라/붜:야</t>
  </si>
  <si>
    <t>붜:라</t>
  </si>
  <si>
    <t>버:라/붜:라</t>
  </si>
  <si>
    <t>붜:라 붜:라그래요/부어따</t>
  </si>
  <si>
    <t>타-(乘)</t>
  </si>
  <si>
    <t>32165-0-1</t>
  </si>
  <si>
    <t>타고 이따/타다＇라/뻐＇스를 탄다＇/타고＇/타:니＇</t>
  </si>
  <si>
    <t>타넝 거/인제 타구 가야지 오먼/뽀쓰 얼른 타구 가/올러탄다</t>
  </si>
  <si>
    <t>타고 이따/탄다</t>
  </si>
  <si>
    <t>탄다/타고 이따/타러 간다</t>
  </si>
  <si>
    <t>탄다</t>
  </si>
  <si>
    <t>뻐스 타고 와라</t>
  </si>
  <si>
    <t>32165-0-2</t>
  </si>
  <si>
    <t>빨＇리 타라＇/타따＇/빨＇리 타아＇라</t>
  </si>
  <si>
    <t>타:/타라 그래구</t>
  </si>
  <si>
    <t>타라</t>
  </si>
  <si>
    <t>뻐스를 타라</t>
  </si>
  <si>
    <t>뻐스 타라</t>
  </si>
  <si>
    <t>마르-(乾)</t>
  </si>
  <si>
    <t>32166-0-1</t>
  </si>
  <si>
    <t>마르＇니/마르＇다라/마르＇고 이따/마른＇다</t>
  </si>
  <si>
    <t>빨래두 마르구/푸런 마른 풀 준다 이래지/말릉 거 그냥</t>
  </si>
  <si>
    <t>마르고 이따/마른다/말르고 이따</t>
  </si>
  <si>
    <t>마른다/바짱 말른다/말르능건 말르지</t>
  </si>
  <si>
    <t>마르고</t>
  </si>
  <si>
    <t>마른다</t>
  </si>
  <si>
    <t>32166-0-2</t>
  </si>
  <si>
    <t>고추가 바짱 말런네</t>
  </si>
  <si>
    <t>말러서 조:타</t>
  </si>
  <si>
    <t>말러따</t>
  </si>
  <si>
    <t>말라서</t>
  </si>
  <si>
    <t>쓰-(苦)</t>
  </si>
  <si>
    <t>32167-0-1</t>
  </si>
  <si>
    <t>씨구＇꼬/씨구＇우니/씨굽＇따/씨굽＇따라</t>
  </si>
  <si>
    <t>씨지</t>
  </si>
  <si>
    <t>씨겁찌/씨겁따</t>
  </si>
  <si>
    <t>씨고/씨구워/씨다</t>
  </si>
  <si>
    <t>으ㅡㄹ:마슨 씨겁따</t>
  </si>
  <si>
    <t>쓰다구두/쓰지요</t>
  </si>
  <si>
    <t>32167-0-2</t>
  </si>
  <si>
    <t>씨과＇아사</t>
  </si>
  <si>
    <t>부거 말릉 게/너머 써서 몸 머껜네</t>
  </si>
  <si>
    <t>씨거워 시치</t>
  </si>
  <si>
    <t>써서/써서 몸멍는다</t>
  </si>
  <si>
    <t>씨구워서</t>
  </si>
  <si>
    <t>씨굽따구/씨구워요/써서</t>
  </si>
  <si>
    <t>슬프-(哀)</t>
  </si>
  <si>
    <t>32168-0-1</t>
  </si>
  <si>
    <t>실푸＇고/실푸＇다/실푸니/실푸＇니까/슬푼＇</t>
  </si>
  <si>
    <t>슬푸다/슬풍 건</t>
  </si>
  <si>
    <t>슬푸다</t>
  </si>
  <si>
    <t>슬푸다구</t>
  </si>
  <si>
    <t>32168-0-2</t>
  </si>
  <si>
    <t>실＇파사 눔무＇리 나다라</t>
  </si>
  <si>
    <t>슬퍼서 눔무리 난다</t>
  </si>
  <si>
    <t>슬퍼서 눔무리 나따</t>
  </si>
  <si>
    <t>슬퍼서</t>
  </si>
  <si>
    <t>기쁘-(喜)</t>
  </si>
  <si>
    <t>32169-0-1</t>
  </si>
  <si>
    <t>기뿌＇고 이따/기뿌＇니</t>
  </si>
  <si>
    <t>기쁘다구/기뿌다구두 해구</t>
  </si>
  <si>
    <t>기뿌다</t>
  </si>
  <si>
    <t>굉자~이 기뿌다</t>
  </si>
  <si>
    <t>기뿌다구</t>
  </si>
  <si>
    <t>32169-0-2</t>
  </si>
  <si>
    <t>기＇빠서</t>
  </si>
  <si>
    <t>기뻐서 조:타</t>
  </si>
  <si>
    <t>마:미 기뻐서</t>
  </si>
  <si>
    <t>너무 기뻐서</t>
  </si>
  <si>
    <t>기뻐서</t>
  </si>
  <si>
    <t>32170-0-1</t>
  </si>
  <si>
    <t>쑤고 이따/쏘다＇라/사＇라믈 쑨다＇/쏘면＇ 아푸다/버어＇리 쑨다＇/쏘니＇까 아푸다</t>
  </si>
  <si>
    <t>쏜다/브어리 쏘더니 부원네</t>
  </si>
  <si>
    <t>쏘코 이따</t>
  </si>
  <si>
    <t>쏜다/쏘고 이따</t>
  </si>
  <si>
    <t>쏜:다그래요</t>
  </si>
  <si>
    <t>32170-0-2</t>
  </si>
  <si>
    <t>버어＇리가 쏴사＇ 아푸다/버어＇리가 쏴도＇ 아나푸＇다/쏴따＇</t>
  </si>
  <si>
    <t>버:리 쏴:짜너/에이 부어리 쏴서 부원네 {에이 벌이 쏴서 부었네}</t>
  </si>
  <si>
    <t>쏘:니 아푸다/쏴:따</t>
  </si>
  <si>
    <t>쏴:서 아푸다</t>
  </si>
  <si>
    <t>붜:리 쏴:따</t>
  </si>
  <si>
    <t>주-(與)</t>
  </si>
  <si>
    <t>32171-0-1</t>
  </si>
  <si>
    <t>서언＇무르 주＇~이까/서언＇물 주다＇라/서언＇무르 주＇무 조오＇타/주＇고/주게＇씀미다/주＇고 이따/줄＇쑤루/준다＇</t>
  </si>
  <si>
    <t>주넝 거/당모이 준다 그래 {닭모이 준다 그래}/주먼 걸 행낭사리라 그래 {주면 그걸 행랑살이라 그래}/모이 준다구</t>
  </si>
  <si>
    <t>주고 이따/주니까 기부니 조타</t>
  </si>
  <si>
    <t>주고/준다</t>
  </si>
  <si>
    <t>주고</t>
  </si>
  <si>
    <t>선:무를 준다/선:무를 주구</t>
  </si>
  <si>
    <t>32171-0-2</t>
  </si>
  <si>
    <t>주＇니 좌도＇/선＇무르 좌도＇ 조오＇타/선＇무르 좌씀＇미다/선＇무르 좌라＇/선＇무르 좌따＇/좌아라＇</t>
  </si>
  <si>
    <t>줘야겐네</t>
  </si>
  <si>
    <t>줘:따/줘야</t>
  </si>
  <si>
    <t>주어따/섬무를 주니깐</t>
  </si>
  <si>
    <t>줘:따</t>
  </si>
  <si>
    <t>줘:라</t>
  </si>
  <si>
    <t>키우-(育)</t>
  </si>
  <si>
    <t>32172-0-1</t>
  </si>
  <si>
    <t>기른＇다가 아~이고 키＇운다/키＇우고 이따/키＇우다라</t>
  </si>
  <si>
    <t>키우고 이따</t>
  </si>
  <si>
    <t>키우자/키우먼/애를 키우니까</t>
  </si>
  <si>
    <t>잘 키우고</t>
  </si>
  <si>
    <t>소를 키운다</t>
  </si>
  <si>
    <t>32172-0-2</t>
  </si>
  <si>
    <t>키＇와라</t>
  </si>
  <si>
    <t>키워야</t>
  </si>
  <si>
    <t>줘따/키워</t>
  </si>
  <si>
    <t>키워서 잠:머거라. {키워서 잡아먹어라.}</t>
  </si>
  <si>
    <t>소를 키워라</t>
  </si>
  <si>
    <t>가두-(囚)</t>
  </si>
  <si>
    <t>32173-0-1</t>
  </si>
  <si>
    <t>가둔는＇다/가두＇운다/가두＇우고 이＇따/가둔＇는다 얘기는 죄외＇르 저쓰＇~이 그건/가두＇우고 이따/가두＇우니/가두＇꼬 이따/가두＇우더라</t>
  </si>
  <si>
    <t>가두느라구/가둔다/가두능 거/잘 키운다구</t>
  </si>
  <si>
    <t>가두고 이따</t>
  </si>
  <si>
    <t>가두구 이따</t>
  </si>
  <si>
    <t>모러 가뒤구 이따/모러 가뒨다. {몰아 가둔다}</t>
  </si>
  <si>
    <t>가뒤구</t>
  </si>
  <si>
    <t>32173-0-2</t>
  </si>
  <si>
    <t>니＇는 가돠＇야 돼/가돠＇아라/가돠＇아따/달＇글 우＇리에 가돠＇라</t>
  </si>
  <si>
    <t>잘 키워야게써/가둬따 또 내노쿠</t>
  </si>
  <si>
    <t>가둬찌/가둬야</t>
  </si>
  <si>
    <t>가둬라</t>
  </si>
  <si>
    <t>모러 너: 가뒈라</t>
  </si>
  <si>
    <t>가뒈라</t>
  </si>
  <si>
    <t>부수-(碎)</t>
  </si>
  <si>
    <t>가두능 거지 머</t>
  </si>
  <si>
    <t>32174-0-1</t>
  </si>
  <si>
    <t>뿌꾸댄＇다/뿌꾸대＇애니/뿌꾸대＇애고 이따/빠까대＇앤다/뿌세＇엔다</t>
  </si>
  <si>
    <t>물거늘 막 때려 부시능 거/부신다</t>
  </si>
  <si>
    <t>부신다/부시고 이따/부수고 이따</t>
  </si>
  <si>
    <t>부신다/지블 부시구 이따</t>
  </si>
  <si>
    <t>부신다/뿌신다</t>
  </si>
  <si>
    <t>지블 부신다구</t>
  </si>
  <si>
    <t>32174-0-2</t>
  </si>
  <si>
    <t>뿌꾸대＇애서/뿌꾸대＇애따/뿌꾸대＇애다라</t>
  </si>
  <si>
    <t>때려 부세야 한다구</t>
  </si>
  <si>
    <t>부세야</t>
  </si>
  <si>
    <t>부셔라</t>
  </si>
  <si>
    <t>뿌셰내:라</t>
  </si>
  <si>
    <t>부세라</t>
  </si>
  <si>
    <t>나누-(分)</t>
  </si>
  <si>
    <t>으ㅡㄹ:때/으ㅡㄹ:쒜</t>
  </si>
  <si>
    <t>32175-0-1</t>
  </si>
  <si>
    <t>농구＇고/농구＇니/농구＇우다라/농군＇다</t>
  </si>
  <si>
    <t>논:는다구</t>
  </si>
  <si>
    <t>노누고 이따/농구고 이따/농:꼬 이따/농구지 마라/농군다</t>
  </si>
  <si>
    <t>나눈다</t>
  </si>
  <si>
    <t>나누고</t>
  </si>
  <si>
    <t>32175-0-2</t>
  </si>
  <si>
    <t>농과＇라/농과＇따/농가＇ 좌라＇</t>
  </si>
  <si>
    <t>노눠/노나 먹짜/노너 멍는다</t>
  </si>
  <si>
    <t>노눠준다/농궈야 된다</t>
  </si>
  <si>
    <t>노나준다/나눠준다/노나주고 이따</t>
  </si>
  <si>
    <t>나눠줘:라</t>
  </si>
  <si>
    <t>쪼가서 농가머거라</t>
  </si>
  <si>
    <t>속이-(欺)</t>
  </si>
  <si>
    <t>32176-0-1</t>
  </si>
  <si>
    <t>쐬＇기구 댕기구 마리야/쐬＇기다라/쐬＇긴다</t>
  </si>
  <si>
    <t>쐬긴다구/쏘긴다구/소기구 이래니까</t>
  </si>
  <si>
    <t>쏘긴다</t>
  </si>
  <si>
    <t>쏘기지 마라/쏘기먼</t>
  </si>
  <si>
    <t>막 쇠긴다</t>
  </si>
  <si>
    <t>소기지</t>
  </si>
  <si>
    <t>32176-0-2</t>
  </si>
  <si>
    <t>쐬＇게따</t>
  </si>
  <si>
    <t>소겨씨가? {속였을까?}/설마 날 그래 쐬게씨까 이래구 {설마 날 그렇게 속였을까?}</t>
  </si>
  <si>
    <t>쏘게선</t>
  </si>
  <si>
    <t>쏘겨따</t>
  </si>
  <si>
    <t>왜 나:를 쇠게씰까?/셰게서</t>
  </si>
  <si>
    <t>설마 소게씨까?</t>
  </si>
  <si>
    <t>끼-(揷)</t>
  </si>
  <si>
    <t>32177-0-1</t>
  </si>
  <si>
    <t>아, 찌고＇이따</t>
  </si>
  <si>
    <t>푸마네 낀다</t>
  </si>
  <si>
    <t>낀다/끼고 이따/찌고 이따</t>
  </si>
  <si>
    <t>찐다구</t>
  </si>
  <si>
    <t>찐다</t>
  </si>
  <si>
    <t>낀다그러지요</t>
  </si>
  <si>
    <t>32177-0-2</t>
  </si>
  <si>
    <t>반＇지를 쩌라＇/쩌어라＇</t>
  </si>
  <si>
    <t>반지를 쩌야 된다</t>
  </si>
  <si>
    <t>찌어/골미를 쩌:라</t>
  </si>
  <si>
    <t>쩌라</t>
  </si>
  <si>
    <t>끼:문 안된다/찌어따/문트메 찌어서 아푸다</t>
  </si>
  <si>
    <t>튀-(跳)</t>
  </si>
  <si>
    <t>32178-0-1</t>
  </si>
  <si>
    <t>뛴＇다/뛰＇니/뛰＇구 이따/뛰다＇라/뛰＇고/물빵＇울 튄＇다</t>
  </si>
  <si>
    <t>튀지</t>
  </si>
  <si>
    <t>튀지/튄다</t>
  </si>
  <si>
    <t>튄다</t>
  </si>
  <si>
    <t>튄다/뛴다</t>
  </si>
  <si>
    <t>32178-0-2</t>
  </si>
  <si>
    <t>뛔＇에사 안조타</t>
  </si>
  <si>
    <t>투ㅕ:가네</t>
  </si>
  <si>
    <t>퉤:다라난다</t>
  </si>
  <si>
    <t>투ㅕ:서 나라간다</t>
  </si>
  <si>
    <t>톡 퉤:가따/멀:리 퉤:간다</t>
  </si>
  <si>
    <t>괴:-(渟)</t>
  </si>
  <si>
    <t>32179-0-1</t>
  </si>
  <si>
    <t>개비＇인다/개비＇이니/개비＇이고/무리＇ 개비＇이고 이＇따</t>
  </si>
  <si>
    <t>고이지</t>
  </si>
  <si>
    <t>고인다</t>
  </si>
  <si>
    <t>한쪼그루 괸다</t>
  </si>
  <si>
    <t>개인다</t>
  </si>
  <si>
    <t>32179-0-2</t>
  </si>
  <si>
    <t>개베＇이따/개베＇에사/개베＇에떠라/무리＇ 개베＇에사/개베＇에따/개베＇에따라</t>
  </si>
  <si>
    <t>고여/시구 고여서 몸 머거 {시고 고여서 못 먹어/고여 이늠 무리구 {고여 있는 물이고}</t>
  </si>
  <si>
    <t>고예이따</t>
  </si>
  <si>
    <t>괘:서</t>
  </si>
  <si>
    <t>개예따</t>
  </si>
  <si>
    <t>여위-(癯)</t>
  </si>
  <si>
    <t>32180-0-1</t>
  </si>
  <si>
    <t>패루＇꼬/패룸＇나/요새 말로 얘＇베따하고 옌＇날 말로 패룹＇따/패룹＇떠라</t>
  </si>
  <si>
    <t>패레따/패리구</t>
  </si>
  <si>
    <t>야우고</t>
  </si>
  <si>
    <t>32180-0-2</t>
  </si>
  <si>
    <t>패롸＇아사/패루＇우니</t>
  </si>
  <si>
    <t>패래서 보기실타/패래따/먹찔 아너서 야해저따/야해서 뵈기실타/야해진다</t>
  </si>
  <si>
    <t>너무 야워따</t>
  </si>
  <si>
    <t>맵-(辛)</t>
  </si>
  <si>
    <t>32181-0-1</t>
  </si>
  <si>
    <t>매＇굽따</t>
  </si>
  <si>
    <t>매웅 거</t>
  </si>
  <si>
    <t>마시 매우 맵:따/맵따</t>
  </si>
  <si>
    <t>맵따</t>
  </si>
  <si>
    <t>너무 맵따</t>
  </si>
  <si>
    <t>32181-0-2</t>
  </si>
  <si>
    <t>매＇과서</t>
  </si>
  <si>
    <t>꽤 매워얘/영기가 지도키 매와 누늘 모 뜨는데 {연기가 지독히 매워 눈을 못 뜨는데}</t>
  </si>
  <si>
    <t>매워서</t>
  </si>
  <si>
    <t>뀌:-(屁)</t>
  </si>
  <si>
    <t>32182-0-1</t>
  </si>
  <si>
    <t>뀌인＇다/뀌이＇고/뀌이＇다라</t>
  </si>
  <si>
    <t>방:구 뀐다/ 뀌네</t>
  </si>
  <si>
    <t>뀐다/뀌니까/뀌고이따</t>
  </si>
  <si>
    <t>뀐:다</t>
  </si>
  <si>
    <t>퀴구</t>
  </si>
  <si>
    <t>방:귀 뀐다구래지요</t>
  </si>
  <si>
    <t>32182-0-2</t>
  </si>
  <si>
    <t>꿰＇에사/꿰＇에＇라/꿰＇에따</t>
  </si>
  <si>
    <t>꾸ㅕ:서</t>
  </si>
  <si>
    <t>꿰:선 안된다</t>
  </si>
  <si>
    <t>방:굴 꾸ㅕ:서</t>
  </si>
  <si>
    <t>퀘:따</t>
  </si>
  <si>
    <t>방:귀 꿰:서 냄새난다</t>
  </si>
  <si>
    <t>고치-(改)</t>
  </si>
  <si>
    <t>32183-0-1</t>
  </si>
  <si>
    <t>곤＇치고/모옹＇ 꼬친다/곤＇친다/곤＇치니/곤＇치다라</t>
  </si>
  <si>
    <t>곤친다구두</t>
  </si>
  <si>
    <t>곤치고이따</t>
  </si>
  <si>
    <t>고장낭걸 곤친다</t>
  </si>
  <si>
    <t>곤친다/곤치구이따</t>
  </si>
  <si>
    <t>32183-0-2</t>
  </si>
  <si>
    <t>곤＇체야지/벼엉＇워네 가사 곤＇체야지/곤＇체따</t>
  </si>
  <si>
    <t>곤처야 씨겐네</t>
  </si>
  <si>
    <t>곤체야된다/고처야 된다/곤체야 된다/곤처야 된다</t>
  </si>
  <si>
    <t>곤처야/빨리 곤처라</t>
  </si>
  <si>
    <t>곤처라/병을 빨리 곤처라/곤처야 되자너</t>
  </si>
  <si>
    <t>싣:-(載)</t>
  </si>
  <si>
    <t>32184-0-1</t>
  </si>
  <si>
    <t>시일＇따라/시일＇른다/시일＇꼬/시일＇꾸 간다＇/시＇르니</t>
  </si>
  <si>
    <t>짐 실런다/실:꼬 간다/실꾸 가구 이래자너</t>
  </si>
  <si>
    <t>지믈 신:떤데/신:떠라/실:턴데/신:는다/싱:꼬이따/실:꼬이따/실:른다/실:꼬 이따/싱:꼬 이따</t>
  </si>
  <si>
    <t>사라믈 신:는다/지멀 마~이 실찌/신:넝거</t>
  </si>
  <si>
    <t>여:더 실:꾸서</t>
  </si>
  <si>
    <t>짐신는다/신:는거야</t>
  </si>
  <si>
    <t>32184-0-2</t>
  </si>
  <si>
    <t>시＇라따/시＇러따/시＇라사</t>
  </si>
  <si>
    <t>마:차에다 짐 시러야지</t>
  </si>
  <si>
    <t>시러야된다/시르니</t>
  </si>
  <si>
    <t>지믈 시러라/빨리 시러라</t>
  </si>
  <si>
    <t>시러라</t>
  </si>
  <si>
    <t>얻:-(得)</t>
  </si>
  <si>
    <t>32185-0-1</t>
  </si>
  <si>
    <t>으＇드니/으으＇꼬 으＇다사/으＇:따라</t>
  </si>
  <si>
    <t>날마등 으드러 온다구</t>
  </si>
  <si>
    <t>어꾸/표를 으:꾸</t>
  </si>
  <si>
    <t>그냥 으:꾸</t>
  </si>
  <si>
    <t>공짜로 으꼬</t>
  </si>
  <si>
    <t>32185-0-2</t>
  </si>
  <si>
    <t>으＇다사/으으＇따따</t>
  </si>
  <si>
    <t>교회서 으:더 멍는데 우트게 시건지 {교회에서 얻어먹는데 어떻게 신지}</t>
  </si>
  <si>
    <t>으더따/저사라만테 으:더따</t>
  </si>
  <si>
    <t>공짜로 으더따</t>
  </si>
  <si>
    <t>빻-(粉碎)</t>
  </si>
  <si>
    <t>32186-0-1</t>
  </si>
  <si>
    <t>빠＇끄니/빠＇꼬/빵는＇다</t>
  </si>
  <si>
    <t>빤넌다 구래</t>
  </si>
  <si>
    <t>빠우고이따/빠운다</t>
  </si>
  <si>
    <t>고치를 빤:는다</t>
  </si>
  <si>
    <t>빤:는다</t>
  </si>
  <si>
    <t>32186-0-2</t>
  </si>
  <si>
    <t>빠＇까사</t>
  </si>
  <si>
    <t>그건 잘 빠가주구서/빠:가주 {빻아서}</t>
  </si>
  <si>
    <t>빠워야 된다</t>
  </si>
  <si>
    <t>빠:서</t>
  </si>
  <si>
    <t>빠:라</t>
  </si>
  <si>
    <t>파랗-(碧)</t>
  </si>
  <si>
    <t>32187-0-1</t>
  </si>
  <si>
    <t>파라＇터라/파라＇코/파라＇타/파라＇니/파라＇터란 얘기는 아나＇고/시퍼러＇터라</t>
  </si>
  <si>
    <t>다래는 요거마쿰 파러쿠 {다래는 이거만큼 파랗고}/파:러타구/파랑 거/파라쿠 막따/파:랑 게/파:라먼 뵈기 조차너</t>
  </si>
  <si>
    <t>파러타/파르니까</t>
  </si>
  <si>
    <t>파라치/파러치 하누른</t>
  </si>
  <si>
    <t>파러타/새파러타/새파렁기/이건 퍼러코/푸러타/파:래서 보기조타</t>
  </si>
  <si>
    <t>파러타구</t>
  </si>
  <si>
    <t>32187-0-2</t>
  </si>
  <si>
    <t>파래＇애사</t>
  </si>
  <si>
    <t>파:라서</t>
  </si>
  <si>
    <t>파러야 기부니 조타/파러서 조타</t>
  </si>
  <si>
    <t>파래서/파러서 조타</t>
  </si>
  <si>
    <t>새까리가 아주 새파래요</t>
  </si>
  <si>
    <t>파:래서 보기 조타</t>
  </si>
  <si>
    <t>다르-(異)</t>
  </si>
  <si>
    <t>32188-0-1</t>
  </si>
  <si>
    <t>따르＇니/따르＇다라/다르＇다/따르＇고</t>
  </si>
  <si>
    <t>근데 저 강능서 하고는 달르던데/달르자너/다르다구/달르지 머/다르지</t>
  </si>
  <si>
    <t>달르다고/다르다</t>
  </si>
  <si>
    <t>달르긴 뭐 달러/달르지/모냥이 달르다</t>
  </si>
  <si>
    <t>따다</t>
  </si>
  <si>
    <t>32188-0-2</t>
  </si>
  <si>
    <t>따르＇고/달＇라서 실타</t>
  </si>
  <si>
    <t>모냥이 달러서</t>
  </si>
  <si>
    <t>모야~이 달러서/따:서 구별하기 조타/따서</t>
  </si>
  <si>
    <t>달라서</t>
  </si>
  <si>
    <t>푸-(汲)</t>
  </si>
  <si>
    <t>32189-0-1</t>
  </si>
  <si>
    <t>푼다＇/푸고＇</t>
  </si>
  <si>
    <t>푼다구</t>
  </si>
  <si>
    <t>푼다/푸고 이따/푸구이따</t>
  </si>
  <si>
    <t>푼다</t>
  </si>
  <si>
    <t>푸구/무룰 푼다</t>
  </si>
  <si>
    <t>32189-0-2</t>
  </si>
  <si>
    <t>퍼어＇야 된다</t>
  </si>
  <si>
    <t>무럴 퍼멍네/퍼멍넝 거</t>
  </si>
  <si>
    <t>퍼야된다</t>
  </si>
  <si>
    <t>퍼서/퍼와라</t>
  </si>
  <si>
    <t>퍼가주 와라/빨리 퍼와라/퍼라</t>
  </si>
  <si>
    <t>퍼라</t>
  </si>
  <si>
    <t>누-(尿)</t>
  </si>
  <si>
    <t>32190-0-1</t>
  </si>
  <si>
    <t>오줌 누＇고 자가＇래이/누＇고 자라/똥＇을 눔미＇다/똥＇을 누＇고 이＇따/누＇고 이따/누니＇/누다＇라/똥 눈다＇</t>
  </si>
  <si>
    <t>누라고/안 누머는</t>
  </si>
  <si>
    <t>누코이따</t>
  </si>
  <si>
    <t>누쿠 이따/눈다/오주물 누니까</t>
  </si>
  <si>
    <t>오주물 눈다</t>
  </si>
  <si>
    <t>오주믈 누쿠/눈는다</t>
  </si>
  <si>
    <t>32190-0-2</t>
  </si>
  <si>
    <t>똥＇을 놔따＇/똥 놔도＇ 된다/놔야＇ 된다/놔라＇/놔사＇/놔씀＇미다/놔아라＇</t>
  </si>
  <si>
    <t>매루니까 눠야지/오줌 눠:라</t>
  </si>
  <si>
    <t>눠:선 안된다</t>
  </si>
  <si>
    <t>누어서 시원해다/누어따</t>
  </si>
  <si>
    <t>빨리 오주물 눠:라</t>
  </si>
  <si>
    <t>오주믈 눠:라</t>
  </si>
  <si>
    <t>더:럽-(汚)</t>
  </si>
  <si>
    <t>32191-0-1</t>
  </si>
  <si>
    <t>디＇룹따/디이＇룹따/디＇:룹따라/디이＇룹따라/디＇루우니 안 조타</t>
  </si>
  <si>
    <t>드:러께두</t>
  </si>
  <si>
    <t>더:럽따/드:럽따</t>
  </si>
  <si>
    <t>드릅따</t>
  </si>
  <si>
    <t>드:럽따</t>
  </si>
  <si>
    <t>무리 더:럽떠라/더:럽따</t>
  </si>
  <si>
    <t>32191-0-2</t>
  </si>
  <si>
    <t>디＇:롸사 안 조타</t>
  </si>
  <si>
    <t>드:러워 옌:나렌</t>
  </si>
  <si>
    <t>드:러워서</t>
  </si>
  <si>
    <t>드:르워서 또 앙간다/드:르워 어디루</t>
  </si>
  <si>
    <t>무리 더:러워서</t>
  </si>
  <si>
    <t>거두-(收)</t>
  </si>
  <si>
    <t>32192-0-1</t>
  </si>
  <si>
    <t>거둔＇는다/거두＇우니/거두＇운다/곡씩＇ 거두＇따라/곡씨＇글 거두＇운다/곡씩＇ 거두＇꼬 이따＇라/거둗＇꼬/거두＇우고 이따</t>
  </si>
  <si>
    <t>거둔다구</t>
  </si>
  <si>
    <t>거두고 이따/거둔다</t>
  </si>
  <si>
    <t>거꾸 이따/건넌다</t>
  </si>
  <si>
    <t>건는다/거뒨다/거둔다/빨래를 거꾸이따</t>
  </si>
  <si>
    <t>거꾸</t>
  </si>
  <si>
    <t>32192-0-2</t>
  </si>
  <si>
    <t>거돠＇아라/거다＇아사/거다＇아라</t>
  </si>
  <si>
    <t>곡써글 해 거둬야지</t>
  </si>
  <si>
    <t>거둬야 된다/거둬디레야된다</t>
  </si>
  <si>
    <t>빨리 거더라</t>
  </si>
  <si>
    <t>거둬디린다/거더라</t>
  </si>
  <si>
    <t>끓-(沸)</t>
  </si>
  <si>
    <t>32193-0-1</t>
  </si>
  <si>
    <t>끌타＇라/끌＇꼬 이따/끌른＇다</t>
  </si>
  <si>
    <t>무리 펄펄 끌레/설설 끌렁구나/펄펄 끄러서/끌런다 그래</t>
  </si>
  <si>
    <t>끌쿠 이따/끄러서 끄러서/끌른다/끌코이따/끄르니 뜨겁따/끌쏘</t>
  </si>
  <si>
    <t>끌쿠 이따</t>
  </si>
  <si>
    <t>끌쿠이따/끌른다</t>
  </si>
  <si>
    <t>끌쿠/끌른다</t>
  </si>
  <si>
    <t>32193-0-2</t>
  </si>
  <si>
    <t>끄＇르니/끄＇라서</t>
  </si>
  <si>
    <t>끄러 {끓어}/끄러야</t>
  </si>
  <si>
    <t>끌르니 뜨겁따/끄러서</t>
  </si>
  <si>
    <t>끄러따/끄러서 뚜굽따</t>
  </si>
  <si>
    <t>끄러서</t>
  </si>
  <si>
    <t>펄펄 끄러서</t>
  </si>
  <si>
    <t>이기-(承)</t>
  </si>
  <si>
    <t>32194-0-1</t>
  </si>
  <si>
    <t>이＇기고 와</t>
  </si>
  <si>
    <t>우리나라에서 이겨씨니까 조:차너/이기먼</t>
  </si>
  <si>
    <t>이기고 이따</t>
  </si>
  <si>
    <t>싸워서 이기니깐/이긴다</t>
  </si>
  <si>
    <t>이기구 도라와따</t>
  </si>
  <si>
    <t>이기구</t>
  </si>
  <si>
    <t>32194-0-2</t>
  </si>
  <si>
    <t>이＇게라</t>
  </si>
  <si>
    <t>이게야된다</t>
  </si>
  <si>
    <t>이게라</t>
  </si>
  <si>
    <t>이겨서 기부~이 조타</t>
  </si>
  <si>
    <t>이게따</t>
  </si>
  <si>
    <t>부시-(照)</t>
  </si>
  <si>
    <t>32195-0-1</t>
  </si>
  <si>
    <t>부시＇이고/부시＇이니/부시＇이다라/부시＇인다</t>
  </si>
  <si>
    <t>누니 부시다</t>
  </si>
  <si>
    <t>시겁따</t>
  </si>
  <si>
    <t>부시다</t>
  </si>
  <si>
    <t>부신다</t>
  </si>
  <si>
    <t>32195-0-2</t>
  </si>
  <si>
    <t>부세＇에사/누~이＇ 부세＇에라</t>
  </si>
  <si>
    <t>부셔</t>
  </si>
  <si>
    <t>시거워서</t>
  </si>
  <si>
    <t>누니 시그워/부셔서 누늘 모뜨게따</t>
  </si>
  <si>
    <t>누니 부세서</t>
  </si>
  <si>
    <t>자빠지-(後)</t>
  </si>
  <si>
    <t>32196-0-1</t>
  </si>
  <si>
    <t>자＇빠지구 이＇따/자＇빠진다(+할머니)</t>
  </si>
  <si>
    <t>자빠징 거르</t>
  </si>
  <si>
    <t>자뻐지구이따</t>
  </si>
  <si>
    <t>저사람도 뒤루 자뻐지구</t>
  </si>
  <si>
    <t>자뻐지고</t>
  </si>
  <si>
    <t>자뻐지구</t>
  </si>
  <si>
    <t>32196-0-2</t>
  </si>
  <si>
    <t>자＇빠저따/자＇빠저따＇/자＇빠제따＇</t>
  </si>
  <si>
    <t>벌렁 자빠저야 자빠징 거/발랑 자빠저서 동우두 깨구</t>
  </si>
  <si>
    <t>자뻐저따</t>
  </si>
  <si>
    <t>벌럭 자뻐저따</t>
  </si>
  <si>
    <t>일으키-(使起)</t>
  </si>
  <si>
    <t>32197-0-1</t>
  </si>
  <si>
    <t>일＇구니까/일＇군다/일＇구고</t>
  </si>
  <si>
    <t>이루쿤다구</t>
  </si>
  <si>
    <t>일쿠고이따</t>
  </si>
  <si>
    <t>일쿤다</t>
  </si>
  <si>
    <t>일군다/일쿤다</t>
  </si>
  <si>
    <t>32197-0-2</t>
  </si>
  <si>
    <t>일＇과야</t>
  </si>
  <si>
    <t>이루쿼 줘야지/이루쿼야지</t>
  </si>
  <si>
    <t>일쿼야된다</t>
  </si>
  <si>
    <t>일쿼야 된다</t>
  </si>
  <si>
    <t>일쿼 줘:라/빨리 일궈 줘:라</t>
  </si>
  <si>
    <t>빨리 일쿼라</t>
  </si>
  <si>
    <t>당기-(引)</t>
  </si>
  <si>
    <t>32198-0-1</t>
  </si>
  <si>
    <t>댕＇기고 이따/댕＇긴다/땡＇기고/댕＇기니까</t>
  </si>
  <si>
    <t>자버댕긴다</t>
  </si>
  <si>
    <t>댕기고이따/당긴다</t>
  </si>
  <si>
    <t>주룰 댕기구/댕긴다</t>
  </si>
  <si>
    <t>빨리 땡겨라/땡긴다</t>
  </si>
  <si>
    <t>댕긴다</t>
  </si>
  <si>
    <t>32198-0-2</t>
  </si>
  <si>
    <t>댕＇게라</t>
  </si>
  <si>
    <t>댕게야</t>
  </si>
  <si>
    <t>댕게야된다</t>
  </si>
  <si>
    <t>빨리 댕겨</t>
  </si>
  <si>
    <t>댕겨라</t>
  </si>
  <si>
    <t>버리-(捨)</t>
  </si>
  <si>
    <t>32199-0-1</t>
  </si>
  <si>
    <t>베＇리니/통＇에 비＇리고 이따/베＇리고 이따/내＇애비레＇라/베＇리다라/훔＇친다/훔＇치고</t>
  </si>
  <si>
    <t>버린다</t>
  </si>
  <si>
    <t>버리지 마라</t>
  </si>
  <si>
    <t>그거두 버리구</t>
  </si>
  <si>
    <t>32199-0-2</t>
  </si>
  <si>
    <t>물거＇느 훔＇체 가싸요/쓰레＇기통에 베＇레라/훔＇처따 훔＇치더＇라/씨리＇기통에 베＇레라/버＇레라</t>
  </si>
  <si>
    <t>주럴 댕기능 거/버려/버려라</t>
  </si>
  <si>
    <t>버레야된다</t>
  </si>
  <si>
    <t>버례라/버려라</t>
  </si>
  <si>
    <t>버려라</t>
  </si>
  <si>
    <t>버레라</t>
  </si>
  <si>
    <t>훔치-(盜)</t>
  </si>
  <si>
    <t>32200-0-1</t>
  </si>
  <si>
    <t>훔＇친다</t>
  </si>
  <si>
    <t>훔치네</t>
  </si>
  <si>
    <t>훔치고/훔치고 이따/훔친다/훔치고이따</t>
  </si>
  <si>
    <t>훔치고 이따</t>
  </si>
  <si>
    <t>흠치지마라</t>
  </si>
  <si>
    <t>훔친다</t>
  </si>
  <si>
    <t>32200-0-2</t>
  </si>
  <si>
    <t>훔＇체서는 안된다</t>
  </si>
  <si>
    <t>훔처가능 거</t>
  </si>
  <si>
    <t>훔체선/훔체선 안된다</t>
  </si>
  <si>
    <t>훔처따</t>
  </si>
  <si>
    <t>흠처선 안된다</t>
  </si>
  <si>
    <t>훔처선 안따된다</t>
  </si>
  <si>
    <t>지-(負)</t>
  </si>
  <si>
    <t>32201-0-1</t>
  </si>
  <si>
    <t>지＇니까/지＇면/지다＇라/진＇다(짐을)/지＇고 이따/질＇쑤록 무겁＇따</t>
  </si>
  <si>
    <t>지구 이기능 거/진다구</t>
  </si>
  <si>
    <t>지고이따</t>
  </si>
  <si>
    <t>지먼/지지 마라</t>
  </si>
  <si>
    <t>지고</t>
  </si>
  <si>
    <t>진다구</t>
  </si>
  <si>
    <t>32201-0-2</t>
  </si>
  <si>
    <t>지믈＇ 저라＇/지믈 제따＇/지믈 제:사/지믈＇ 저따＇/지믈 저서＇/지믈 제라＇</t>
  </si>
  <si>
    <t>저찌</t>
  </si>
  <si>
    <t>저따/저야된다</t>
  </si>
  <si>
    <t>저따</t>
  </si>
  <si>
    <t>저라</t>
  </si>
  <si>
    <t>외:-(暗誦)</t>
  </si>
  <si>
    <t>32202-0-1</t>
  </si>
  <si>
    <t>외＇우니/외＇우고 이＇따/외＇우다라</t>
  </si>
  <si>
    <t>외운다구/자뢰우네 {잘 외우네}</t>
  </si>
  <si>
    <t>외우고이따/외운다</t>
  </si>
  <si>
    <t>요ㅣ워라/요ㅣ운다는</t>
  </si>
  <si>
    <t>외우구 이따</t>
  </si>
  <si>
    <t>왼:다</t>
  </si>
  <si>
    <t>32202-0-2</t>
  </si>
  <si>
    <t>외＇와사/구＇구다늘 외＇와따</t>
  </si>
  <si>
    <t>외워</t>
  </si>
  <si>
    <t>외워야 된다</t>
  </si>
  <si>
    <t>구구다늘 외워라</t>
  </si>
  <si>
    <t>구구다늘 소구로 왜:라</t>
  </si>
  <si>
    <t>사귀-(交)</t>
  </si>
  <si>
    <t>32203-0-1</t>
  </si>
  <si>
    <t>섀＇기니/새＇기고 이＇따/새＇긴다(사귄다)/사＇긴다/새＇기더라/섀＇기니 보기 조오＇타라</t>
  </si>
  <si>
    <t>사기라구/사군다</t>
  </si>
  <si>
    <t>사구고이따</t>
  </si>
  <si>
    <t>잘 새긴다/새기믄</t>
  </si>
  <si>
    <t>사구고</t>
  </si>
  <si>
    <t>새기구/잘 새기구</t>
  </si>
  <si>
    <t>32203-0-2</t>
  </si>
  <si>
    <t>새＇게때이/새게서는 안된다</t>
  </si>
  <si>
    <t>사구ㅕ:/사구ㅕ:가주 잘 노러</t>
  </si>
  <si>
    <t>사궈야 된다</t>
  </si>
  <si>
    <t>새겨라</t>
  </si>
  <si>
    <t>잘 사궈라</t>
  </si>
  <si>
    <t>잘 새겨라</t>
  </si>
  <si>
    <t>썩-(腐)</t>
  </si>
  <si>
    <t>32204-0-1</t>
  </si>
  <si>
    <t>썽는＇다/써＇그니</t>
  </si>
  <si>
    <t>썩찌/썩으먼 거름이 돼</t>
  </si>
  <si>
    <t>써꼬이따/썽는다/썩찌마라야</t>
  </si>
  <si>
    <t>써꾸 이따/썽는대는</t>
  </si>
  <si>
    <t>썽는다</t>
  </si>
  <si>
    <t>써꾸/푹푹 썽는다</t>
  </si>
  <si>
    <t>32204-0-2</t>
  </si>
  <si>
    <t>써＇거따/써＇가따</t>
  </si>
  <si>
    <t>써거/써거서 몸 먹찌</t>
  </si>
  <si>
    <t>써거서</t>
  </si>
  <si>
    <t>써거따</t>
  </si>
  <si>
    <t>써거</t>
  </si>
  <si>
    <t>질-(泥)</t>
  </si>
  <si>
    <t>32205-0-1</t>
  </si>
  <si>
    <t>지＇다(질다)/질＇고/지다＇라/무청 지다＇라</t>
  </si>
  <si>
    <t>질지</t>
  </si>
  <si>
    <t>따~이 질다</t>
  </si>
  <si>
    <t>질다 질처캐다</t>
  </si>
  <si>
    <t>질고/젤: 질:다이러케도</t>
  </si>
  <si>
    <t>질다구/질지요</t>
  </si>
  <si>
    <t>32205-0-2</t>
  </si>
  <si>
    <t>지＇라사</t>
  </si>
  <si>
    <t>지러서</t>
  </si>
  <si>
    <t>너무 지러서</t>
  </si>
  <si>
    <t>까불-(箕)</t>
  </si>
  <si>
    <t>32206-0-1</t>
  </si>
  <si>
    <t>까부＇머 안 된대이./까부＇니/까부＇고 이따/마디＇~이 해가주＇ 까부＇지./까::불고 이싸./까부＇다라/까분＇다/까부＇지 마라 그래지 마라/까불＇고/되게＇ 까부내.</t>
  </si>
  <si>
    <t>까불른다구/까부른다구</t>
  </si>
  <si>
    <t>까불고이따/까분다</t>
  </si>
  <si>
    <t>까분다/까분능거/까불구 이따/까부르능거 치</t>
  </si>
  <si>
    <t>까분다고/까불고</t>
  </si>
  <si>
    <t>까불구/까분다그래요</t>
  </si>
  <si>
    <t>32206-0-2</t>
  </si>
  <si>
    <t>까부＇라사/까부＇라라 젤: 빠르다 그 우운＇제 고올＇래고 인나?</t>
  </si>
  <si>
    <t>까불러/쭉:: 행 걸 까불러 논는데 {쭉 한 것을 까불어 놓는데}</t>
  </si>
  <si>
    <t>까부러야된다</t>
  </si>
  <si>
    <t>치루 까부러따/치루 까불러라</t>
  </si>
  <si>
    <t>치르 까부러라</t>
  </si>
  <si>
    <t>까부러라</t>
  </si>
  <si>
    <t>드물-(稀)</t>
  </si>
  <si>
    <t>32207-0-1</t>
  </si>
  <si>
    <t>드무＇다 함미다/드무＇니/드무＇고</t>
  </si>
  <si>
    <t>드물게 이따구/시치능 건 더 드물게 해구</t>
  </si>
  <si>
    <t>지비 드물구</t>
  </si>
  <si>
    <t>드물다</t>
  </si>
  <si>
    <t>사래미 드물다</t>
  </si>
  <si>
    <t>드물게 심능건 드물게 심는다고</t>
  </si>
  <si>
    <t>32207-0-2</t>
  </si>
  <si>
    <t>드무＇라사</t>
  </si>
  <si>
    <t>드무러</t>
  </si>
  <si>
    <t>드무러서</t>
  </si>
  <si>
    <t>드무러야</t>
  </si>
  <si>
    <t>줄:-(縮)</t>
  </si>
  <si>
    <t>32208-0-1</t>
  </si>
  <si>
    <t>주운＇다/주우＇다라/주울＇고/주우＇니</t>
  </si>
  <si>
    <t>준다구/줄런다구 {준다구}</t>
  </si>
  <si>
    <t>준:다/주:니까 건널쑤이따/줄:구</t>
  </si>
  <si>
    <t>무리 준:다/줄:지</t>
  </si>
  <si>
    <t>점점 준:다</t>
  </si>
  <si>
    <t>건 준:다구래요</t>
  </si>
  <si>
    <t>32208-0-2</t>
  </si>
  <si>
    <t>주＇라따</t>
  </si>
  <si>
    <t>주러 줄자너 만:턴 무리 {줄어 줄잖아 많던 물이}/강무리 주러가네</t>
  </si>
  <si>
    <t>주러든다</t>
  </si>
  <si>
    <t>무리 주러서 바다기 보인다</t>
  </si>
  <si>
    <t>무리 주러서</t>
  </si>
  <si>
    <t>무리 주:러서</t>
  </si>
  <si>
    <t>심:-(植)</t>
  </si>
  <si>
    <t>배:차도 시무구 무수도 싱구구 파도 시무구 겨울게 할라구</t>
  </si>
  <si>
    <t>32209-0-1</t>
  </si>
  <si>
    <t>싱군＇다/싱구＇우더라/싱구＇고</t>
  </si>
  <si>
    <t>뚤루구서는 시무지./콩도 싱구고</t>
  </si>
  <si>
    <t>숭군다/낭그를 싱군다</t>
  </si>
  <si>
    <t>심:는다/심:넝거</t>
  </si>
  <si>
    <t>시문다</t>
  </si>
  <si>
    <t>심:는다그래요</t>
  </si>
  <si>
    <t>32209-0-2</t>
  </si>
  <si>
    <t>싱과＇따</t>
  </si>
  <si>
    <t>내가 그 마당에다 꼬추 싱궈써/모래 펴 노치 뭘 시머</t>
  </si>
  <si>
    <t>숭궈야 한다</t>
  </si>
  <si>
    <t>시머라</t>
  </si>
  <si>
    <t>빨리 시머라</t>
  </si>
  <si>
    <t>쓰다듬-(撫)</t>
  </si>
  <si>
    <t>32210-0-1</t>
  </si>
  <si>
    <t>씨다＇드무니/씨다＇듬는다/씨다＇듬꼬</t>
  </si>
  <si>
    <t>씨담는다구 해두</t>
  </si>
  <si>
    <t>씨다듬는다</t>
  </si>
  <si>
    <t>씨담꾸 이따</t>
  </si>
  <si>
    <t>쓰다등꼬 이따</t>
  </si>
  <si>
    <t>쓰다듬는다/씨다듬꾸</t>
  </si>
  <si>
    <t>32210-0-2</t>
  </si>
  <si>
    <t>씨다＇드마준다</t>
  </si>
  <si>
    <t>씨다머</t>
  </si>
  <si>
    <t>씨다드머야 된다</t>
  </si>
  <si>
    <t>씨다머준다</t>
  </si>
  <si>
    <t>씨다드머준다</t>
  </si>
  <si>
    <t>쓰다드머준다구/씨다드머준다</t>
  </si>
  <si>
    <t>사:납-(猛)</t>
  </si>
  <si>
    <t>32211-0-1</t>
  </si>
  <si>
    <t>사＇무룹따는 얘기는 예엔＇날 사투＇린데/사아＇납딴 얘기는/무척 사＇무룹따라/개애＇가 사＇무룹따</t>
  </si>
  <si>
    <t>사넙찌</t>
  </si>
  <si>
    <t>싸:무럽따/사:납따</t>
  </si>
  <si>
    <t>사:납따</t>
  </si>
  <si>
    <t>싸무룹따(+사람이 사나운 경우에 씀)/사:납따</t>
  </si>
  <si>
    <t>개:가 사납따/사:납따구두허구</t>
  </si>
  <si>
    <t>32211-0-2</t>
  </si>
  <si>
    <t>사:너워</t>
  </si>
  <si>
    <t>사무러워서 시타/사:나워서 무섭따</t>
  </si>
  <si>
    <t>사:나워서</t>
  </si>
  <si>
    <t>너무 사:나워서/너무 싸무루워서</t>
  </si>
  <si>
    <t>가볍-(輕)</t>
  </si>
  <si>
    <t>32212-0-1</t>
  </si>
  <si>
    <t>개굽＇따</t>
  </si>
  <si>
    <t>가법찌</t>
  </si>
  <si>
    <t>가부꾸</t>
  </si>
  <si>
    <t>가붑따</t>
  </si>
  <si>
    <t>32212-0-2</t>
  </si>
  <si>
    <t>개과＇아서 조타</t>
  </si>
  <si>
    <t>가버워</t>
  </si>
  <si>
    <t>가부워 조타</t>
  </si>
  <si>
    <t>가부워서 들기 조타</t>
  </si>
  <si>
    <t>가부워서</t>
  </si>
  <si>
    <t>젓:-(搒)</t>
  </si>
  <si>
    <t>32213-0-1</t>
  </si>
  <si>
    <t>즈으＇따라/즈으＇꼬 이따/저언＇는다/즈＇으니</t>
  </si>
  <si>
    <t>2 저:라/즌:능 거</t>
  </si>
  <si>
    <t>전:는다/즌:는다/즈코이따</t>
  </si>
  <si>
    <t>즈:꾸 이따/즌:능거야 푸를 {젓는거야 풀을}/즌:는다</t>
  </si>
  <si>
    <t>전:는다/즌:는다</t>
  </si>
  <si>
    <t>즌:는다구/전:는다/저:꾸</t>
  </si>
  <si>
    <t>32213-0-2</t>
  </si>
  <si>
    <t>저＇어라/저＇어떠라</t>
  </si>
  <si>
    <t>노를 저:서 조타/저:야된다</t>
  </si>
  <si>
    <t>저:라(+＇어＇가 약간 높게 들림)</t>
  </si>
  <si>
    <t>빨리 저:라</t>
  </si>
  <si>
    <t>저:라</t>
  </si>
  <si>
    <t>두껍-(厚)</t>
  </si>
  <si>
    <t>32214-0-1</t>
  </si>
  <si>
    <t>뚜꾸＇우니/입쑬＇도 뚜꿉＇따/뚜꿉＇따라/뚜꾸＇꼬</t>
  </si>
  <si>
    <t>두껍다구</t>
  </si>
  <si>
    <t>뚜껍따/뚜꺼우니까/뚜껍찌 안타/뚜껍따라/뚜꺼꾸</t>
  </si>
  <si>
    <t>두꿉따</t>
  </si>
  <si>
    <t>뚜껍따</t>
  </si>
  <si>
    <t>뚜껍따구두허구</t>
  </si>
  <si>
    <t>32214-0-2</t>
  </si>
  <si>
    <t>뚜꽈＇아/뚜꾸＇와사</t>
  </si>
  <si>
    <t>뚜꺼웨</t>
  </si>
  <si>
    <t>뚜거워서 무겁따</t>
  </si>
  <si>
    <t>두꾸워서</t>
  </si>
  <si>
    <t>뚜꺼워서 들기 힘들다</t>
  </si>
  <si>
    <t>뚜꾸워서/뚜꺼우니까</t>
  </si>
  <si>
    <t>무르-(軟)</t>
  </si>
  <si>
    <t>32215-0-1</t>
  </si>
  <si>
    <t>무루＇다라/무루＇니/무루＇다가 물렁물렁하＇다/무릉＇ 그/무루＇고</t>
  </si>
  <si>
    <t>물르자너</t>
  </si>
  <si>
    <t>쌀무니까 물르다(+구, +다)/무르지(+신, +소)/무르고</t>
  </si>
  <si>
    <t>무루다구</t>
  </si>
  <si>
    <t>무르다</t>
  </si>
  <si>
    <t>무루다</t>
  </si>
  <si>
    <t>32215-0-2</t>
  </si>
  <si>
    <t>물＇라사</t>
  </si>
  <si>
    <t>물러</t>
  </si>
  <si>
    <t>물러서 머끼에 조타</t>
  </si>
  <si>
    <t>물:러진다/으ㅡ:내서/물러서</t>
  </si>
  <si>
    <t>물러서</t>
  </si>
  <si>
    <t>물:러서</t>
  </si>
  <si>
    <t>분지르-(折)</t>
  </si>
  <si>
    <t>32216-0-1</t>
  </si>
  <si>
    <t>이 정도야 내가 뿔때＇지/불때＇애다라/뿔때＇앤다/뿔땐다＇/뿔때＇애니/뿔때＇애고/야:: 니 그그 낭＇그 뿔때＇애갠나?</t>
  </si>
  <si>
    <t>분질르능 거</t>
  </si>
  <si>
    <t>불긴다</t>
  </si>
  <si>
    <t>불기구 이따/불긴다</t>
  </si>
  <si>
    <t>부주군다/부주구기도 하고</t>
  </si>
  <si>
    <t>32216-0-2</t>
  </si>
  <si>
    <t>뿔때＇애라/뿔때＇애따</t>
  </si>
  <si>
    <t>분질러</t>
  </si>
  <si>
    <t>불게야된다</t>
  </si>
  <si>
    <t>불겨라</t>
  </si>
  <si>
    <t>부주궈라</t>
  </si>
  <si>
    <t>불게서</t>
  </si>
  <si>
    <t>배우-(學)</t>
  </si>
  <si>
    <t>32217-0-1</t>
  </si>
  <si>
    <t>배＇우고 이＇다/배운다＇/그를＇ 배운다</t>
  </si>
  <si>
    <t>배우라구</t>
  </si>
  <si>
    <t>배운다/배우고 이따</t>
  </si>
  <si>
    <t>배우구 이따</t>
  </si>
  <si>
    <t>배운다/배우구 와라</t>
  </si>
  <si>
    <t>마:니 배우고 오거라</t>
  </si>
  <si>
    <t>32217-0-2</t>
  </si>
  <si>
    <t>배＇와라</t>
  </si>
  <si>
    <t>잘 배워</t>
  </si>
  <si>
    <t>배워야</t>
  </si>
  <si>
    <t>배워야지</t>
  </si>
  <si>
    <t>배워라</t>
  </si>
  <si>
    <t>다리-(熨)</t>
  </si>
  <si>
    <t>32218-0-1</t>
  </si>
  <si>
    <t>대＇리고 이따/대레＇비로 대＇린다</t>
  </si>
  <si>
    <t>잘 대리라구</t>
  </si>
  <si>
    <t>대리고이따</t>
  </si>
  <si>
    <t>대린다/잘 대리구 이따</t>
  </si>
  <si>
    <t>대린다/대리구이따</t>
  </si>
  <si>
    <t>다린다/대리구</t>
  </si>
  <si>
    <t>32218-0-2</t>
  </si>
  <si>
    <t>대＇레라</t>
  </si>
  <si>
    <t>잘 대려</t>
  </si>
  <si>
    <t>대레야된다</t>
  </si>
  <si>
    <t>잘 대려라</t>
  </si>
  <si>
    <t>대려라/대레라</t>
  </si>
  <si>
    <t>빨리 대러라</t>
  </si>
  <si>
    <t>후비-(穵, 귀를 ~)</t>
  </si>
  <si>
    <t>32219-0-1</t>
  </si>
  <si>
    <t>회＇비니 시원::하＇다/회＇비고 이＇따/회＇비더라</t>
  </si>
  <si>
    <t>귀 후비능 거</t>
  </si>
  <si>
    <t>휘빈다/회빈다/후빈다/호빈다</t>
  </si>
  <si>
    <t>휘빈다/귀를 휘비구 이따</t>
  </si>
  <si>
    <t>후빈다</t>
  </si>
  <si>
    <t>32219-0-2</t>
  </si>
  <si>
    <t>회＇베 판다</t>
  </si>
  <si>
    <t>살살 후벼라</t>
  </si>
  <si>
    <t>회베서 시워나다</t>
  </si>
  <si>
    <t>귀를 휘벼라</t>
  </si>
  <si>
    <t>휘베라</t>
  </si>
  <si>
    <t>후베라</t>
  </si>
  <si>
    <t>아리-(痛)</t>
  </si>
  <si>
    <t>32220-0-1</t>
  </si>
  <si>
    <t>앨굽＇따(+삼척시 노곡면에서 사용함. 미로면에서는 ＇애리다＇를 많이 사용함.)/앨구＇우니/앨굽＇따라/애롸＇아사 앨굽＇따라</t>
  </si>
  <si>
    <t>아리구/소:기 애리고 아푸다</t>
  </si>
  <si>
    <t>애리다/애리자나 조타</t>
  </si>
  <si>
    <t>아리다/아리다구</t>
  </si>
  <si>
    <t>쓰리다</t>
  </si>
  <si>
    <t>애리다구</t>
  </si>
  <si>
    <t>32220-0-2</t>
  </si>
  <si>
    <t>앨과＇아사/애롸＇아사</t>
  </si>
  <si>
    <t>아려</t>
  </si>
  <si>
    <t>애레서</t>
  </si>
  <si>
    <t>아려서</t>
  </si>
  <si>
    <t>쓰레여(+머)</t>
  </si>
  <si>
    <t>그리-(畵)</t>
  </si>
  <si>
    <t>32221-0-1</t>
  </si>
  <si>
    <t>기린＇다/기리＇더라/기리＇고 이＇따</t>
  </si>
  <si>
    <t>잘 그린다</t>
  </si>
  <si>
    <t>그:린다</t>
  </si>
  <si>
    <t>그리구 이따</t>
  </si>
  <si>
    <t>그린다</t>
  </si>
  <si>
    <t>32221-0-2</t>
  </si>
  <si>
    <t>기레＇라</t>
  </si>
  <si>
    <t>잘 그려 그림</t>
  </si>
  <si>
    <t>그:레라</t>
  </si>
  <si>
    <t>잘 그려야</t>
  </si>
  <si>
    <t>그리믈 그레라</t>
  </si>
  <si>
    <t>그레라</t>
  </si>
  <si>
    <t>저리-(痲)</t>
  </si>
  <si>
    <t>32222-0-1</t>
  </si>
  <si>
    <t>제＇린다</t>
  </si>
  <si>
    <t>저리지/제린다구</t>
  </si>
  <si>
    <t>제리다</t>
  </si>
  <si>
    <t>저리지</t>
  </si>
  <si>
    <t>32222-0-2</t>
  </si>
  <si>
    <t>제려</t>
  </si>
  <si>
    <t>제레서 시타</t>
  </si>
  <si>
    <t>저려서</t>
  </si>
  <si>
    <t>제레서</t>
  </si>
  <si>
    <t>불리-(增)</t>
  </si>
  <si>
    <t>32223-0-1</t>
  </si>
  <si>
    <t>뿔＇구구 이따/뿔＇군다 뿔＇과/무레＇ 불＇구며는</t>
  </si>
  <si>
    <t>싸를 뿔군다구/뿔구능 거</t>
  </si>
  <si>
    <t>뿔군다</t>
  </si>
  <si>
    <t>뿔기지 마라</t>
  </si>
  <si>
    <t>뿔기구</t>
  </si>
  <si>
    <t>32223-0-2</t>
  </si>
  <si>
    <t>뿔＇과라</t>
  </si>
  <si>
    <t>뿔궈</t>
  </si>
  <si>
    <t>뿔궈서 멍는다</t>
  </si>
  <si>
    <t>뿔겨라</t>
  </si>
  <si>
    <t>뿔거서</t>
  </si>
  <si>
    <t>뿔게서</t>
  </si>
  <si>
    <t>뜨시-(溫)</t>
  </si>
  <si>
    <t>32224-0-1</t>
  </si>
  <si>
    <t>뜨시＇다/뜨시＇고/뜨시＇다라/뜨시＇니</t>
  </si>
  <si>
    <t>뜨시다구/뜨시라구래구</t>
  </si>
  <si>
    <t>따시다</t>
  </si>
  <si>
    <t>따시해다/따드태다</t>
  </si>
  <si>
    <t>뜨신데/참 따시다/뜨시도 앙코/뜨시니 조오리미 온다</t>
  </si>
  <si>
    <t>뜨시다</t>
  </si>
  <si>
    <t>32224-0-2</t>
  </si>
  <si>
    <t>뜨세＇에사</t>
  </si>
  <si>
    <t>뜨셔</t>
  </si>
  <si>
    <t>뜨세서 조타/따세서 조타</t>
  </si>
  <si>
    <t>따드태 조타</t>
  </si>
  <si>
    <t>뜨세야/따세서</t>
  </si>
  <si>
    <t>뜨세서</t>
  </si>
  <si>
    <t>끓이-(使沸)</t>
  </si>
  <si>
    <t>32225-0-1</t>
  </si>
  <si>
    <t>끼리고/끼＇린다(물을)</t>
  </si>
  <si>
    <t>끄리능 게 쇠죽(여물 끓인 것이 쇠죽)/설설 끄린다</t>
  </si>
  <si>
    <t>끄리고이따/끄린다</t>
  </si>
  <si>
    <t>끄린다</t>
  </si>
  <si>
    <t>끄린다/여물 끄린다</t>
  </si>
  <si>
    <t>32225-0-2</t>
  </si>
  <si>
    <t>끼＇레라/끼＇레사</t>
  </si>
  <si>
    <t>끄레야/끄려라/여메기 끄려 준다/국쑬 무레 끄려가주 껀저얘지 {국수를 물에 끓여서 건져야지}</t>
  </si>
  <si>
    <t>끄레라</t>
  </si>
  <si>
    <t>끄려라</t>
  </si>
  <si>
    <t>끄려서</t>
  </si>
  <si>
    <t>누비-(縫)</t>
  </si>
  <si>
    <t>32226-0-1</t>
  </si>
  <si>
    <t>뉘＇빈다/누＇빈다</t>
  </si>
  <si>
    <t>누비넝 거는</t>
  </si>
  <si>
    <t>뉘빈다</t>
  </si>
  <si>
    <t>누비구 이따/누빈대능건/누비능거</t>
  </si>
  <si>
    <t>누빈다/고런 뉘빈다능게/뉘베임는다</t>
  </si>
  <si>
    <t>잘 뉘빈다</t>
  </si>
  <si>
    <t>32226-0-2</t>
  </si>
  <si>
    <t>누＇베라 누＇베</t>
  </si>
  <si>
    <t>요러케 누벼 요러케</t>
  </si>
  <si>
    <t>뉘베야된다</t>
  </si>
  <si>
    <t>누벼라</t>
  </si>
  <si>
    <t>누벼서 이버라</t>
  </si>
  <si>
    <t>뉘벼라</t>
  </si>
  <si>
    <t>구기-(皺)</t>
  </si>
  <si>
    <t>32227-0-1</t>
  </si>
  <si>
    <t>꾸겐＇다/꾸기＇인다/꾸게＇고 이따/꾸게＇지 마/꾸기＇니까/꾸게＇지 마래이</t>
  </si>
  <si>
    <t>꾸긴다</t>
  </si>
  <si>
    <t>꾸기구 이따/꾸긴다</t>
  </si>
  <si>
    <t>뀌긴다</t>
  </si>
  <si>
    <t>꿍치구</t>
  </si>
  <si>
    <t>32227-0-2</t>
  </si>
  <si>
    <t>꾸게＇라/꾸게＇에라/꾸게대＇애노머 그거 내애＇주 씨나?</t>
  </si>
  <si>
    <t>꾸겨</t>
  </si>
  <si>
    <t>꾸게선 안된다</t>
  </si>
  <si>
    <t>꾸겨서 버려라/꾸게서 버려라</t>
  </si>
  <si>
    <t>꾸겨서 버려라</t>
  </si>
  <si>
    <t>꿍체따/꿍체선 안된다</t>
  </si>
  <si>
    <t>비:-(空)</t>
  </si>
  <si>
    <t>32228-0-1</t>
  </si>
  <si>
    <t>비인＇바~이니까 너르다라./비이＇니까</t>
  </si>
  <si>
    <t>빙: 거</t>
  </si>
  <si>
    <t>비:구/빈:다</t>
  </si>
  <si>
    <t>비:고</t>
  </si>
  <si>
    <t>비:구</t>
  </si>
  <si>
    <t>32228-0-2</t>
  </si>
  <si>
    <t>베＇에 이따/베＇에따/궁＇구랑 걸 베＇에따</t>
  </si>
  <si>
    <t>텅 비연네/텅 비언네 {텅 비었네}</t>
  </si>
  <si>
    <t>베:서 시워나다</t>
  </si>
  <si>
    <t>비어따/붜:라</t>
  </si>
  <si>
    <t>베:따</t>
  </si>
  <si>
    <t>벼:서/비어꾸/벼:꾸</t>
  </si>
  <si>
    <t>식히-(使冷)</t>
  </si>
  <si>
    <t>32229-0-1</t>
  </si>
  <si>
    <t>씨＇기고 이＇따/씨＇긴다</t>
  </si>
  <si>
    <t>시킨다구</t>
  </si>
  <si>
    <t>씨긴다/씨킨다</t>
  </si>
  <si>
    <t>무를 씨키구 이따</t>
  </si>
  <si>
    <t>무를 씨긴다</t>
  </si>
  <si>
    <t>시킨다</t>
  </si>
  <si>
    <t>32229-0-2</t>
  </si>
  <si>
    <t>씨＇게사/씨＇게 가＇주 마시자./씨＇게따/씨＇게라/씨＇게(식혀)/감재＇르 씨＇게사 멍는다.</t>
  </si>
  <si>
    <t>시케서 머그라구/시켜 머거</t>
  </si>
  <si>
    <t>씨게서 머거야</t>
  </si>
  <si>
    <t>씨켜라</t>
  </si>
  <si>
    <t>씨겨서 머거라</t>
  </si>
  <si>
    <t>시켜라</t>
  </si>
  <si>
    <t>매-(草)</t>
  </si>
  <si>
    <t>32230-0-1</t>
  </si>
  <si>
    <t>바＇틀 맨다＇/매고＇</t>
  </si>
  <si>
    <t>맨다/논 맨다구/반 맨다 그래/풀 매넝 거</t>
  </si>
  <si>
    <t>맨다</t>
  </si>
  <si>
    <t>맨다/지믈 매구 이따</t>
  </si>
  <si>
    <t>지:믈 맨다/매구이따</t>
  </si>
  <si>
    <t>32230-0-2</t>
  </si>
  <si>
    <t>매애＇라</t>
  </si>
  <si>
    <t>푸리 마느이까 매야지</t>
  </si>
  <si>
    <t>기믈 매:라</t>
  </si>
  <si>
    <t>빨리 지믈 매:라</t>
  </si>
  <si>
    <t>빨리 매:라</t>
  </si>
  <si>
    <t>매:-(結)</t>
  </si>
  <si>
    <t>32231-0-1</t>
  </si>
  <si>
    <t>매드＇블 매＇니/매＇애따/맨＇다/매＇고/매더＇라</t>
  </si>
  <si>
    <t>동고매능 거/꽁 매라구</t>
  </si>
  <si>
    <t>매:구이따/맨다</t>
  </si>
  <si>
    <t>시늘 매구 이따</t>
  </si>
  <si>
    <t>매:구</t>
  </si>
  <si>
    <t>32231-0-2</t>
  </si>
  <si>
    <t>매드＇블 매＇애라/매더＇라</t>
  </si>
  <si>
    <t>푸러지지 앙케 잘 매라 이래지 {풀어지지 않게 잘 매어라}/단다니 매:라/땡겨서 매라</t>
  </si>
  <si>
    <t>기냥 매:야된다</t>
  </si>
  <si>
    <t>뛰-(走)</t>
  </si>
  <si>
    <t>32232-0-1</t>
  </si>
  <si>
    <t>뛴＇다/뛰더＇라/뛰＇고 이따</t>
  </si>
  <si>
    <t>뛰넝 거/막 뛰능구나</t>
  </si>
  <si>
    <t>뛰고 이따/뛴다/뛰자/뛰고이따</t>
  </si>
  <si>
    <t>뛰구 이따/뛰기두 해구</t>
  </si>
  <si>
    <t>잘 뛴다/빨리 뛰구 이따</t>
  </si>
  <si>
    <t>뛴다구/뛰구이따</t>
  </si>
  <si>
    <t>32232-0-2</t>
  </si>
  <si>
    <t>뙤＇외 간다/주＇매개편 뛔＇에따/뛔＇에서/뛔＇에라</t>
  </si>
  <si>
    <t>뚜ㅕ:가능 거/빨리 뚜ㅕ:가라구/그패게두 뚜ㅕ:간다구/근:너 뛔따 이래구 머 {건너 뛰었다 그러고}</t>
  </si>
  <si>
    <t>열씨미 뛔야지/뛰야/뛰어가야 된다/뛰어가라/뛔:서 가가라/뛰어서가라/뛰:야 된다</t>
  </si>
  <si>
    <t>뚜ㅕ:가라</t>
  </si>
  <si>
    <t>빨리 뛔:라/뛔:간다</t>
  </si>
  <si>
    <t>뛔:서 다라나따</t>
  </si>
  <si>
    <t>담:-(盛)</t>
  </si>
  <si>
    <t>32233-0-1</t>
  </si>
  <si>
    <t>다앙＇꼬/다＇무니</t>
  </si>
  <si>
    <t>다므라구</t>
  </si>
  <si>
    <t>다무니까 넘친다/담:꼬이따/담:는다</t>
  </si>
  <si>
    <t>바구니다 담:꾸 이따</t>
  </si>
  <si>
    <t>당:꼬 이따</t>
  </si>
  <si>
    <t>담:꾸</t>
  </si>
  <si>
    <t>32233-0-2</t>
  </si>
  <si>
    <t>다＇마라/다＇마사</t>
  </si>
  <si>
    <t>다머/다머라/무럴 찌거 다머서 {물을 찍어 담아서}</t>
  </si>
  <si>
    <t>다머야 된다</t>
  </si>
  <si>
    <t>다머따</t>
  </si>
  <si>
    <t>다머라</t>
  </si>
  <si>
    <t>다머따구두 허구</t>
  </si>
  <si>
    <t>가렵-(癢)</t>
  </si>
  <si>
    <t>32234-0-1</t>
  </si>
  <si>
    <t>개＇룹꼬/개＇룹따/개＇룹따라/개＇루니</t>
  </si>
  <si>
    <t>개럽찌/가려우니까 등어릴 막 비비네 이래먼 돼</t>
  </si>
  <si>
    <t>개룹따</t>
  </si>
  <si>
    <t>머긴 깨밀머너 가렵따구 {모기는 깨물면 가렵다고}/개릅따</t>
  </si>
  <si>
    <t>개릅따</t>
  </si>
  <si>
    <t>개룹따구/개루꾸 아푸구</t>
  </si>
  <si>
    <t>32234-0-2</t>
  </si>
  <si>
    <t>개＇롸아/개＇롸사</t>
  </si>
  <si>
    <t>개러워</t>
  </si>
  <si>
    <t>개루워서 시타</t>
  </si>
  <si>
    <t>다머라/개르워</t>
  </si>
  <si>
    <t>개루워서 아푸다/개루워 끌거따</t>
  </si>
  <si>
    <t>개루워서/자꾸 개루워서</t>
  </si>
  <si>
    <t>때리-(打)</t>
  </si>
  <si>
    <t>32235-0-1</t>
  </si>
  <si>
    <t>때＇리더라/때＇리고/때＇리니/때＇린다</t>
  </si>
  <si>
    <t>개룽: 거/때린다구/때리넝 거/때리지/매 때린다구/작때기로두 때리고/몽데~이로 때린다</t>
  </si>
  <si>
    <t>때린다</t>
  </si>
  <si>
    <t>때린다/때리구이따</t>
  </si>
  <si>
    <t>32235-0-2</t>
  </si>
  <si>
    <t>때＇레라</t>
  </si>
  <si>
    <t>여기 이리 때레야지 낭글/물거늘 막 때려 부시능 거</t>
  </si>
  <si>
    <t>때레야 마를 잘든는다</t>
  </si>
  <si>
    <t>때려야 된다</t>
  </si>
  <si>
    <t>때려따</t>
  </si>
  <si>
    <t>때레서 아푸다</t>
  </si>
  <si>
    <t>어둡-(暗)</t>
  </si>
  <si>
    <t>32236-0-1</t>
  </si>
  <si>
    <t>어＇둡따</t>
  </si>
  <si>
    <t>어둡따구/이제 나리 어둠네 이레 {이제 날이 어둡네 이래}/누니 어둡따구</t>
  </si>
  <si>
    <t>어둡따</t>
  </si>
  <si>
    <t>어둡지요</t>
  </si>
  <si>
    <t>32236-0-2</t>
  </si>
  <si>
    <t>어＇두와사 암 보인다</t>
  </si>
  <si>
    <t>어두워/늘그니 잘몯 뀌자너 어두워서</t>
  </si>
  <si>
    <t>어두워서</t>
  </si>
  <si>
    <t>어두워서 가지 모타니</t>
  </si>
  <si>
    <t>잡-(執)</t>
  </si>
  <si>
    <t>32237-0-1</t>
  </si>
  <si>
    <t>자＇부니/잡따＇라/잡＇꼬 이따/자＇부면/잠는＇다</t>
  </si>
  <si>
    <t>개:미를 자버/맨 끄츨 자브라 그래야/자브라구</t>
  </si>
  <si>
    <t>잠는다/잡꼬이따</t>
  </si>
  <si>
    <t>잠는다/잡꾸 이따</t>
  </si>
  <si>
    <t>잡찌 마라/자끼위애서/잡떠라/자꼬이따/살쩍 잠는다</t>
  </si>
  <si>
    <t>잡짜/잠는다구</t>
  </si>
  <si>
    <t>32237-0-2</t>
  </si>
  <si>
    <t>예, 자＇바따</t>
  </si>
  <si>
    <t>호:랭이가 날 자바 머글라 그래네./자버</t>
  </si>
  <si>
    <t>자바야된다</t>
  </si>
  <si>
    <t>자버따</t>
  </si>
  <si>
    <t>자바라/자버라/자버따</t>
  </si>
  <si>
    <t>자버라</t>
  </si>
  <si>
    <t>차-(蹴)</t>
  </si>
  <si>
    <t>32238-0-1</t>
  </si>
  <si>
    <t>공＇을 참미＇다/찰쑤＇루 조타/차게＇씀미다</t>
  </si>
  <si>
    <t>차네/찬다구(공을)</t>
  </si>
  <si>
    <t>찬다/차고이따</t>
  </si>
  <si>
    <t>차구 이따/찬다구래</t>
  </si>
  <si>
    <t>차고이따</t>
  </si>
  <si>
    <t>차구</t>
  </si>
  <si>
    <t>32238-0-2</t>
  </si>
  <si>
    <t>차:라＇(+공을)/공＇을 차도＇ 조타/공 이쪼＇그로 차라＇</t>
  </si>
  <si>
    <t>이쪼그루 차라</t>
  </si>
  <si>
    <t>차야된다</t>
  </si>
  <si>
    <t>차라/자버라</t>
  </si>
  <si>
    <t>차따</t>
  </si>
  <si>
    <t>모자라-(不足)</t>
  </si>
  <si>
    <t>32239-0-1</t>
  </si>
  <si>
    <t>모오＇재린다/모재리＇인다/모재린＇다 모재레</t>
  </si>
  <si>
    <t>저지 모잘르지/조끔 모자른다 그래지/도:니 모자르는데/하나가 모자르지/모:자르먼/모:자르니까</t>
  </si>
  <si>
    <t>하나이 모:자란다/모재린다</t>
  </si>
  <si>
    <t>모잘르는데/모자르지/모잘르지</t>
  </si>
  <si>
    <t>모:재린다</t>
  </si>
  <si>
    <t>모:자르구/모:자르지요</t>
  </si>
  <si>
    <t>32239-0-2</t>
  </si>
  <si>
    <t>모재레＇/모재레＇에가주고</t>
  </si>
  <si>
    <t>저지 모잘러서/모:잘러/재:가 모잘라유 그래가주 저래구 댕게요</t>
  </si>
  <si>
    <t>모:재레서 실타</t>
  </si>
  <si>
    <t>모잘러서</t>
  </si>
  <si>
    <t>모:잴레서</t>
  </si>
  <si>
    <t>모:잘라서</t>
  </si>
  <si>
    <t>부르-(呼)</t>
  </si>
  <si>
    <t>32240-0-1</t>
  </si>
  <si>
    <t>부룬＇다/부루＇더라/부루＇니/부루＇고</t>
  </si>
  <si>
    <t>성이 되먼 형이라고 불르고/노래 부른다/우리가 불르길 잘몯</t>
  </si>
  <si>
    <t>부루고이따/부루고 이따/불르고 이따/부룬다</t>
  </si>
  <si>
    <t>노래를 잘 불른다/부른다</t>
  </si>
  <si>
    <t>부른다/부르니 기부니 조타</t>
  </si>
  <si>
    <t>부룬다구 허구</t>
  </si>
  <si>
    <t>32240-0-2</t>
  </si>
  <si>
    <t>불＇러따</t>
  </si>
  <si>
    <t>잘 불러라/잘몯 뿔러서 그러치 {우리가 부르기를 잘못 불러서 그렇지}</t>
  </si>
  <si>
    <t>불러서/불러야</t>
  </si>
  <si>
    <t>불러서/잘 불러야</t>
  </si>
  <si>
    <t>빨리 불러라</t>
  </si>
  <si>
    <t>불러라</t>
  </si>
  <si>
    <t>따르-(注)</t>
  </si>
  <si>
    <t>32241-0-1</t>
  </si>
  <si>
    <t>때루＇운다/때루＇우고 이따/따루＇운다는 거슨 병＇/부운＇는 거슨 따루＇운다하거든뇨/따루＇운다 하＇고/따룬＇능 거꽈/따룬＇능게 아~이＇고 찌루＇씀미다</t>
  </si>
  <si>
    <t>따룬다/이르멀 불르지 그냥 이르믈 불러/따루능 거</t>
  </si>
  <si>
    <t>따룬다</t>
  </si>
  <si>
    <t>딸쿠지/딸쿤다구</t>
  </si>
  <si>
    <t>딸쿤다</t>
  </si>
  <si>
    <t>따룬다구/따루구</t>
  </si>
  <si>
    <t>32241-0-2</t>
  </si>
  <si>
    <t>때라＇아라</t>
  </si>
  <si>
    <t>수럴 따뤄/따뤄도 되고/이르멀 불르지 그냥 이르믈 불러/잘 따뤄라</t>
  </si>
  <si>
    <t>따롸야된다</t>
  </si>
  <si>
    <t>딸꿔따구</t>
  </si>
  <si>
    <t>딸쿼라</t>
  </si>
  <si>
    <t>잘 따뤄라</t>
  </si>
  <si>
    <t>쪼:-(啄)</t>
  </si>
  <si>
    <t>32242-0-1</t>
  </si>
  <si>
    <t>쪼오＇꼬 이따/쪼온＇는다(+땅을)/모이＇를 쪼온＇는다</t>
  </si>
  <si>
    <t>쫀다구</t>
  </si>
  <si>
    <t>쫀다/쪼쿠/모글 쫀:는다</t>
  </si>
  <si>
    <t>쫀는다/모이를 쪼꾸 이따</t>
  </si>
  <si>
    <t>쫀:는다</t>
  </si>
  <si>
    <t>쫀는다/쪼쿠</t>
  </si>
  <si>
    <t>32242-0-2</t>
  </si>
  <si>
    <t>쫘＇아라/쫘＇아 멍는다</t>
  </si>
  <si>
    <t>쫘: 멍는다구</t>
  </si>
  <si>
    <t>쫘:머꾸이따</t>
  </si>
  <si>
    <t>쫘:멍는다</t>
  </si>
  <si>
    <t>쫘:머꼬 이따/쫘:멍는다</t>
  </si>
  <si>
    <t>두-(置)</t>
  </si>
  <si>
    <t>32243-0-1</t>
  </si>
  <si>
    <t>두＇며는/놔＇아 둠미＇다/두게＇씀미다/둘＇쑤록 조오＇타/두＇니까/두다＇라/두＇고 이따</t>
  </si>
  <si>
    <t>잘 둔다</t>
  </si>
  <si>
    <t>두고이따</t>
  </si>
  <si>
    <t>두지 마라</t>
  </si>
  <si>
    <t>두지마라</t>
  </si>
  <si>
    <t>둔다구두 허구</t>
  </si>
  <si>
    <t>32243-0-2</t>
  </si>
  <si>
    <t>돠아＇따/돠라＇/돠아＇사/돠씀＇미다/돠아＇라</t>
  </si>
  <si>
    <t>도:널 얻따 둰는지/거기 놔 둬:라/놔: 둬:따구 {놔 두었다고}</t>
  </si>
  <si>
    <t>두어라/놔:둬:라</t>
  </si>
  <si>
    <t>둬라</t>
  </si>
  <si>
    <t>채글 둬:라</t>
  </si>
  <si>
    <t>둬:라</t>
  </si>
  <si>
    <t>시키(使)</t>
  </si>
  <si>
    <t>32244-0-1</t>
  </si>
  <si>
    <t>씨＇긴다/씨＇긴다(일을 강제로)</t>
  </si>
  <si>
    <t>잘 씨기넝 거/이부로 심:부름 씨기능 거/그래먼 모씨기지 {그러면 못 시키지}/꾀럴 부려서 이럴 모씨긴다 구래지 {꾀를 부려서 일을 못 시킨다 그러지}</t>
  </si>
  <si>
    <t>씨긴다/시키고이따/시킨다</t>
  </si>
  <si>
    <t>씨기능걸/씨긴대능거</t>
  </si>
  <si>
    <t>씨기더라/심부름 씨긴다</t>
  </si>
  <si>
    <t>강:제로 시키고</t>
  </si>
  <si>
    <t>32244-0-2</t>
  </si>
  <si>
    <t>씨＇게라</t>
  </si>
  <si>
    <t>얘는 우리 크나더린데 겨론 씨게따 그래지</t>
  </si>
  <si>
    <t>씨케라/심:부르믈 시케따</t>
  </si>
  <si>
    <t>씨겨야 조타</t>
  </si>
  <si>
    <t>잘 씨겨라</t>
  </si>
  <si>
    <t>시켜써여/강:제로 시켜따</t>
  </si>
  <si>
    <t>지리-(漏, 오줌을 ~)</t>
  </si>
  <si>
    <t>자랑 씨긴다 그래</t>
  </si>
  <si>
    <t>32245-0-1</t>
  </si>
  <si>
    <t>오줌 질기＇고 이따/질긴＇다/오줌＇ 제긴＇다/오줌 질긴＇다</t>
  </si>
  <si>
    <t>지리네/잘굼잘굼 지린다구</t>
  </si>
  <si>
    <t>제린다</t>
  </si>
  <si>
    <t>지리다</t>
  </si>
  <si>
    <t>질군다는/질구문 안된다</t>
  </si>
  <si>
    <t>오주믈 제리구/오주믈 제린다</t>
  </si>
  <si>
    <t>32245-0-2</t>
  </si>
  <si>
    <t>오주＇믈 제＇게사/오줌 질게＇따</t>
  </si>
  <si>
    <t>지려서</t>
  </si>
  <si>
    <t>제레선 안된다</t>
  </si>
  <si>
    <t>지려서 실타</t>
  </si>
  <si>
    <t>질궈선</t>
  </si>
  <si>
    <t>제레서/제레따</t>
  </si>
  <si>
    <t>던지-(投)</t>
  </si>
  <si>
    <t>32246-0-1</t>
  </si>
  <si>
    <t>떤＇진다/떤＇지니/떤＇지더라</t>
  </si>
  <si>
    <t>던지네</t>
  </si>
  <si>
    <t>던진다/던지고 이따</t>
  </si>
  <si>
    <t>던지구 이따</t>
  </si>
  <si>
    <t>던진다/떤진다</t>
  </si>
  <si>
    <t>던지지마라</t>
  </si>
  <si>
    <t>32246-0-2</t>
  </si>
  <si>
    <t>떤＇제따</t>
  </si>
  <si>
    <t>던저라</t>
  </si>
  <si>
    <t>던저두 된다/던저따/던저야/던저야된다/던저선</t>
  </si>
  <si>
    <t>던저따/던저라</t>
  </si>
  <si>
    <t>던제따</t>
  </si>
  <si>
    <t>모이-(集)</t>
  </si>
  <si>
    <t>32247-0-1</t>
  </si>
  <si>
    <t>모이＇고/모이＇더라/모이＇니</t>
  </si>
  <si>
    <t>이러케 모이자너/가서 모이먼 다 모여</t>
  </si>
  <si>
    <t>모인다/모이고 이따라</t>
  </si>
  <si>
    <t>모인다/모이능걸/한쪼그로 모인다</t>
  </si>
  <si>
    <t>항고스로 모인다</t>
  </si>
  <si>
    <t>모이기두 허구/모인다</t>
  </si>
  <si>
    <t>32247-0-2</t>
  </si>
  <si>
    <t>모예＇따/가아＇리 마＇:~이 모예＇따라/모예＇ 오고 이＇따</t>
  </si>
  <si>
    <t>모여/모여서 안는다구/가서 모이먼 다 모여</t>
  </si>
  <si>
    <t>마:니 모예서/모예떠라</t>
  </si>
  <si>
    <t>모여서 멍는다</t>
  </si>
  <si>
    <t>모여라</t>
  </si>
  <si>
    <t>모예라/모여라</t>
  </si>
  <si>
    <t>32248-0-1</t>
  </si>
  <si>
    <t>만지고/만＇진다</t>
  </si>
  <si>
    <t>만진다/피부가 하두 고:와서 만지고 심네</t>
  </si>
  <si>
    <t>만지고 이따/맨진다/맨지고이따</t>
  </si>
  <si>
    <t>맨지구 이따/맨진다</t>
  </si>
  <si>
    <t>만친다</t>
  </si>
  <si>
    <t>맨지지마라</t>
  </si>
  <si>
    <t>32248-0-2</t>
  </si>
  <si>
    <t>만＇제사</t>
  </si>
  <si>
    <t>왜 무루플 다 만저</t>
  </si>
  <si>
    <t>만제선/맨저두 조타</t>
  </si>
  <si>
    <t>맨저따</t>
  </si>
  <si>
    <t>만처라</t>
  </si>
  <si>
    <t>맨저서</t>
  </si>
  <si>
    <t>32249-0-1</t>
  </si>
  <si>
    <t>쬐＇외고 이따/쬐＇외다라/쬐＇외니</t>
  </si>
  <si>
    <t>쬐이네/쪼인다구/쬐:먼</t>
  </si>
  <si>
    <t>쬐:고이따</t>
  </si>
  <si>
    <t>찐다/내려찐다</t>
  </si>
  <si>
    <t>찌운다</t>
  </si>
  <si>
    <t>쬔:다/쬐:고</t>
  </si>
  <si>
    <t>32249-0-2</t>
  </si>
  <si>
    <t>쬐＇외따</t>
  </si>
  <si>
    <t>내려 쪼여</t>
  </si>
  <si>
    <t>쬐:야 된다</t>
  </si>
  <si>
    <t>내리쩌서 따굽따</t>
  </si>
  <si>
    <t>찌워서 실타</t>
  </si>
  <si>
    <t>쫴:라</t>
  </si>
  <si>
    <t>비틀-(捻)</t>
  </si>
  <si>
    <t>32250-0-1</t>
  </si>
  <si>
    <t>비::비 트다＇라/틀고＇/트니＇/튼다＇/비트니＇/비틀고＇</t>
  </si>
  <si>
    <t>비:틀구이따</t>
  </si>
  <si>
    <t>비:트능거/비:틀믄/비:틀구 이따/비:튼다</t>
  </si>
  <si>
    <t>삐:튼다</t>
  </si>
  <si>
    <t>비:튼다</t>
  </si>
  <si>
    <t>32250-0-2</t>
  </si>
  <si>
    <t>트라＇사/비트라＇사</t>
  </si>
  <si>
    <t>비트러 이래</t>
  </si>
  <si>
    <t>비:트러선 안된다</t>
  </si>
  <si>
    <t>비:트러/비:트러라</t>
  </si>
  <si>
    <t>삐:트러라</t>
  </si>
  <si>
    <t>돕:-(助)</t>
  </si>
  <si>
    <t>32251-0-1</t>
  </si>
  <si>
    <t>돔＇:는다/도오＇꼬 이따</t>
  </si>
  <si>
    <t>도우머서 사러야지/그게 돔:능 거여</t>
  </si>
  <si>
    <t>도:꼬 이따/돔:는다/도:꾸이따</t>
  </si>
  <si>
    <t>도:꾸 사능거지</t>
  </si>
  <si>
    <t>도:꼬/도운다</t>
  </si>
  <si>
    <t>32251-0-2</t>
  </si>
  <si>
    <t>도＇우니/도＇와준다</t>
  </si>
  <si>
    <t>비:튼다/서로 도와줘야지/서로 도와준다구</t>
  </si>
  <si>
    <t>도워주고이따/도워야/도:와야 된다</t>
  </si>
  <si>
    <t>도와줘라</t>
  </si>
  <si>
    <t>도워라/도워준다</t>
  </si>
  <si>
    <t>도와주구/도와줘:라</t>
  </si>
  <si>
    <t>씹-(咀)</t>
  </si>
  <si>
    <t>32252-0-1</t>
  </si>
  <si>
    <t>씹＇꼬 이따/씹따＇라/씸는＇다/씨＇부니</t>
  </si>
  <si>
    <t>껌 씸능 거/꺼멀 재 꺼멀 다 씸네/끄믈 떼서 씸능구나</t>
  </si>
  <si>
    <t>씹:꼬이따/씨부믄 안된다/씸:는다</t>
  </si>
  <si>
    <t>씨꾸 이따</t>
  </si>
  <si>
    <t>씸는다</t>
  </si>
  <si>
    <t>씹찌마라/씸는다</t>
  </si>
  <si>
    <t>32252-0-2</t>
  </si>
  <si>
    <t>씨＇바라</t>
  </si>
  <si>
    <t>씨버</t>
  </si>
  <si>
    <t>씨버야된다</t>
  </si>
  <si>
    <t>씨버라/씨버따</t>
  </si>
  <si>
    <t>씨버라</t>
  </si>
  <si>
    <t>미끄럽-(滑)</t>
  </si>
  <si>
    <t>32253-0-1</t>
  </si>
  <si>
    <t>미끄＇룹따/미꾸＇루꼬</t>
  </si>
  <si>
    <t>미끼럽따구</t>
  </si>
  <si>
    <t>미끄럽따</t>
  </si>
  <si>
    <t>미끼럽따/미끄릅따</t>
  </si>
  <si>
    <t>미끼릅찌요</t>
  </si>
  <si>
    <t>32253-0-2</t>
  </si>
  <si>
    <t>미꾸＇롸사</t>
  </si>
  <si>
    <t>미끄러워서 너머진다</t>
  </si>
  <si>
    <t>미끄러워서</t>
  </si>
  <si>
    <t>미끄러워서 걸끼 힘들다</t>
  </si>
  <si>
    <t>미끼러워서</t>
  </si>
  <si>
    <t>닿-(接)</t>
  </si>
  <si>
    <t>32254-0-1</t>
  </si>
  <si>
    <t>다＇꼬/다＇으니/다안＇는다</t>
  </si>
  <si>
    <t>단는다구/이게 다:먼 아주 때거워/다찔 모탄다 그래 {닿지를 못한다}/단:네</t>
  </si>
  <si>
    <t>단는다/다코이따</t>
  </si>
  <si>
    <t>단:는다</t>
  </si>
  <si>
    <t>제:워 단는다</t>
  </si>
  <si>
    <t>다:쿠</t>
  </si>
  <si>
    <t>32254-0-2</t>
  </si>
  <si>
    <t>다＇아따 다＇으니</t>
  </si>
  <si>
    <t>다아따</t>
  </si>
  <si>
    <t>다:따/지러서 다:따</t>
  </si>
  <si>
    <t>다:따</t>
  </si>
  <si>
    <t>누르-(壓)</t>
  </si>
  <si>
    <t>32255-0-1</t>
  </si>
  <si>
    <t>누＇룬다(부저를)/누＇루고/누울＇렌다/누울＇레고 이＇따/누＇루고 이따/누룬＇다</t>
  </si>
  <si>
    <t>눌:른다구/꿍 눌루네/단추 누르넝 거 {단추 누르는 거}/눌:룬다구/찔러가주 눌:루자너</t>
  </si>
  <si>
    <t>눌:루고이따</t>
  </si>
  <si>
    <t>눌:루구 이따</t>
  </si>
  <si>
    <t>누른다</t>
  </si>
  <si>
    <t>누루지 마라/누루구</t>
  </si>
  <si>
    <t>32255-0-2</t>
  </si>
  <si>
    <t>누울＇레라</t>
  </si>
  <si>
    <t>꿍 눌:러떠~이 개:미가 주건네 {꾹 눌렀더니 개미가 죽었네}/눌:러떠니 {눌렀더니}/눌:러서</t>
  </si>
  <si>
    <t>눌:러따</t>
  </si>
  <si>
    <t>눌:러따/눌:루먼</t>
  </si>
  <si>
    <t>눌러라</t>
  </si>
  <si>
    <t>눌:러선 안된다/눌:러따</t>
  </si>
  <si>
    <t>주무르-(揉)</t>
  </si>
  <si>
    <t>32256-0-1</t>
  </si>
  <si>
    <t>쭈물＇군다</t>
  </si>
  <si>
    <t>주물른다</t>
  </si>
  <si>
    <t>주물루고이따/주물르고 이따</t>
  </si>
  <si>
    <t>주물른다 맨저본다/너무 주물르지 마러</t>
  </si>
  <si>
    <t>주무루고/주무른다</t>
  </si>
  <si>
    <t>주무루구</t>
  </si>
  <si>
    <t>32256-0-2</t>
  </si>
  <si>
    <t>쭈물＇과라</t>
  </si>
  <si>
    <t>주물러야겐네</t>
  </si>
  <si>
    <t>주물러야된다</t>
  </si>
  <si>
    <t>잘 주물러 줘라/주물러따</t>
  </si>
  <si>
    <t>주물러</t>
  </si>
  <si>
    <t>주물러라</t>
  </si>
  <si>
    <t>메우-(塡)</t>
  </si>
  <si>
    <t>32257-0-1</t>
  </si>
  <si>
    <t>메＇쿤다/메＇운다</t>
  </si>
  <si>
    <t>다리가 아푸다 다리 좀 주물러 다고</t>
  </si>
  <si>
    <t>메운다</t>
  </si>
  <si>
    <t>구멍을 메우거라/메우고 이따</t>
  </si>
  <si>
    <t>메우구 이따</t>
  </si>
  <si>
    <t>32257-0-2</t>
  </si>
  <si>
    <t>메＇콰라</t>
  </si>
  <si>
    <t>메워</t>
  </si>
  <si>
    <t>메워야 된다</t>
  </si>
  <si>
    <t>메워라</t>
  </si>
  <si>
    <t>메워꾸/메워라</t>
  </si>
  <si>
    <t>고소하-(香味)</t>
  </si>
  <si>
    <t>32258-0-1</t>
  </si>
  <si>
    <t>꼬시＇다</t>
  </si>
  <si>
    <t>고숩따구/고시다 그래/고숩찌</t>
  </si>
  <si>
    <t>참깨 고숩찌</t>
  </si>
  <si>
    <t>참깨는 고숩찌/고숭:건/고소해다</t>
  </si>
  <si>
    <t>고시다/고소하다</t>
  </si>
  <si>
    <t>고수허다</t>
  </si>
  <si>
    <t>32258-0-2</t>
  </si>
  <si>
    <t>꼬세＇사</t>
  </si>
  <si>
    <t>고수워/아이 고셔</t>
  </si>
  <si>
    <t>고수워서 머끼 조타</t>
  </si>
  <si>
    <t>고수워서 마시따/고셔서</t>
  </si>
  <si>
    <t>고세서/고소해서</t>
  </si>
  <si>
    <t>고수해:서 마시따</t>
  </si>
  <si>
    <t>내리-(降)</t>
  </si>
  <si>
    <t>32259-0-1</t>
  </si>
  <si>
    <t>네＇린다/네＇리고 이따</t>
  </si>
  <si>
    <t>내리넝 거</t>
  </si>
  <si>
    <t>네리고이따/네린다</t>
  </si>
  <si>
    <t>내리구 이따</t>
  </si>
  <si>
    <t>네린다</t>
  </si>
  <si>
    <t>내린다</t>
  </si>
  <si>
    <t>32259-0-2</t>
  </si>
  <si>
    <t>네＇레라</t>
  </si>
  <si>
    <t>난 뽀쓰에서 시방 내련네</t>
  </si>
  <si>
    <t>네레야된다</t>
  </si>
  <si>
    <t>내려따</t>
  </si>
  <si>
    <t>네레서</t>
  </si>
  <si>
    <t>내레라</t>
  </si>
  <si>
    <t>구르-(轉)</t>
  </si>
  <si>
    <t>32260-0-1</t>
  </si>
  <si>
    <t>꾸불＇고 이따/꾸분＇다/꾸부＇니</t>
  </si>
  <si>
    <t>굴:른다/굴:르자너</t>
  </si>
  <si>
    <t>굴:고이따/구:니까 위엄하다</t>
  </si>
  <si>
    <t>굴:리구 이따</t>
  </si>
  <si>
    <t>군:다/굴:고</t>
  </si>
  <si>
    <t>구루구이따</t>
  </si>
  <si>
    <t>32260-0-2</t>
  </si>
  <si>
    <t>꾸부＇라 온다/꾸부＇라 간다</t>
  </si>
  <si>
    <t>짐 내린다구두 해구/굴:러</t>
  </si>
  <si>
    <t>구러서 네레간다</t>
  </si>
  <si>
    <t>굴:러가니까 굴:렁새/굴:려따/굴:러 간다</t>
  </si>
  <si>
    <t>구:러서/구:러서 {굴러서}</t>
  </si>
  <si>
    <t>굴:러간다</t>
  </si>
  <si>
    <t>만들-(作)</t>
  </si>
  <si>
    <t>32261-0-1</t>
  </si>
  <si>
    <t>만든다/만든＇다</t>
  </si>
  <si>
    <t>오슬 맨드르느라구/그건 낭구루 맨들구/멍석뚜 맨들구/돼:지털루 맨드릉 거또</t>
  </si>
  <si>
    <t>인형을 맨든다/맨들고이따</t>
  </si>
  <si>
    <t>소멍도 맹길구/쌀루 맹긴다</t>
  </si>
  <si>
    <t>낭글 맨드런는데/맨들구이따/광이도 맹글고 호매~이도 맹글고</t>
  </si>
  <si>
    <t>맨든다구</t>
  </si>
  <si>
    <t>32261-0-2</t>
  </si>
  <si>
    <t>만드＇러서</t>
  </si>
  <si>
    <t>새:꼬래~이로 해 맨드러서 {새끼로 해 만들어서}</t>
  </si>
  <si>
    <t>맨드러야된다</t>
  </si>
  <si>
    <t>맹기러따</t>
  </si>
  <si>
    <t>이:뿌게 맨드러따/맨드러라/이러케 맹그러서</t>
  </si>
  <si>
    <t>잘 맨드러라</t>
  </si>
  <si>
    <t>늙-(老)</t>
  </si>
  <si>
    <t>32262-0-1</t>
  </si>
  <si>
    <t>늘른＇다/늘＇꼬 이따</t>
  </si>
  <si>
    <t>능는다/늑떠라/늘그니까/늘꾸/늑찌마라/늑찌 안는다/늘꾸이따/늘그니 {늙으니}</t>
  </si>
  <si>
    <t>나도 늑꼬</t>
  </si>
  <si>
    <t>늘른다/늘꼬</t>
  </si>
  <si>
    <t>느꾸/능는다</t>
  </si>
  <si>
    <t>32262-0-2</t>
  </si>
  <si>
    <t>늘＇가사는 안된다</t>
  </si>
  <si>
    <t>모미 늘거서</t>
  </si>
  <si>
    <t>늘거간다/늘거선 안된다</t>
  </si>
  <si>
    <t>늘거따</t>
  </si>
  <si>
    <t>점점 늘거서</t>
  </si>
  <si>
    <t>늘거서 보기가</t>
  </si>
  <si>
    <t>앓-(病)</t>
  </si>
  <si>
    <t>32263-0-1</t>
  </si>
  <si>
    <t>벼엉＇을 알른＇다</t>
  </si>
  <si>
    <t>알런다/모미 아퍼서 알런 거 아르구 이써/생인손 알렁구나/생인손 알런다</t>
  </si>
  <si>
    <t>알코이따</t>
  </si>
  <si>
    <t>알코</t>
  </si>
  <si>
    <t>끙끙 알른다/끙끙 알쿠</t>
  </si>
  <si>
    <t>32263-0-2</t>
  </si>
  <si>
    <t>아＇라서는 안된다</t>
  </si>
  <si>
    <t>알러서 {앓아서}</t>
  </si>
  <si>
    <t>병:을 아러선 안된다/아러서</t>
  </si>
  <si>
    <t>나도 아러따</t>
  </si>
  <si>
    <t>아러따</t>
  </si>
  <si>
    <t>아라서</t>
  </si>
  <si>
    <t>따르-(隨)</t>
  </si>
  <si>
    <t>32264-0-1</t>
  </si>
  <si>
    <t>딸＇코이따/딸른＇다(+할머니)</t>
  </si>
  <si>
    <t>딸코이따(+소)/따르고이지(+다)/달코이써</t>
  </si>
  <si>
    <t>따른다/쥐:늘 잘 따른다</t>
  </si>
  <si>
    <t>딸:코/딸:른다</t>
  </si>
  <si>
    <t>따른다구/잘 따르고</t>
  </si>
  <si>
    <t>32264-0-2</t>
  </si>
  <si>
    <t>잘:: 따＇라라</t>
  </si>
  <si>
    <t>따러 오자너</t>
  </si>
  <si>
    <t>따라야 한다</t>
  </si>
  <si>
    <t>따러야</t>
  </si>
  <si>
    <t>잘 따러라</t>
  </si>
  <si>
    <t>잘 따라라</t>
  </si>
  <si>
    <t>사-(買)</t>
  </si>
  <si>
    <t>32265-0-1</t>
  </si>
  <si>
    <t>산＇다/사＇고/사＇니까/사개＇씀미다/사다＇라/사＇면/사＇고 이따/삼미＇다/사＇무 조오＇타/살＇쑤로 조오＇타</t>
  </si>
  <si>
    <t>사능 거/사구</t>
  </si>
  <si>
    <t>사고이따/산다</t>
  </si>
  <si>
    <t>사고</t>
  </si>
  <si>
    <t>산다</t>
  </si>
  <si>
    <t>사구</t>
  </si>
  <si>
    <t>32265-0-2</t>
  </si>
  <si>
    <t>사씀＇미다/사＇라/사따＇/사아＇라</t>
  </si>
  <si>
    <t>다시 사야 하겐네/물거늘 사가주구서</t>
  </si>
  <si>
    <t>사야된다</t>
  </si>
  <si>
    <t>사따</t>
  </si>
  <si>
    <t>물겨늘 사라</t>
  </si>
  <si>
    <t>치우-(除)</t>
  </si>
  <si>
    <t>32266-0-1</t>
  </si>
  <si>
    <t>치＇우고 이따</t>
  </si>
  <si>
    <t>얘 거 치우지 말고 거기 놔 둬/치우지 말:라구/치우구 씰라구</t>
  </si>
  <si>
    <t>치우구이따</t>
  </si>
  <si>
    <t>치우구 이따</t>
  </si>
  <si>
    <t>치우구</t>
  </si>
  <si>
    <t>32266-0-2</t>
  </si>
  <si>
    <t>치＇와라</t>
  </si>
  <si>
    <t>치워라/그러뫄 치워라</t>
  </si>
  <si>
    <t>치워야된다</t>
  </si>
  <si>
    <t>치워라</t>
  </si>
  <si>
    <t>부러지-(被折)</t>
  </si>
  <si>
    <t>32267-0-1</t>
  </si>
  <si>
    <t>뿌＇러진다</t>
  </si>
  <si>
    <t>부러진다</t>
  </si>
  <si>
    <t>부러지고/부러지니까 아푸다</t>
  </si>
  <si>
    <t>불거지고</t>
  </si>
  <si>
    <t>부러지고</t>
  </si>
  <si>
    <t>부러지구</t>
  </si>
  <si>
    <t>32267-0-2</t>
  </si>
  <si>
    <t>뿌＇러저따</t>
  </si>
  <si>
    <t>부러저따</t>
  </si>
  <si>
    <t>부러저따/불거저서 아푸다/나도 불거저따</t>
  </si>
  <si>
    <t>다치-(傷)</t>
  </si>
  <si>
    <t>32268-0-1</t>
  </si>
  <si>
    <t>다＇치고</t>
  </si>
  <si>
    <t>다치진 아내 {다치진 않아}</t>
  </si>
  <si>
    <t>다치니까</t>
  </si>
  <si>
    <t>다치니깐 아푸다/다치구</t>
  </si>
  <si>
    <t>다치고</t>
  </si>
  <si>
    <t>다치구</t>
  </si>
  <si>
    <t>32268-0-2</t>
  </si>
  <si>
    <t>다＇체서는 안된다/다＇체따</t>
  </si>
  <si>
    <t>다천네 이래구 {다쳤네 이러고}/다처서</t>
  </si>
  <si>
    <t>다체따</t>
  </si>
  <si>
    <t>다처따</t>
  </si>
  <si>
    <t>느리-(緩)</t>
  </si>
  <si>
    <t>32269-0-1</t>
  </si>
  <si>
    <t>느＇리고/느＇리다라</t>
  </si>
  <si>
    <t>거부긴 느리다구</t>
  </si>
  <si>
    <t>느리다</t>
  </si>
  <si>
    <t>32269-0-2</t>
  </si>
  <si>
    <t>느＇레사</t>
  </si>
  <si>
    <t>느려</t>
  </si>
  <si>
    <t>느레서는 안된다</t>
  </si>
  <si>
    <t>느려간다</t>
  </si>
  <si>
    <t>느려서 실타</t>
  </si>
  <si>
    <t>느레서</t>
  </si>
  <si>
    <t>무치-(和, 나물을 ~)</t>
  </si>
  <si>
    <t>32270-0-1</t>
  </si>
  <si>
    <t>문＇친다/문＇치고/나무＇를 문＇친다</t>
  </si>
  <si>
    <t>지르믈 처가주 무치구/복떤지 무치던지/무친다구</t>
  </si>
  <si>
    <t>무친다/무치고이따</t>
  </si>
  <si>
    <t>무친다</t>
  </si>
  <si>
    <t>무치고/무친다</t>
  </si>
  <si>
    <t>32270-0-2</t>
  </si>
  <si>
    <t>문＇체라(+나물을)</t>
  </si>
  <si>
    <t>무처</t>
  </si>
  <si>
    <t>무체서/무체서 멍는다</t>
  </si>
  <si>
    <t>가루 무칭거지/무처 멍는다</t>
  </si>
  <si>
    <t>무처서</t>
  </si>
  <si>
    <t>무체서 멍는다</t>
  </si>
  <si>
    <t>죄:-(締)</t>
  </si>
  <si>
    <t>32271-0-1</t>
  </si>
  <si>
    <t>죄＇운다(+나사를)/나사＇르 죄＇운다 돌＇레사/나사＇를 죄＇우고 이따/조＇인다/나사＇를 죄＇운다</t>
  </si>
  <si>
    <t>조이라구/죄우라구</t>
  </si>
  <si>
    <t>죄우고이따</t>
  </si>
  <si>
    <t>나살 조이구 이따/조인다</t>
  </si>
  <si>
    <t>제운다</t>
  </si>
  <si>
    <t>조인다</t>
  </si>
  <si>
    <t>32271-0-2</t>
  </si>
  <si>
    <t>나사＇를 죄＇와라</t>
  </si>
  <si>
    <t>죄워/그냥 무체나 머꼬</t>
  </si>
  <si>
    <t>죄워야된다</t>
  </si>
  <si>
    <t>조여라</t>
  </si>
  <si>
    <t>제워라</t>
  </si>
  <si>
    <t>조예라</t>
  </si>
  <si>
    <t>팔-(賣)</t>
  </si>
  <si>
    <t>32272-0-1</t>
  </si>
  <si>
    <t>팔고＇ 이따/팜미＇다/판다＇/파다＇라/팔쑤＇로/팔개＇씀미다/파고＇ 이따/파니＇까</t>
  </si>
  <si>
    <t>팔장쿠/판다구/파능 거또 이꾸</t>
  </si>
  <si>
    <t>판다/팔기도하고/팔고이딴다</t>
  </si>
  <si>
    <t>팔구 이따/팔지 마라</t>
  </si>
  <si>
    <t>판다</t>
  </si>
  <si>
    <t>팔고</t>
  </si>
  <si>
    <t>32272-0-2</t>
  </si>
  <si>
    <t>파라＇라</t>
  </si>
  <si>
    <t>참낭글 구워서 파러 수짱사는</t>
  </si>
  <si>
    <t>파라야된다</t>
  </si>
  <si>
    <t>파러따</t>
  </si>
  <si>
    <t>파러라</t>
  </si>
  <si>
    <t>잘 파러라</t>
  </si>
  <si>
    <t>뽑-(選)</t>
  </si>
  <si>
    <t>32273-0-1</t>
  </si>
  <si>
    <t>뽐는＇다/뽑짜＇</t>
  </si>
  <si>
    <t>잘 뽐는다</t>
  </si>
  <si>
    <t>뽑꼬이다/모슬 뽐:는다</t>
  </si>
  <si>
    <t>뽐는다</t>
  </si>
  <si>
    <t>뽀버라/뽐는다</t>
  </si>
  <si>
    <t>뽑찌마라</t>
  </si>
  <si>
    <t>32273-0-2</t>
  </si>
  <si>
    <t>뽀바＇서/뽀바＇라</t>
  </si>
  <si>
    <t>잘 뽀버야해</t>
  </si>
  <si>
    <t>뽀바야</t>
  </si>
  <si>
    <t>잘 뽀바/뽀바라</t>
  </si>
  <si>
    <t>뽀버라</t>
  </si>
  <si>
    <t>뽀바따</t>
  </si>
  <si>
    <t>뒤지-(索)</t>
  </si>
  <si>
    <t>뒤＇진다</t>
  </si>
  <si>
    <t>32274-0-1</t>
  </si>
  <si>
    <t>두지지/뒤지지/뒤지구</t>
  </si>
  <si>
    <t>두진다/뒤지고 이따</t>
  </si>
  <si>
    <t>뒤:지 마러/뒤:머는/뒤:구 이따/뒨:다능게</t>
  </si>
  <si>
    <t>뒤지고 이따/뒤진다</t>
  </si>
  <si>
    <t>뒤진다</t>
  </si>
  <si>
    <t>32274-0-2</t>
  </si>
  <si>
    <t>뒤＇제떠라</t>
  </si>
  <si>
    <t>두저</t>
  </si>
  <si>
    <t>두제서 찬는다</t>
  </si>
  <si>
    <t>뒤어따</t>
  </si>
  <si>
    <t>뒤저선 안된다</t>
  </si>
  <si>
    <t>뒤제선 안된다</t>
  </si>
  <si>
    <t>마치(終)</t>
  </si>
  <si>
    <t>32275-0-1</t>
  </si>
  <si>
    <t>마＇치니/마＇친다</t>
  </si>
  <si>
    <t>수어블 마치능 거</t>
  </si>
  <si>
    <t>마친다/마치고 이따</t>
  </si>
  <si>
    <t>마치구 이따</t>
  </si>
  <si>
    <t>마치고</t>
  </si>
  <si>
    <t>다 마치구</t>
  </si>
  <si>
    <t>32275-0-2</t>
  </si>
  <si>
    <t>수＇어블 마＇체따/마＇체꼬</t>
  </si>
  <si>
    <t>다 마처씨니까</t>
  </si>
  <si>
    <t>마체따</t>
  </si>
  <si>
    <t>마처따</t>
  </si>
  <si>
    <t>절이-(鹽)</t>
  </si>
  <si>
    <t>32276-0-1</t>
  </si>
  <si>
    <t>제긴＇다(+소금에)/제기＇고 이따/제＇긴다/소구＇메 제＇린다</t>
  </si>
  <si>
    <t>절군다</t>
  </si>
  <si>
    <t>절구고 이따/저린다(+신)/절군다 그래지(+구)/절군다도 이꾸</t>
  </si>
  <si>
    <t>절군다구래자너/배:차도 다 절구지/절구자/저리구 이따</t>
  </si>
  <si>
    <t>저린다/제린다</t>
  </si>
  <si>
    <t>절귄다</t>
  </si>
  <si>
    <t>32276-0-2</t>
  </si>
  <si>
    <t>제＇게라/제게＇라</t>
  </si>
  <si>
    <t>배:차 제레가주구 {배추 절여가지고}/절궈</t>
  </si>
  <si>
    <t>절궈야 된다/저레야 된다</t>
  </si>
  <si>
    <t>절구능거/절궈서</t>
  </si>
  <si>
    <t>저레라/제레라</t>
  </si>
  <si>
    <t>잘 절궤라</t>
  </si>
  <si>
    <t>휘-(曲)</t>
  </si>
  <si>
    <t>32277-0-1</t>
  </si>
  <si>
    <t>쐬를＇ 휘＇운다/휘＇우자/훌군＇다 {휘게 하다}/훌구＇고 이따 {휘게 하고 있다}</t>
  </si>
  <si>
    <t xml:space="preserve"> 휜다</t>
  </si>
  <si>
    <t>철싸를 휘우구 이따/낭그를 가지고 휘운다 그래지/거 휘운다능건</t>
  </si>
  <si>
    <t>쉰:다/쉬:구</t>
  </si>
  <si>
    <t>휘운다</t>
  </si>
  <si>
    <t>휜:다/휘구</t>
  </si>
  <si>
    <t>32277-0-2</t>
  </si>
  <si>
    <t>훌과＇아라 {휘게 해라}/휘＇와라</t>
  </si>
  <si>
    <t>후ㅕ:</t>
  </si>
  <si>
    <t>휘워야 된다</t>
  </si>
  <si>
    <t>수ㅕ:서 모씬다</t>
  </si>
  <si>
    <t>휘워라</t>
  </si>
  <si>
    <t>잘 훼:진다구/훼:서 모씨게따</t>
  </si>
  <si>
    <t>줍:-(拾)</t>
  </si>
  <si>
    <t>32278-0-1</t>
  </si>
  <si>
    <t>주우＇꼬 이따/주운＇는다/주우＇씀미다/주＇우니</t>
  </si>
  <si>
    <t>준:넝 거</t>
  </si>
  <si>
    <t>준:는다/주코 이따</t>
  </si>
  <si>
    <t>주:꾸 이따/준:넌다</t>
  </si>
  <si>
    <t>돈: 준:는사람보고/주:꼬/준:는다</t>
  </si>
  <si>
    <t>준:는다/주:꾸</t>
  </si>
  <si>
    <t>32278-0-2</t>
  </si>
  <si>
    <t>좌＇아라</t>
  </si>
  <si>
    <t>휴지 줘:라</t>
  </si>
  <si>
    <t>주워야 된다</t>
  </si>
  <si>
    <t>주어라/주워 치워라</t>
  </si>
  <si>
    <t>빨리 조:라/주워라</t>
  </si>
  <si>
    <t>주서라</t>
  </si>
  <si>
    <t>빼앗-(奪)</t>
  </si>
  <si>
    <t>32279-0-1</t>
  </si>
  <si>
    <t>빼애＇꼬 이따/빼앤＇는다/빼애＇떠라/빼애＇스니</t>
  </si>
  <si>
    <t>뺀:넝 거</t>
  </si>
  <si>
    <t>빼:꾸/뺀:는다</t>
  </si>
  <si>
    <t>빼:꾸 이따</t>
  </si>
  <si>
    <t>뺀:는다/빼:찌 마라</t>
  </si>
  <si>
    <t>빼:꾸</t>
  </si>
  <si>
    <t>32279-0-2</t>
  </si>
  <si>
    <t>빼애＇사사</t>
  </si>
  <si>
    <t>빼:서/빼서가주 가자너/빼:서가</t>
  </si>
  <si>
    <t>빼:사가고 이따/빼:사야 된다</t>
  </si>
  <si>
    <t>강제루 빼서따</t>
  </si>
  <si>
    <t>빼:서따</t>
  </si>
  <si>
    <t>빼:사따/빼:사선 안된다</t>
  </si>
  <si>
    <t>기울-(傾)</t>
  </si>
  <si>
    <t>32280-0-1</t>
  </si>
  <si>
    <t>찌부리고 이따/찌부린다</t>
  </si>
  <si>
    <t>지울구</t>
  </si>
  <si>
    <t>지울고/지운다</t>
  </si>
  <si>
    <t>32280-0-2</t>
  </si>
  <si>
    <t>찌부＇레저따/찌부레＇에진다/찌부＇레진다＇</t>
  </si>
  <si>
    <t>지우러따 소리두 해구/지우러전네/기우러따구/지우러따구</t>
  </si>
  <si>
    <t>찌부레야 된다</t>
  </si>
  <si>
    <t>지우러따/기우러따</t>
  </si>
  <si>
    <t>지우러서 너머간다</t>
  </si>
  <si>
    <t>지우러따</t>
  </si>
  <si>
    <t>아깝-(惜)</t>
  </si>
  <si>
    <t>32281-0-1</t>
  </si>
  <si>
    <t>아꿉＇따</t>
  </si>
  <si>
    <t>그럼 아껍찌 그게/아껍짠니</t>
  </si>
  <si>
    <t>아깝따/아껍따/아껍떠라</t>
  </si>
  <si>
    <t>아꿉따</t>
  </si>
  <si>
    <t>아깝따</t>
  </si>
  <si>
    <t>아이 아깝따</t>
  </si>
  <si>
    <t>32281-0-2</t>
  </si>
  <si>
    <t>아꽈＇아사/아꽈＇아서</t>
  </si>
  <si>
    <t>아꺼워</t>
  </si>
  <si>
    <t>아까워따/아꺼워따 그래 아꺼워</t>
  </si>
  <si>
    <t>아까워서</t>
  </si>
  <si>
    <t>아이 아까워</t>
  </si>
  <si>
    <t>반갑-(歡)</t>
  </si>
  <si>
    <t>32282-0-1</t>
  </si>
  <si>
    <t>방갑＇따라/방굽＇따/방굽＇떠라/방구＇꼬/방굽＇따라</t>
  </si>
  <si>
    <t>방거운 손니믄/방겁찌</t>
  </si>
  <si>
    <t>방겁따</t>
  </si>
  <si>
    <t>방거꾸/방굽따구/방겁따/손줄라서 방겁따</t>
  </si>
  <si>
    <t>방갑따/방겁따/방껍찌</t>
  </si>
  <si>
    <t>방갑따</t>
  </si>
  <si>
    <t>32282-0-2</t>
  </si>
  <si>
    <t>방과＇아사/방구＇우니</t>
  </si>
  <si>
    <t>방거워/방거워서</t>
  </si>
  <si>
    <t>방거워 기분 조타/방거워서</t>
  </si>
  <si>
    <t>방구워서</t>
  </si>
  <si>
    <t>방거워서</t>
  </si>
  <si>
    <t>방가워서</t>
  </si>
  <si>
    <t>찌-(蒸)</t>
  </si>
  <si>
    <t>32283-0-1</t>
  </si>
  <si>
    <t>감재＇르 찌다＇라/찌부＇린다/찐다＇ 에에/찌고＇ 이따/찌니＇까</t>
  </si>
  <si>
    <t>찌넝 거/찌넝 거(솥에)</t>
  </si>
  <si>
    <t>진다</t>
  </si>
  <si>
    <t>32283-0-2</t>
  </si>
  <si>
    <t>쩨도＇ 된다/쩌따＇/쩌서＇ 머가따/찌부＇레라/쩨서＇ 멍는다 감재＇르 쩨가주 멍는다/감재＇르 쩨:라＇/쩌멍는＇다/감재＇르 쩨따＇</t>
  </si>
  <si>
    <t>쩌/쩌전는지 봐:라 {쪄졌는지 봐라}</t>
  </si>
  <si>
    <t>쩌서 멍는다</t>
  </si>
  <si>
    <t>쩌서</t>
  </si>
  <si>
    <t>노랗-(黃)</t>
  </si>
  <si>
    <t>32284-0-1</t>
  </si>
  <si>
    <t>노르＇니/노라＇타/노라＇타라/노르＇타/노::라＇타/노::라＇케/노루＇면 안조＇타/노라＇아면 안조타/노르＇코/노:라＇타</t>
  </si>
  <si>
    <t>노:라서 짜야지/노:라케 골머</t>
  </si>
  <si>
    <t>노라타/누러타</t>
  </si>
  <si>
    <t>이사기 노라타 {이삭이 노랗다}</t>
  </si>
  <si>
    <t>새까리 노러타/고리미 드먼 노러차너</t>
  </si>
  <si>
    <t>노:라치요/노:라타</t>
  </si>
  <si>
    <t>32284-0-2</t>
  </si>
  <si>
    <t>노래＇애사/노란＇</t>
  </si>
  <si>
    <t>누레서/누러서/노러니까 보기 조타/노래서 보기조타</t>
  </si>
  <si>
    <t>노래서</t>
  </si>
  <si>
    <t>노러진다/노래:서/노렁거는/노:래진</t>
  </si>
  <si>
    <t>노:래서</t>
  </si>
  <si>
    <t>푸르-(靑)</t>
  </si>
  <si>
    <t>32285-0-1</t>
  </si>
  <si>
    <t>푸＇리다/푸＇리다＇라/푸＇루다/푸＇리고/푸＇리니까</t>
  </si>
  <si>
    <t>푸러전네/푸르지</t>
  </si>
  <si>
    <t>푸루더라/푸루니까</t>
  </si>
  <si>
    <t>푸루다/퍼러니까 퍼렁거지/사는 푸르치/퍼러타/새파러치</t>
  </si>
  <si>
    <t>풀따</t>
  </si>
  <si>
    <t>푸루다구두</t>
  </si>
  <si>
    <t>32285-0-2</t>
  </si>
  <si>
    <t>푸＇레사</t>
  </si>
  <si>
    <t>푸러서 보기 조타/사니 푸레서 보기 조타</t>
  </si>
  <si>
    <t>파래서/퍼러서 조타/푸러서</t>
  </si>
  <si>
    <t>푸러서</t>
  </si>
  <si>
    <t>서두르-(忙)</t>
  </si>
  <si>
    <t>32286-0-1</t>
  </si>
  <si>
    <t>서두＇루머 안된다/서두＇루먼 안된다/서두루고＇ 이따/서두＇루고 이따</t>
  </si>
  <si>
    <t>서두니</t>
  </si>
  <si>
    <t>서둘루고 이따</t>
  </si>
  <si>
    <t>서둘루구 이따/서둘지 마라/서둘지 말라</t>
  </si>
  <si>
    <t>빨리 갈라고 서들고</t>
  </si>
  <si>
    <t>빨리 서두루구 가거라</t>
  </si>
  <si>
    <t>32286-0-2</t>
  </si>
  <si>
    <t>빨＇리 서두＇라/서둘＇라</t>
  </si>
  <si>
    <t>서두러</t>
  </si>
  <si>
    <t>서둘러서/서둘러야 된다</t>
  </si>
  <si>
    <t>서두러선</t>
  </si>
  <si>
    <t>서들러라</t>
  </si>
  <si>
    <t>서둘러서 가라</t>
  </si>
  <si>
    <t>서투르-(不熟)</t>
  </si>
  <si>
    <t>32287-0-1</t>
  </si>
  <si>
    <t>수＇투다/이＇리 스＇투다라/저 사＇라믄 아::주 스＇툴고/스＇투고</t>
  </si>
  <si>
    <t>스:툴다</t>
  </si>
  <si>
    <t>서:투르다</t>
  </si>
  <si>
    <t>스:툴다/그게 스투른 사라믄</t>
  </si>
  <si>
    <t>스:툴다/스툴고</t>
  </si>
  <si>
    <t>서:투루다</t>
  </si>
  <si>
    <t>32287-0-2</t>
  </si>
  <si>
    <t>수＇투라/스＇투라사/스＇투라사 영</t>
  </si>
  <si>
    <t>스:투러/스:투러서 모태지</t>
  </si>
  <si>
    <t>서:툴러서 모씬다</t>
  </si>
  <si>
    <t>스:투러서</t>
  </si>
  <si>
    <t>너무 스툴러서</t>
  </si>
  <si>
    <t>서:툴러서</t>
  </si>
  <si>
    <t>게으르-(怠)</t>
  </si>
  <si>
    <t>32288-0-1</t>
  </si>
  <si>
    <t>게그＇르다</t>
  </si>
  <si>
    <t>길:르다</t>
  </si>
  <si>
    <t>게을르구/게을르다</t>
  </si>
  <si>
    <t>길:르다는 얘기/길:르구/길른 사람</t>
  </si>
  <si>
    <t>게:리다/너머 게이리다</t>
  </si>
  <si>
    <t>32288-0-2</t>
  </si>
  <si>
    <t>게글＇러서 아무저＇에도 모씬다/게글＇러서 모오＇씬다 저사람</t>
  </si>
  <si>
    <t>길:러/길:러서</t>
  </si>
  <si>
    <t>겔:러서</t>
  </si>
  <si>
    <t>길:러서</t>
  </si>
  <si>
    <t>너머 게일러서</t>
  </si>
  <si>
    <t>따뜻하-(溫)</t>
  </si>
  <si>
    <t>32289-0-1</t>
  </si>
  <si>
    <t>따뜨타＇다/따딷타＇다/따시＇고</t>
  </si>
  <si>
    <t>방두 따뜨태네</t>
  </si>
  <si>
    <t>따따하다</t>
  </si>
  <si>
    <t>따드태다</t>
  </si>
  <si>
    <t>따뜨타다</t>
  </si>
  <si>
    <t>32289-0-2</t>
  </si>
  <si>
    <t>따뜨태＇애서 조타 이얘기는/따뜨태＇애따/따세＇에따</t>
  </si>
  <si>
    <t>따따해서 조타</t>
  </si>
  <si>
    <t>따드태서 조타</t>
  </si>
  <si>
    <t>따뜨태: 조:타/따시니 조오리미 온다</t>
  </si>
  <si>
    <t>따뜨대서 조:타/따뜨태 조:타</t>
  </si>
  <si>
    <t>춥-(寒)</t>
  </si>
  <si>
    <t>32290-0-1</t>
  </si>
  <si>
    <t>춥따＇/추우＇니</t>
  </si>
  <si>
    <t>날씨가 꽤 추운데/추우네/꽤 추우네/추우먼 추우가 오래간다/춤네</t>
  </si>
  <si>
    <t>춥따</t>
  </si>
  <si>
    <t>추께/추웅건 춥따</t>
  </si>
  <si>
    <t>32290-0-2</t>
  </si>
  <si>
    <t>추와＇따</t>
  </si>
  <si>
    <t>추워/추워서 몬 나가겐네</t>
  </si>
  <si>
    <t>추워서/추워서 시타</t>
  </si>
  <si>
    <t>추워서</t>
  </si>
  <si>
    <t>추우니/추워서</t>
  </si>
  <si>
    <t>추워서 실타</t>
  </si>
  <si>
    <t>뜨겁-(極熱)</t>
  </si>
  <si>
    <t>32291-0-1</t>
  </si>
  <si>
    <t>뚜굽＇따</t>
  </si>
  <si>
    <t>너머 뚜겁따</t>
  </si>
  <si>
    <t>뜨겁따/뜨겁떠라</t>
  </si>
  <si>
    <t>뚜거꾸/부른 뚜구꾸/뚜굽때능</t>
  </si>
  <si>
    <t>뜨겁따</t>
  </si>
  <si>
    <t>뜨겁찌/뜨겁따</t>
  </si>
  <si>
    <t>32291-0-2</t>
  </si>
  <si>
    <t>뜨과＇아사/뜨구＇니까</t>
  </si>
  <si>
    <t>뚜거워서</t>
  </si>
  <si>
    <t>뜨거워서</t>
  </si>
  <si>
    <t>뚜구워서</t>
  </si>
  <si>
    <t>뜨그워서</t>
  </si>
  <si>
    <t>미지근하-(微溫)</t>
  </si>
  <si>
    <t>32292-0-1</t>
  </si>
  <si>
    <t>미지그니::하＇다/미지근::하다</t>
  </si>
  <si>
    <t>미지그::내다</t>
  </si>
  <si>
    <t>미지하다/미지그나다</t>
  </si>
  <si>
    <t>미지행걸루/미지해다/미지핸대능게/미지근항거</t>
  </si>
  <si>
    <t>미미하다/무리 너무 미지근하다</t>
  </si>
  <si>
    <t>미지근 허다</t>
  </si>
  <si>
    <t>32292-0-2</t>
  </si>
  <si>
    <t>미지근해＇애서 머끼 조타</t>
  </si>
  <si>
    <t>미지근해서 시타</t>
  </si>
  <si>
    <t>미미해 조:타</t>
  </si>
  <si>
    <t>미지근 해서</t>
  </si>
  <si>
    <t>차갑-(寒)</t>
  </si>
  <si>
    <t>32293-0-1</t>
  </si>
  <si>
    <t>차굽＇따/차급＇따/어＇르미 노가사 무리＇ 되니 차겁＇꾸나</t>
  </si>
  <si>
    <t>차굽따</t>
  </si>
  <si>
    <t>차겁찌두/차구/차다/어르믄 차지</t>
  </si>
  <si>
    <t>차겁또앙코/차다/차겁따</t>
  </si>
  <si>
    <t>차겁따</t>
  </si>
  <si>
    <t>32293-0-2</t>
  </si>
  <si>
    <t>차구＇우니까/차과＇아서/차과＇아사</t>
  </si>
  <si>
    <t>차거워(+다)/차구워/ 차궈</t>
  </si>
  <si>
    <t>차구워서</t>
  </si>
  <si>
    <t>차서</t>
  </si>
  <si>
    <t>차구워서/차거워서</t>
  </si>
  <si>
    <t>부럽-(羨)</t>
  </si>
  <si>
    <t>32294-0-1</t>
  </si>
  <si>
    <t>부＇룹따/불부＇다</t>
  </si>
  <si>
    <t>부럽따/차거워/차구워</t>
  </si>
  <si>
    <t>부럽떠라/부럽따</t>
  </si>
  <si>
    <t>부룹따</t>
  </si>
  <si>
    <t>부루께 생가카는 사람도/부럽따</t>
  </si>
  <si>
    <t>부럽따</t>
  </si>
  <si>
    <t>32294-0-2</t>
  </si>
  <si>
    <t>불＇바서/불＇바서 배아푸다/부＇러워서</t>
  </si>
  <si>
    <t>부러워</t>
  </si>
  <si>
    <t>부러워서 혼나따</t>
  </si>
  <si>
    <t>부러워하는사라믄</t>
  </si>
  <si>
    <t>부러워서</t>
  </si>
  <si>
    <t>얄밉-(憎)</t>
  </si>
  <si>
    <t>32295-0-1</t>
  </si>
  <si>
    <t>야알＇밉따 하능거시/야알＇입따</t>
  </si>
  <si>
    <t>얄:미러께/얄:미럽따</t>
  </si>
  <si>
    <t>얄:밉따</t>
  </si>
  <si>
    <t>얄:미럽따구</t>
  </si>
  <si>
    <t>32295-0-2</t>
  </si>
  <si>
    <t>야알＇미운 눔/야알＇미워서 실타(+신)/아주 야알＇미와서 시라.(+구)</t>
  </si>
  <si>
    <t>얄미워</t>
  </si>
  <si>
    <t>얄:미러워서 시타</t>
  </si>
  <si>
    <t>얄:미워</t>
  </si>
  <si>
    <t>얄:미워서/얄:미운지스 한다</t>
  </si>
  <si>
    <t>얄:미러워서</t>
  </si>
  <si>
    <t>비슷하-(類似)</t>
  </si>
  <si>
    <t>32296-0-1</t>
  </si>
  <si>
    <t>비저타＇다 비저타＇다/비저::타＇다</t>
  </si>
  <si>
    <t>가래 호두하고 비스탱 거 가래/비시태니깐 머/비스태먼 달머따</t>
  </si>
  <si>
    <t>비쓰타다/비스타다</t>
  </si>
  <si>
    <t>비스태다그래나</t>
  </si>
  <si>
    <t>그말또 비저:타더라고/그거또 비스름한데/비저탄데/다 비저탕걸 가따가/비저타다/비저타니까</t>
  </si>
  <si>
    <t>비슫허다/비시더다</t>
  </si>
  <si>
    <t>32296-0-2</t>
  </si>
  <si>
    <t>비저::태＇애서 조타</t>
  </si>
  <si>
    <t>비스탄데</t>
  </si>
  <si>
    <t>비스:태서</t>
  </si>
  <si>
    <t>비저태:서</t>
  </si>
  <si>
    <t>비스태:서</t>
  </si>
  <si>
    <t>새롭-(新)</t>
  </si>
  <si>
    <t>32297-0-1</t>
  </si>
  <si>
    <t>새롭＇따</t>
  </si>
  <si>
    <t>새로께/새롭따 이래/새록께 자래니? {새롭게 잘하니?}</t>
  </si>
  <si>
    <t>새롭떠라</t>
  </si>
  <si>
    <t>새롭다/섀롭따</t>
  </si>
  <si>
    <t>새롭따/새로꾸</t>
  </si>
  <si>
    <t>32297-0-2</t>
  </si>
  <si>
    <t>새로＇워서 조타</t>
  </si>
  <si>
    <t>새로와 이래진 아내.</t>
  </si>
  <si>
    <t>새로워서 조타</t>
  </si>
  <si>
    <t>새로워서</t>
  </si>
  <si>
    <t>새로워요</t>
  </si>
  <si>
    <t>서:럽-(悲痛)</t>
  </si>
  <si>
    <t>32298-0-1</t>
  </si>
  <si>
    <t>서어＇럽따</t>
  </si>
  <si>
    <t>서:럽때</t>
  </si>
  <si>
    <t>서:럽따</t>
  </si>
  <si>
    <t>서:럽찌</t>
  </si>
  <si>
    <t>32298-0-2</t>
  </si>
  <si>
    <t>서어＇러와사</t>
  </si>
  <si>
    <t>서:러워</t>
  </si>
  <si>
    <t>서:러서 슬푸다라/서:러워운다</t>
  </si>
  <si>
    <t>너머 서러워서</t>
  </si>
  <si>
    <t>서:러워서</t>
  </si>
  <si>
    <t>까다롭-(難)</t>
  </si>
  <si>
    <t>32299-0-1</t>
  </si>
  <si>
    <t>까다＇룹따</t>
  </si>
  <si>
    <t>까다로꾸 으ㅡㅇ:통썽이 읍:따구/까다로꾸나</t>
  </si>
  <si>
    <t>까다롭따</t>
  </si>
  <si>
    <t>까다롭따그래지</t>
  </si>
  <si>
    <t>까:다롭따/거 머이 그러 까:다롭쏘</t>
  </si>
  <si>
    <t>까:다롭따</t>
  </si>
  <si>
    <t>32299-0-2</t>
  </si>
  <si>
    <t>까아＇다라와서</t>
  </si>
  <si>
    <t>너머 까다로워 시타</t>
  </si>
  <si>
    <t>까다로워서</t>
  </si>
  <si>
    <t>까:다로워서</t>
  </si>
  <si>
    <t>외롭-(孤)</t>
  </si>
  <si>
    <t>32300-0-1</t>
  </si>
  <si>
    <t>외롭＇따</t>
  </si>
  <si>
    <t>외롭찌/외롭끼두 해구</t>
  </si>
  <si>
    <t>외롭따</t>
  </si>
  <si>
    <t>외롭따구</t>
  </si>
  <si>
    <t>32300-0-2</t>
  </si>
  <si>
    <t>외로＇와서</t>
  </si>
  <si>
    <t>외로워서</t>
  </si>
  <si>
    <t>외로워서/너머 외로워서 실타</t>
  </si>
  <si>
    <t>너무 외로워서 슬푸다</t>
  </si>
  <si>
    <t>아쉽-(不滿)</t>
  </si>
  <si>
    <t>32301-0-1</t>
  </si>
  <si>
    <t>아＇숩따/아＇쉽따</t>
  </si>
  <si>
    <t>아숙꾸/아숩찌</t>
  </si>
  <si>
    <t>아숩따/아쉽따</t>
  </si>
  <si>
    <t>아숩따</t>
  </si>
  <si>
    <t>마으미 아숩따</t>
  </si>
  <si>
    <t>32301-0-2</t>
  </si>
  <si>
    <t>아＇쉬와서 자미＇ 아노내야</t>
  </si>
  <si>
    <t>아수워</t>
  </si>
  <si>
    <t>아쉬워서/너머 아쉬워서</t>
  </si>
  <si>
    <t>아수워서</t>
  </si>
  <si>
    <t>아수워요</t>
  </si>
  <si>
    <t>단단하-(固)</t>
  </si>
  <si>
    <t>32302-0-1</t>
  </si>
  <si>
    <t>땐때나＇다</t>
  </si>
  <si>
    <t>딴딴해네/딴딴해다</t>
  </si>
  <si>
    <t>단다나다</t>
  </si>
  <si>
    <t>단단해다</t>
  </si>
  <si>
    <t>단단하다/탄탄하다/탄탄하고/단단하고</t>
  </si>
  <si>
    <t>단다나다/단단허다구</t>
  </si>
  <si>
    <t>32302-0-2</t>
  </si>
  <si>
    <t>땐때내＇애서 조타</t>
  </si>
  <si>
    <t>딴딴해</t>
  </si>
  <si>
    <t>단다내 조타</t>
  </si>
  <si>
    <t>단단해 조타</t>
  </si>
  <si>
    <t>딴딴해:서/탄탄해서</t>
  </si>
  <si>
    <t>단단해서/단다내서</t>
  </si>
  <si>
    <t>늦-(晩)</t>
  </si>
  <si>
    <t>32303-0-1</t>
  </si>
  <si>
    <t>하꾜＇에 느＇즈면/하꾜＇에 느＇께 가면</t>
  </si>
  <si>
    <t>느지먼 안되지</t>
  </si>
  <si>
    <t>느지니/느지문/느께 간다</t>
  </si>
  <si>
    <t>느꾸/느께 자서</t>
  </si>
  <si>
    <t>느께 인나서/시가니 너무 느따</t>
  </si>
  <si>
    <t>느찌마라/느꾸</t>
  </si>
  <si>
    <t>32303-0-2</t>
  </si>
  <si>
    <t>느＇자따/느＇지먼</t>
  </si>
  <si>
    <t>느저따구/느저서</t>
  </si>
  <si>
    <t>느저서 가믄 안된다</t>
  </si>
  <si>
    <t>느저서/느저따</t>
  </si>
  <si>
    <t>느저서</t>
  </si>
  <si>
    <t>느저따</t>
  </si>
  <si>
    <t>남:-(餘)</t>
  </si>
  <si>
    <t>32304-0-1</t>
  </si>
  <si>
    <t>나앙＇꼬/나앙＇께</t>
  </si>
  <si>
    <t>국씨꿍물 낭께찌 {국수 국물 남겠지}/바비 마니 나므먼/하나가 남:짜너/나문 수리 즈그먼 {남은 술이 적으면}/그래서 동네사라미 다: 머거도 남:찌</t>
  </si>
  <si>
    <t>남는다/남:꼬 이따</t>
  </si>
  <si>
    <t>하나 낭:꾸</t>
  </si>
  <si>
    <t>낭:꼬</t>
  </si>
  <si>
    <t>남:꾸</t>
  </si>
  <si>
    <t>32304-0-2</t>
  </si>
  <si>
    <t>남＇아따</t>
  </si>
  <si>
    <t>바비 마:~이 나머써</t>
  </si>
  <si>
    <t>나＇머따</t>
  </si>
  <si>
    <t>나머따</t>
  </si>
  <si>
    <t>마:니 나머따</t>
  </si>
  <si>
    <t>남기-(使餘)</t>
  </si>
  <si>
    <t>32305-0-1</t>
  </si>
  <si>
    <t>바블＇ 냉＇기지 마라</t>
  </si>
  <si>
    <t>냉기능 거야 머 해 볼 쑤 읍찌만/냉기지 말고 다 머거</t>
  </si>
  <si>
    <t>냉기지 말고</t>
  </si>
  <si>
    <t>냉기지 말라</t>
  </si>
  <si>
    <t>남긴다고/냄긴다(+다)/냉기지 마라/남기지 말:고</t>
  </si>
  <si>
    <t>32305-0-2</t>
  </si>
  <si>
    <t>냉＇게라</t>
  </si>
  <si>
    <t>들: 머거 냉겨</t>
  </si>
  <si>
    <t>냉게라</t>
  </si>
  <si>
    <t>냉겨라그구래얘지/냉겨따</t>
  </si>
  <si>
    <t>냉게선 안된다/바블 낭겨선 안된다</t>
  </si>
  <si>
    <t>냉게선 안된다</t>
  </si>
  <si>
    <t>넘어뜨리-(使倒)</t>
  </si>
  <si>
    <t>32306-0-1</t>
  </si>
  <si>
    <t>너머뜨＇리지 마아＇라/자푸주＇운다/자파주＇운다</t>
  </si>
  <si>
    <t>너머트리지</t>
  </si>
  <si>
    <t>너머트리구 이따/너머트린다</t>
  </si>
  <si>
    <t>넹겨트리지 말라</t>
  </si>
  <si>
    <t>여푸로 너머띠린다</t>
  </si>
  <si>
    <t>넹게뜨리고</t>
  </si>
  <si>
    <t>32306-0-2</t>
  </si>
  <si>
    <t>너머뜨＇레라</t>
  </si>
  <si>
    <t>띠미러 너머트려 {떠밀어 넘어뜨려}</t>
  </si>
  <si>
    <t>너머뜨레선 안되지</t>
  </si>
  <si>
    <t>너머트려따</t>
  </si>
  <si>
    <t>너머띠레라</t>
  </si>
  <si>
    <t>넹게뜨레따</t>
  </si>
  <si>
    <t>쭈그러뜨리-(使凹)</t>
  </si>
  <si>
    <t>32307-0-1</t>
  </si>
  <si>
    <t>쭈굴띠＇린다</t>
  </si>
  <si>
    <t>찌불티리지</t>
  </si>
  <si>
    <t>쭈쿨띠린다</t>
  </si>
  <si>
    <t>쭈구러트린다/쭈구러트레라</t>
  </si>
  <si>
    <t>우구레띠리지요/쭈그리띠리지 마:라/우구리지마라/우구레띠린다/쭈구르티리지 마:라</t>
  </si>
  <si>
    <t>32307-0-2</t>
  </si>
  <si>
    <t>쭈굴띠＇레라 쭈구리고</t>
  </si>
  <si>
    <t>쭈굴티레야 된다</t>
  </si>
  <si>
    <t>쭈그르티레라</t>
  </si>
  <si>
    <t>견주-(比)</t>
  </si>
  <si>
    <t>32308-0-1</t>
  </si>
  <si>
    <t>견＇주고 이＇따</t>
  </si>
  <si>
    <t>전준다</t>
  </si>
  <si>
    <t>견줘바:라/견주구 이따</t>
  </si>
  <si>
    <t>저눈다/저누구</t>
  </si>
  <si>
    <t>32308-0-2</t>
  </si>
  <si>
    <t>견＇좌라</t>
  </si>
  <si>
    <t>잘 전줘라</t>
  </si>
  <si>
    <t>전줘바:라/견줘라/가태바:라</t>
  </si>
  <si>
    <t>저눠보자</t>
  </si>
  <si>
    <t>외우-(誦)</t>
  </si>
  <si>
    <t>32309-0-1</t>
  </si>
  <si>
    <t>구＇구다늘 외＇운다</t>
  </si>
  <si>
    <t>외우능 거또/자뢴다구 {잘 왼다구}</t>
  </si>
  <si>
    <t>외우고이따</t>
  </si>
  <si>
    <t>외우고 이따</t>
  </si>
  <si>
    <t>외운다</t>
  </si>
  <si>
    <t>외:구이따/외우구</t>
  </si>
  <si>
    <t>32309-0-2</t>
  </si>
  <si>
    <t>외＇우니 외＇운다 외＇와따</t>
  </si>
  <si>
    <t>자뢔야 한다 {잘 외야 한다}</t>
  </si>
  <si>
    <t>외워라</t>
  </si>
  <si>
    <t>문지르-(摩)</t>
  </si>
  <si>
    <t>32310-0-1</t>
  </si>
  <si>
    <t>문대＇앤다</t>
  </si>
  <si>
    <t>문지르능 거</t>
  </si>
  <si>
    <t>문지르고이따</t>
  </si>
  <si>
    <t>문질른다</t>
  </si>
  <si>
    <t>문댄:다</t>
  </si>
  <si>
    <t>문지르지마라/문지른다</t>
  </si>
  <si>
    <t>32310-0-2</t>
  </si>
  <si>
    <t>문대＇애라</t>
  </si>
  <si>
    <t>잘 문질러라</t>
  </si>
  <si>
    <t>문질러선 안된다</t>
  </si>
  <si>
    <t>문질러서 아푸다</t>
  </si>
  <si>
    <t>문대:라</t>
  </si>
  <si>
    <t>가리키-(指)</t>
  </si>
  <si>
    <t>32311-0-1</t>
  </si>
  <si>
    <t>갈치＇인다/가알＇친다</t>
  </si>
  <si>
    <t>가리키고 이따</t>
  </si>
  <si>
    <t>가르친다/갈친다</t>
  </si>
  <si>
    <t>갈:치구이따</t>
  </si>
  <si>
    <t>가리킨다</t>
  </si>
  <si>
    <t>32311-0-2</t>
  </si>
  <si>
    <t>가알＇체야 된다</t>
  </si>
  <si>
    <t>가리켜야 된다</t>
  </si>
  <si>
    <t>가르처라</t>
  </si>
  <si>
    <t>갈:처라</t>
  </si>
  <si>
    <t>가리켜라</t>
  </si>
  <si>
    <t>가르치-(敎)</t>
  </si>
  <si>
    <t>32312-0-1</t>
  </si>
  <si>
    <t>가르＇친다</t>
  </si>
  <si>
    <t>가리케 달래</t>
  </si>
  <si>
    <t>가르치고이따/가르처야지</t>
  </si>
  <si>
    <t>가르치라</t>
  </si>
  <si>
    <t>잘 가리킨다</t>
  </si>
  <si>
    <t>32312-0-2</t>
  </si>
  <si>
    <t>가르＇체야 된다</t>
  </si>
  <si>
    <t>가리켜/잘 가리케야 한다/알:먼 가리케주구 몰:름 모까르케주구 이래지/그쎄 버니니 머이가 되는지 아러야 똑떼기 가르처주지</t>
  </si>
  <si>
    <t>소가 사라믈 갈체요</t>
  </si>
  <si>
    <t>잘 가르처라</t>
  </si>
  <si>
    <t>잘 가리케야 된다</t>
  </si>
  <si>
    <t>겨누-(照準)</t>
  </si>
  <si>
    <t>32313-0-1</t>
  </si>
  <si>
    <t>전＇준다/전＇주지 마아＇라</t>
  </si>
  <si>
    <t>저눈다구래/저누능 거</t>
  </si>
  <si>
    <t>저누고 이따</t>
  </si>
  <si>
    <t>저눈다</t>
  </si>
  <si>
    <t>전주구이따</t>
  </si>
  <si>
    <t>저눈다구</t>
  </si>
  <si>
    <t>32313-0-2</t>
  </si>
  <si>
    <t>전＇좌라/전＇좌 바아＇라</t>
  </si>
  <si>
    <t>잘 저눠라/잘 저눠야 하구/저누지 저눠(겨루지 겨뤄}</t>
  </si>
  <si>
    <t>저눠야 된다</t>
  </si>
  <si>
    <t>저눠라</t>
  </si>
  <si>
    <t>똑빠로 전줘라</t>
  </si>
  <si>
    <t>겨루-(競)</t>
  </si>
  <si>
    <t>32314-0-1</t>
  </si>
  <si>
    <t>겨루고이따</t>
  </si>
  <si>
    <t>겨룬다</t>
  </si>
  <si>
    <t>32314-0-2</t>
  </si>
  <si>
    <t>겨뤄야</t>
  </si>
  <si>
    <t>겨뤄서</t>
  </si>
  <si>
    <t>달래-(慰撫)</t>
  </si>
  <si>
    <t>32315-0-1</t>
  </si>
  <si>
    <t>달＇긴다/달＇개구 이따/달＇갠다</t>
  </si>
  <si>
    <t>달개도 주구 이래지</t>
  </si>
  <si>
    <t>달구고이따/달개고이따/달래지/달래고이따</t>
  </si>
  <si>
    <t>달개구 이따</t>
  </si>
  <si>
    <t>달갠다</t>
  </si>
  <si>
    <t>달랜다/달래기두</t>
  </si>
  <si>
    <t>32315-0-2</t>
  </si>
  <si>
    <t>달＇개라</t>
  </si>
  <si>
    <t>잘 댈겨/달개</t>
  </si>
  <si>
    <t>달궈야 된다/달래야지</t>
  </si>
  <si>
    <t>달개라</t>
  </si>
  <si>
    <t>달래라</t>
  </si>
  <si>
    <t>본받-(效)</t>
  </si>
  <si>
    <t>32316-0-1</t>
  </si>
  <si>
    <t>뽄바＇꼬/아, 뽄바＇다라</t>
  </si>
  <si>
    <t>본 바께 해라/번반는다 그래</t>
  </si>
  <si>
    <t>본 바꼬이따</t>
  </si>
  <si>
    <t>봄바드라/본바꾸</t>
  </si>
  <si>
    <t>본도 보고/본보고</t>
  </si>
  <si>
    <t>번바꾸</t>
  </si>
  <si>
    <t>32316-0-2</t>
  </si>
  <si>
    <t>뽄바＇드라고</t>
  </si>
  <si>
    <t>본바더</t>
  </si>
  <si>
    <t>본바다야 한다</t>
  </si>
  <si>
    <t>봄바더라</t>
  </si>
  <si>
    <t>본 바더라</t>
  </si>
  <si>
    <t>번바다라</t>
  </si>
  <si>
    <t>어지르-(散)</t>
  </si>
  <si>
    <t>32317-0-1</t>
  </si>
  <si>
    <t>어질＇군다</t>
  </si>
  <si>
    <t>어질른다구</t>
  </si>
  <si>
    <t>어질쿠고이따</t>
  </si>
  <si>
    <t>어지르지 말라</t>
  </si>
  <si>
    <t>어지르지마라/방 좀 어질구지 마라</t>
  </si>
  <si>
    <t>어지르지 마라</t>
  </si>
  <si>
    <t>32317-0-2</t>
  </si>
  <si>
    <t>어질과＇아 노코/어질＇과라</t>
  </si>
  <si>
    <t>어질러</t>
  </si>
  <si>
    <t>어질쿼선</t>
  </si>
  <si>
    <t>어질궈선 안된다</t>
  </si>
  <si>
    <t>어질러선</t>
  </si>
  <si>
    <t>달리-(走)</t>
  </si>
  <si>
    <t>32318-0-1</t>
  </si>
  <si>
    <t>달＇린다</t>
  </si>
  <si>
    <t>달린다구래</t>
  </si>
  <si>
    <t>달린다</t>
  </si>
  <si>
    <t>달린다/달리기도하고</t>
  </si>
  <si>
    <t>32318-0-2</t>
  </si>
  <si>
    <t>달＇레라</t>
  </si>
  <si>
    <t>달려라</t>
  </si>
  <si>
    <t>달례야된다</t>
  </si>
  <si>
    <t>달려서 기부니 조타</t>
  </si>
  <si>
    <t>달레가라</t>
  </si>
  <si>
    <t>달레라/달려라</t>
  </si>
  <si>
    <t>우기-(拗)</t>
  </si>
  <si>
    <t>32319-0-1</t>
  </si>
  <si>
    <t>우＇기지 마아＇라/우＇긴다</t>
  </si>
  <si>
    <t>왜 그러케 우기니</t>
  </si>
  <si>
    <t>위긴다</t>
  </si>
  <si>
    <t>우긴다구/너머 우긴다/너두 우기먼</t>
  </si>
  <si>
    <t>우긴다</t>
  </si>
  <si>
    <t>우기기두/우긴다</t>
  </si>
  <si>
    <t>32319-0-2</t>
  </si>
  <si>
    <t>우＇게댄다/우＇게서는 안된다</t>
  </si>
  <si>
    <t>우겨</t>
  </si>
  <si>
    <t>위게선 안된다</t>
  </si>
  <si>
    <t>우겨선</t>
  </si>
  <si>
    <t>우게선 안된다/우게서는</t>
  </si>
  <si>
    <t>우게선</t>
  </si>
  <si>
    <t>중얼거리-(獨言)</t>
  </si>
  <si>
    <t>32320-0-1</t>
  </si>
  <si>
    <t>중얼거＇린다/주~얼거＇린다</t>
  </si>
  <si>
    <t>중얼거린다구래</t>
  </si>
  <si>
    <t>중얼거린다</t>
  </si>
  <si>
    <t>중얼거린다구</t>
  </si>
  <si>
    <t>주~얼거린다</t>
  </si>
  <si>
    <t>32320-0-2</t>
  </si>
  <si>
    <t>중얼거＇레서는 안된다</t>
  </si>
  <si>
    <t>중얼거려</t>
  </si>
  <si>
    <t>중얼거레선</t>
  </si>
  <si>
    <t>주~얼거레선</t>
  </si>
  <si>
    <t>중얼거레선 안된다</t>
  </si>
  <si>
    <t>지껄이-(騷)</t>
  </si>
  <si>
    <t>32321-0-1</t>
  </si>
  <si>
    <t>지거＇린다/지그＇리지 마라</t>
  </si>
  <si>
    <t>지꺼리넝 거/지꺼리넝 걸</t>
  </si>
  <si>
    <t>지꺼린다/지꺼리지 마라</t>
  </si>
  <si>
    <t>지거린다/막찌거린다/혼저 지거리장쿠</t>
  </si>
  <si>
    <t>지꺼리지 마:라</t>
  </si>
  <si>
    <t>32321-0-2</t>
  </si>
  <si>
    <t>지그＇레선 아안＇된다</t>
  </si>
  <si>
    <t>지꺼려</t>
  </si>
  <si>
    <t>지꺼레선 안된다</t>
  </si>
  <si>
    <t>지거레선 안된다</t>
  </si>
  <si>
    <t>지꺼레선 안덴다</t>
  </si>
  <si>
    <t>다니-(行)</t>
  </si>
  <si>
    <t>32322-0-1</t>
  </si>
  <si>
    <t>댕긴＇다/댕기＇지 마아＇라</t>
  </si>
  <si>
    <t>댕긴다구</t>
  </si>
  <si>
    <t>댕기구 이따</t>
  </si>
  <si>
    <t>바트로 댕기지 마라</t>
  </si>
  <si>
    <t>잘 다니나?</t>
  </si>
  <si>
    <t>32322-0-2</t>
  </si>
  <si>
    <t>댕게＇라</t>
  </si>
  <si>
    <t>지개 지구 댕게찌/댕겨/댕게 와써유 {다녀 왔어요}</t>
  </si>
  <si>
    <t>댕겨야</t>
  </si>
  <si>
    <t>댕겨라/다녀와라</t>
  </si>
  <si>
    <t>21208-0-1 바 까루 댕게라</t>
  </si>
  <si>
    <t>잘 다녀라</t>
  </si>
  <si>
    <t>떨어뜨리-(使落)</t>
  </si>
  <si>
    <t>32323-0-1</t>
  </si>
  <si>
    <t>떠러띠＇린다</t>
  </si>
  <si>
    <t>떨궈트린다구/내가 모뜨러서 떠러티리자너 {내가 못 들어서 떨어뜨리잖아}/떠러티린다/떨궈트리네</t>
  </si>
  <si>
    <t>떠러트린다</t>
  </si>
  <si>
    <t>털군다/이쪽쌔도 떠러트리고 저쪽쌔도 떠러트레따</t>
  </si>
  <si>
    <t>떨퀴구/떠러티리구</t>
  </si>
  <si>
    <t>32323-0-2</t>
  </si>
  <si>
    <t>떠러띠＇레라</t>
  </si>
  <si>
    <t>떠러트레야 된다</t>
  </si>
  <si>
    <t>떠러트려따</t>
  </si>
  <si>
    <t>떨궈서/떠러트레서</t>
  </si>
  <si>
    <t>떠러티레따/떨퀘따</t>
  </si>
  <si>
    <t>깨-(覺)</t>
  </si>
  <si>
    <t>32324-0-1</t>
  </si>
  <si>
    <t>깨니＇/깨고＇</t>
  </si>
  <si>
    <t>깨고이따</t>
  </si>
  <si>
    <t>깨구</t>
  </si>
  <si>
    <t>깨고</t>
  </si>
  <si>
    <t>32324-0-2</t>
  </si>
  <si>
    <t>자믈＇ 깨애＇따</t>
  </si>
  <si>
    <t>자믈 깨:따</t>
  </si>
  <si>
    <t>시-(酸)</t>
  </si>
  <si>
    <t>32325-0-1</t>
  </si>
  <si>
    <t>김＇치가 시＇다/시＇니/시＇고/시＇굽따라/마시＇ 시＇굽찌요./시＇굽따오?</t>
  </si>
  <si>
    <t>시구 고여서 몸 머거 {시고 고여서 못 먹어}/시다구(식초는)/시겁찌(살구는)</t>
  </si>
  <si>
    <t>시겁찌 아주/시지/시다/시겁따그래지</t>
  </si>
  <si>
    <t>시굽찌/너무 시니깐/시굽따</t>
  </si>
  <si>
    <t>시다/누니 시그릅따</t>
  </si>
  <si>
    <t>시굽찌요/시다</t>
  </si>
  <si>
    <t>32325-0-2</t>
  </si>
  <si>
    <t>시＇과 모옴＇ 머글래라/시＇과사</t>
  </si>
  <si>
    <t>시여서/아이 시거워 이래지</t>
  </si>
  <si>
    <t>시:서 안조타(식초)/시거워서 시타/셰:서 시타</t>
  </si>
  <si>
    <t>시구워서</t>
  </si>
  <si>
    <t>세:서</t>
  </si>
  <si>
    <t>시구워서/시에서</t>
  </si>
  <si>
    <t>솟-(湧)</t>
  </si>
  <si>
    <t>32326-0-1</t>
  </si>
  <si>
    <t>새애＇미가 손는＇다/소＇꼬 이따</t>
  </si>
  <si>
    <t>이러케 소짜너</t>
  </si>
  <si>
    <t>소스믄 안된다/손:는다</t>
  </si>
  <si>
    <t>손능거/손는다구</t>
  </si>
  <si>
    <t>팍 손는다</t>
  </si>
  <si>
    <t>솓꾸/손는다</t>
  </si>
  <si>
    <t>32326-0-2</t>
  </si>
  <si>
    <t>우로 소서 올러간다구래</t>
  </si>
  <si>
    <t>나러서 소서따</t>
  </si>
  <si>
    <t>소사 나라간다</t>
  </si>
  <si>
    <t>소서오른다</t>
  </si>
  <si>
    <t>소사따</t>
  </si>
  <si>
    <t>좋:-(好)</t>
  </si>
  <si>
    <t>32327-0-1</t>
  </si>
  <si>
    <t>달＇무니 보기 조오＇타라/조오＇터라</t>
  </si>
  <si>
    <t>조:타구/그럼 부니기 조치 {그럼 분위기 좋지}/으미 조:쿠나 이래구 {음이 좋구나}/이써서 조켄네 {있어서 좋겠네}</t>
  </si>
  <si>
    <t>조:쿠</t>
  </si>
  <si>
    <t>기부니 조:타</t>
  </si>
  <si>
    <t>조:타</t>
  </si>
  <si>
    <t>32327-0-2</t>
  </si>
  <si>
    <t>기부＇니 조오＇와서 조타/소＇사서 조타/차암＇ 조＇와씀미다</t>
  </si>
  <si>
    <t>해가 조와서/조:와/으미 조:와서 재 노래도 자래네 이래지 {음이 좋아서 저 아이 노래도 잘하네}/따뜨태구 조와여 이래</t>
  </si>
  <si>
    <t>기부니 조:워서</t>
  </si>
  <si>
    <t>조:와/조:와서</t>
  </si>
  <si>
    <t>보기 조:워서</t>
  </si>
  <si>
    <t>날씨가 조:와서</t>
  </si>
  <si>
    <t>빨갛-(赤)</t>
  </si>
  <si>
    <t>32328-0-1</t>
  </si>
  <si>
    <t>빨가＇타</t>
  </si>
  <si>
    <t>빨거타구/입쑤레 빨건 치래능 거/발건 칠/빨거케 요러케 잉는다구/노:리라 그래요 벌거케</t>
  </si>
  <si>
    <t>벌거쿠/벌거니까</t>
  </si>
  <si>
    <t>피는 빨개치/피는 빨개타/뻘거케 다러따</t>
  </si>
  <si>
    <t>뻘거타</t>
  </si>
  <si>
    <t>발가타/빨가치요/발가치요</t>
  </si>
  <si>
    <t>32328-0-2</t>
  </si>
  <si>
    <t>빨개＇애서 조오＇타</t>
  </si>
  <si>
    <t>발거서 이뿌다구래지/노:리 시먼 벌거요</t>
  </si>
  <si>
    <t>벌개서/벌겅건/벌:개서</t>
  </si>
  <si>
    <t>빨겅건/피가 빨:개서/발:개야만</t>
  </si>
  <si>
    <t>뻘개:서/불거서</t>
  </si>
  <si>
    <t>발개서 조:타/빨개서</t>
  </si>
  <si>
    <t>끌:-(曳, 땅에 질질 ~)</t>
  </si>
  <si>
    <t>32329-0-1</t>
  </si>
  <si>
    <t>질질 끌＇고 이따/끄을＇른다</t>
  </si>
  <si>
    <t>끌:구 가</t>
  </si>
  <si>
    <t>끌:다/끌:고이따</t>
  </si>
  <si>
    <t>끌구 댕긴다/끈:다</t>
  </si>
  <si>
    <t>질질 끈:다</t>
  </si>
  <si>
    <t>끈:다/끌:구</t>
  </si>
  <si>
    <t>32329-0-2</t>
  </si>
  <si>
    <t>질질 끄＇라서/질질 끄＇으라</t>
  </si>
  <si>
    <t>끄:러 자버댕기지/끄:러 더퍼라</t>
  </si>
  <si>
    <t>끄:러서</t>
  </si>
  <si>
    <t>끄:러라</t>
  </si>
  <si>
    <t>넓-(廣)</t>
  </si>
  <si>
    <t>32330-0-1</t>
  </si>
  <si>
    <t>널＇따</t>
  </si>
  <si>
    <t>널브먼</t>
  </si>
  <si>
    <t>널떠라/널꾸/널찌 앙코 좁떠라/널부니 조타</t>
  </si>
  <si>
    <t>널:따</t>
  </si>
  <si>
    <t>32330-0-2</t>
  </si>
  <si>
    <t>널＇바사</t>
  </si>
  <si>
    <t>강이 널버</t>
  </si>
  <si>
    <t>널버서 건:네기 힘들다</t>
  </si>
  <si>
    <t>널버서 조:타</t>
  </si>
  <si>
    <t>하얗-(白)</t>
  </si>
  <si>
    <t>32331-0-1</t>
  </si>
  <si>
    <t>누운＇처럼 하야＇타라</t>
  </si>
  <si>
    <t>하::야케 물처럼 고이능 거 마리지/하야케 시지 {하얗게 세다}/하양 거/머리가 하마 하야케 시어꾸나 {머리가 벌써 하얗게 세었구나}/하여타 이래지</t>
  </si>
  <si>
    <t>하여니까/하여타/하여치/하양기/허여쿠</t>
  </si>
  <si>
    <t>하야니깐/머리가 하여케 시능걸/하여치/허여친 아너</t>
  </si>
  <si>
    <t>이건 퍼러코 이건 허여니/허여케 핀다구/하여차너/하여초/새까리 하여차너</t>
  </si>
  <si>
    <t>누:니 하야타/하야치요</t>
  </si>
  <si>
    <t>32331-0-2</t>
  </si>
  <si>
    <t>하얘＇애사/하여＇타</t>
  </si>
  <si>
    <t>장목쑤수는 허여/하여서 {하얘서}/하여서 이:뿌다 이래</t>
  </si>
  <si>
    <t>허예서/하얘서 이:뿌다</t>
  </si>
  <si>
    <t>하얘서</t>
  </si>
  <si>
    <t>허얘:서</t>
  </si>
  <si>
    <t>국(羹)</t>
  </si>
  <si>
    <t>32332-0-1</t>
  </si>
  <si>
    <t>국＇이 마시＇따/구＇기</t>
  </si>
  <si>
    <t>구기 마시따</t>
  </si>
  <si>
    <t>구이기지</t>
  </si>
  <si>
    <t>사람은 주금/구기라</t>
  </si>
  <si>
    <t>32332-0-2</t>
  </si>
  <si>
    <t>구＇구 머가＇라</t>
  </si>
  <si>
    <t>구글 끄레라</t>
  </si>
  <si>
    <t>구글 멍는다</t>
  </si>
  <si>
    <t>구굴 머거라</t>
  </si>
  <si>
    <t>구글 머거라</t>
  </si>
  <si>
    <t>32332-0-3</t>
  </si>
  <si>
    <t>구＇게다 밤마＇라 머＇가라.</t>
  </si>
  <si>
    <t>구게 마러머꼬 이래지</t>
  </si>
  <si>
    <t>구게서 찌거리가 나머따</t>
  </si>
  <si>
    <t>구게 벌레가 드러가따</t>
  </si>
  <si>
    <t>구게 파리 빠저따/구게다</t>
  </si>
  <si>
    <t>32332-0-4</t>
  </si>
  <si>
    <t>구＇구로</t>
  </si>
  <si>
    <t>구구로 끄레라</t>
  </si>
  <si>
    <t>노느로</t>
  </si>
  <si>
    <t>구구로</t>
  </si>
  <si>
    <t>구구루</t>
  </si>
  <si>
    <t>32332-0-5</t>
  </si>
  <si>
    <t>국하＇고 가치 머＇가라./국＇도 마시＇따</t>
  </si>
  <si>
    <t>구카구 바파구 {국하고 밥하고}</t>
  </si>
  <si>
    <t>국뚜</t>
  </si>
  <si>
    <t>국뚜 마시따</t>
  </si>
  <si>
    <t>국뚜 떠머꾸</t>
  </si>
  <si>
    <t>논(沓)</t>
  </si>
  <si>
    <t>32333-0-1</t>
  </si>
  <si>
    <t>노~이＇ 너르＇다./노~이＇라고/노니＇ 너르＇다/노니＇며는</t>
  </si>
  <si>
    <t>저 노니 꽤 튼데</t>
  </si>
  <si>
    <t>노는 만:타</t>
  </si>
  <si>
    <t>노니라</t>
  </si>
  <si>
    <t>노니 크다</t>
  </si>
  <si>
    <t>노니 널따</t>
  </si>
  <si>
    <t>32333-0-2</t>
  </si>
  <si>
    <t>노늘＇ 사따＇</t>
  </si>
  <si>
    <t>노늘 가라라</t>
  </si>
  <si>
    <t>노늘 바:라</t>
  </si>
  <si>
    <t>노늘 봐:라</t>
  </si>
  <si>
    <t>32333-0-3</t>
  </si>
  <si>
    <t>노＇네/그 노＇네</t>
  </si>
  <si>
    <t>노네 가 이란다 그래구 {논에 가서 일한다 그러고}</t>
  </si>
  <si>
    <t>노네는/노네서 나지</t>
  </si>
  <si>
    <t>노네 드러가따</t>
  </si>
  <si>
    <t>노네 드러가라</t>
  </si>
  <si>
    <t>32333-0-4</t>
  </si>
  <si>
    <t>노누＇로 가＇라/노는＇보고 노~이＇ 너르다는 마른 아나지요.</t>
  </si>
  <si>
    <t>노느루 대는 데 쪼븐 데 보:또랑</t>
  </si>
  <si>
    <t>노누로 가가라</t>
  </si>
  <si>
    <t>노누로 가라</t>
  </si>
  <si>
    <t>노느루 가라</t>
  </si>
  <si>
    <t>32333-0-5</t>
  </si>
  <si>
    <t>논도＇ 마아＇내.</t>
  </si>
  <si>
    <t>저지벤 논두 만:타</t>
  </si>
  <si>
    <t>논두 널따</t>
  </si>
  <si>
    <t>쌀(米)</t>
  </si>
  <si>
    <t>32334-0-1</t>
  </si>
  <si>
    <t>싸리＇</t>
  </si>
  <si>
    <t>싸리 만태거나 {쌀이 많다거나}</t>
  </si>
  <si>
    <t>싸리 나오지</t>
  </si>
  <si>
    <t>싸리 만타</t>
  </si>
  <si>
    <t>싸리 마시따</t>
  </si>
  <si>
    <t>싸리 만:타</t>
  </si>
  <si>
    <t>32334-0-2</t>
  </si>
  <si>
    <t>싸를＇ 머가라/싸르＇ 가지고 떠그＇ 만든다</t>
  </si>
  <si>
    <t>잘게다가 싸를/싸를 되고 이따</t>
  </si>
  <si>
    <t>싸를</t>
  </si>
  <si>
    <t>싸르 가주와라</t>
  </si>
  <si>
    <t>싸를 먹짜</t>
  </si>
  <si>
    <t>32334-0-3</t>
  </si>
  <si>
    <t>싸레＇</t>
  </si>
  <si>
    <t>싸레다가 보리를</t>
  </si>
  <si>
    <t>싸레다 무를 붜라</t>
  </si>
  <si>
    <t>싸레 바:게미가 나따</t>
  </si>
  <si>
    <t>싸레 바구미가 이따</t>
  </si>
  <si>
    <t>32334-0-4</t>
  </si>
  <si>
    <t>쌀로＇ 수＇를</t>
  </si>
  <si>
    <t>쌀루</t>
  </si>
  <si>
    <t>쌀루 {쌀로}/쌀로 하지</t>
  </si>
  <si>
    <t>쌀로 바패</t>
  </si>
  <si>
    <t>쌀로 바블 한다</t>
  </si>
  <si>
    <t>32334-0-5</t>
  </si>
  <si>
    <t>거 쌀부텀＇ 가주 오나라/쌀뚜＇ 차암＇ 마안＇타/쌀또＇ 마안＇타</t>
  </si>
  <si>
    <t>쌀 좀 씨서 바패라/쌀두 만치</t>
  </si>
  <si>
    <t>쌀두 만:타</t>
  </si>
  <si>
    <t>쌀뚜 마시따</t>
  </si>
  <si>
    <t>쌀두 만타</t>
  </si>
  <si>
    <t>봄(春)</t>
  </si>
  <si>
    <t>32335-0-1</t>
  </si>
  <si>
    <t>보미＇ 온다 보미＇ 와 인제 입춘 지이＇내사 보미＇ 온다/보미＇ 와따＇</t>
  </si>
  <si>
    <t>보미 또 오구/보미 오고</t>
  </si>
  <si>
    <t>보미 오지</t>
  </si>
  <si>
    <t>보미 도라오지</t>
  </si>
  <si>
    <t>보미 되여따</t>
  </si>
  <si>
    <t>보미 돼:따</t>
  </si>
  <si>
    <t>32335-0-2</t>
  </si>
  <si>
    <t>보믈＇ 마지해따</t>
  </si>
  <si>
    <t>보믈 마지한다</t>
  </si>
  <si>
    <t>보믈 마저따</t>
  </si>
  <si>
    <t>32335-0-3</t>
  </si>
  <si>
    <t>보＇메</t>
  </si>
  <si>
    <t>보메</t>
  </si>
  <si>
    <t>보메 꼬치 피지</t>
  </si>
  <si>
    <t>보메 나드리 가자</t>
  </si>
  <si>
    <t>32335-0-4</t>
  </si>
  <si>
    <t>보무＇로</t>
  </si>
  <si>
    <t>보무로</t>
  </si>
  <si>
    <t>보무루</t>
  </si>
  <si>
    <t>32335-0-5</t>
  </si>
  <si>
    <t>봄도＇ 온다</t>
  </si>
  <si>
    <t>봄도 짤르다</t>
  </si>
  <si>
    <t>봄두 조:타</t>
  </si>
  <si>
    <t>봄도</t>
  </si>
  <si>
    <t>집(家)</t>
  </si>
  <si>
    <t>32336-0-1</t>
  </si>
  <si>
    <t>지＇비 크다＇./그 지＇비 노~이＇ 마아＇내.</t>
  </si>
  <si>
    <t>지비 가껍따구</t>
  </si>
  <si>
    <t>지비 조:타</t>
  </si>
  <si>
    <t>지비 크다</t>
  </si>
  <si>
    <t>32336-0-2</t>
  </si>
  <si>
    <t>그 지＇부 제 바:라./그 지＇블 제＇에 바라.</t>
  </si>
  <si>
    <t>지블 새로 지:라</t>
  </si>
  <si>
    <t>지불 파러따</t>
  </si>
  <si>
    <t>지블 지짜</t>
  </si>
  <si>
    <t>32336-0-3</t>
  </si>
  <si>
    <t>지＇베서 지＇부로부터</t>
  </si>
  <si>
    <t>지베</t>
  </si>
  <si>
    <t>지베 이따</t>
  </si>
  <si>
    <t>지베 오더가 비를 마저따</t>
  </si>
  <si>
    <t>지베서 논:다</t>
  </si>
  <si>
    <t>32336-0-4</t>
  </si>
  <si>
    <t>지＇베서 지＇부로부터/지＇부로 가＇라</t>
  </si>
  <si>
    <t>저 지븐 애기가 나서 잘 크네 이래 {저 집은 애기가 나서 잘 크네 이래}/지부루 가거라/지브로 온다</t>
  </si>
  <si>
    <t>지부로</t>
  </si>
  <si>
    <t>지부루 간다/지부로 도라온다</t>
  </si>
  <si>
    <t>지부로 간다</t>
  </si>
  <si>
    <t>32336-0-5</t>
  </si>
  <si>
    <t>집＇또 튼트나＇다</t>
  </si>
  <si>
    <t>집뚜 널따</t>
  </si>
  <si>
    <t>집뚜 크다</t>
  </si>
  <si>
    <t>옷(衣)</t>
  </si>
  <si>
    <t>32337-0-1</t>
  </si>
  <si>
    <t>오시＇ 깨끄타＇다</t>
  </si>
  <si>
    <t>아무거나 오시니까</t>
  </si>
  <si>
    <t>임는 오시지</t>
  </si>
  <si>
    <t>오시 이:뿌다</t>
  </si>
  <si>
    <t>오시 만타</t>
  </si>
  <si>
    <t>32337-0-2</t>
  </si>
  <si>
    <t>오스＇ 이바라</t>
  </si>
  <si>
    <t>오슬 맨드르느라구/오설 더 떠이버라 {옷을 떠 껴 입어라}</t>
  </si>
  <si>
    <t>오슬 이버라</t>
  </si>
  <si>
    <t>오설 임는다</t>
  </si>
  <si>
    <t>오슬 가주와라</t>
  </si>
  <si>
    <t>32337-0-3</t>
  </si>
  <si>
    <t>아이 오세＇ 얼루＇기가 저따＇</t>
  </si>
  <si>
    <t>오세 무더따</t>
  </si>
  <si>
    <t>오세 머이 무더따</t>
  </si>
  <si>
    <t>오세</t>
  </si>
  <si>
    <t>오세 구머~이 나따</t>
  </si>
  <si>
    <t>32337-0-4</t>
  </si>
  <si>
    <t>오스＇로 걸＇레를 만드라따</t>
  </si>
  <si>
    <t>깨끄탄 오스로 가라 이버라</t>
  </si>
  <si>
    <t>모쓰는 오스로</t>
  </si>
  <si>
    <t>오스루</t>
  </si>
  <si>
    <t>32337-0-5</t>
  </si>
  <si>
    <t>오또＇ 깨끄타＇다</t>
  </si>
  <si>
    <t>오뚜 만:타</t>
  </si>
  <si>
    <t>오또 만타</t>
  </si>
  <si>
    <t>오뚜 만타</t>
  </si>
  <si>
    <t>방(房)</t>
  </si>
  <si>
    <t>32338-0-1</t>
  </si>
  <si>
    <t>바＇~이 너르다</t>
  </si>
  <si>
    <t>방이 꽤 널꾸나</t>
  </si>
  <si>
    <t>바~이 만:타</t>
  </si>
  <si>
    <t>방이 널따</t>
  </si>
  <si>
    <t>바~이 널따</t>
  </si>
  <si>
    <t>32338-0-2</t>
  </si>
  <si>
    <t>방＇을 방＇은 자첼＇ 치울 쑤 웁＇꼬</t>
  </si>
  <si>
    <t>방을 따꺼라</t>
  </si>
  <si>
    <t>방을 맨드러따</t>
  </si>
  <si>
    <t>방을</t>
  </si>
  <si>
    <t>32338-0-3</t>
  </si>
  <si>
    <t>방＇에</t>
  </si>
  <si>
    <t>방에 드러가이꺼라/방에서 일핸다구래</t>
  </si>
  <si>
    <t>방에 드러가서</t>
  </si>
  <si>
    <t>방에/방에서</t>
  </si>
  <si>
    <t>방에 안저이따</t>
  </si>
  <si>
    <t>방에 드러가자</t>
  </si>
  <si>
    <t>32338-0-4</t>
  </si>
  <si>
    <t>방＇으로 가＇라</t>
  </si>
  <si>
    <t>방으로 드러가가라</t>
  </si>
  <si>
    <t>방으로 가자</t>
  </si>
  <si>
    <t>방으루 가라</t>
  </si>
  <si>
    <t>32338-0-5</t>
  </si>
  <si>
    <t>방＇도 널＇따/방＇부텀＇ 청소해라/방＇부터</t>
  </si>
  <si>
    <t>방두 만:타</t>
  </si>
  <si>
    <t>방도 널따</t>
  </si>
  <si>
    <t>방두 널따</t>
  </si>
  <si>
    <t>낮(晝)</t>
  </si>
  <si>
    <t>32339-0-1</t>
  </si>
  <si>
    <t>나지＇로 이라지 나지＇로/대나지＇대이/나지＇ 짜르＇다/나지＇다 낟</t>
  </si>
  <si>
    <t>나지 길:구</t>
  </si>
  <si>
    <t>나지 질:다</t>
  </si>
  <si>
    <t>나지라</t>
  </si>
  <si>
    <t>32339-0-2</t>
  </si>
  <si>
    <t>나들 버싸마 이란다</t>
  </si>
  <si>
    <t>나즐 보내고</t>
  </si>
  <si>
    <t>32339-0-3</t>
  </si>
  <si>
    <t>나＇제 그 머 저/나＇제가 아~이＇고/나＇제 일해라/대나＇제/나＇제 나＇제</t>
  </si>
  <si>
    <t>나제 일해지</t>
  </si>
  <si>
    <t>나제는 이:라구/나:제 당기지</t>
  </si>
  <si>
    <t>나제 먹짜</t>
  </si>
  <si>
    <t>나제 일가자</t>
  </si>
  <si>
    <t>32339-0-4</t>
  </si>
  <si>
    <t>나즈＇로 일하러 간다</t>
  </si>
  <si>
    <t>나즈로 이:라고</t>
  </si>
  <si>
    <t>바믈 나즈로 삼는다</t>
  </si>
  <si>
    <t>나즈루 이라러 가자</t>
  </si>
  <si>
    <t>32339-0-5</t>
  </si>
  <si>
    <t>나또＇ 지일＇다</t>
  </si>
  <si>
    <t>밤도 나또 또까따</t>
  </si>
  <si>
    <t>낟</t>
  </si>
  <si>
    <t>나뚜 질:다</t>
  </si>
  <si>
    <t>낯(顔)</t>
  </si>
  <si>
    <t>32340-0-1</t>
  </si>
  <si>
    <t>나＇치 벌거타/나＇치 벌::거＇타</t>
  </si>
  <si>
    <t>나치 뻘:거코</t>
  </si>
  <si>
    <t>나시라구래지</t>
  </si>
  <si>
    <t>나치 둥굴다/나치라고</t>
  </si>
  <si>
    <t>나시 크다</t>
  </si>
  <si>
    <t>32340-0-2</t>
  </si>
  <si>
    <t>나＇트 좀 시＇까라</t>
  </si>
  <si>
    <t>나철 씨래</t>
  </si>
  <si>
    <t>나틀 쎼:라</t>
  </si>
  <si>
    <t>나슬</t>
  </si>
  <si>
    <t>나틀 쎄:라</t>
  </si>
  <si>
    <t>나츨/나슬 봐:라</t>
  </si>
  <si>
    <t>32340-0-3</t>
  </si>
  <si>
    <t>나＇태</t>
  </si>
  <si>
    <t>나테</t>
  </si>
  <si>
    <t>나세</t>
  </si>
  <si>
    <t>32340-0-4</t>
  </si>
  <si>
    <t>나＇트로</t>
  </si>
  <si>
    <t>나스로</t>
  </si>
  <si>
    <t>32340-0-5</t>
  </si>
  <si>
    <t>나＇또</t>
  </si>
  <si>
    <t>낟 씨어라</t>
  </si>
  <si>
    <t>나또 둥굴다</t>
  </si>
  <si>
    <t>나뚜 둥굴다</t>
  </si>
  <si>
    <t>부엌(廚)</t>
  </si>
  <si>
    <t>32341-0-1</t>
  </si>
  <si>
    <t>버어＇키 널＇따</t>
  </si>
  <si>
    <t>붜:키라 그래(+다)</t>
  </si>
  <si>
    <t>붜:키 널따/부어키 널따/부어키지</t>
  </si>
  <si>
    <t>부어키라</t>
  </si>
  <si>
    <t>버:키 널따/버:키라고</t>
  </si>
  <si>
    <t>부어기라</t>
  </si>
  <si>
    <t>32341-0-2</t>
  </si>
  <si>
    <t>버어＇클</t>
  </si>
  <si>
    <t>버:클 바라</t>
  </si>
  <si>
    <t>부어글 봐:라</t>
  </si>
  <si>
    <t>32341-0-3</t>
  </si>
  <si>
    <t>버어＇케는/버어＇캐 가＇라</t>
  </si>
  <si>
    <t>붜어:키라고 마:~이 해지 부어케/붜:케</t>
  </si>
  <si>
    <t>부어케 가서 이래라</t>
  </si>
  <si>
    <t>부어케서</t>
  </si>
  <si>
    <t>버:케 가라</t>
  </si>
  <si>
    <t>부어게 가자</t>
  </si>
  <si>
    <t>32341-0-4</t>
  </si>
  <si>
    <t>버어＇크로 가＇라</t>
  </si>
  <si>
    <t>붜:크로 가라</t>
  </si>
  <si>
    <t>버:크루 가라</t>
  </si>
  <si>
    <t>부어그루 가라</t>
  </si>
  <si>
    <t>32341-0-5</t>
  </si>
  <si>
    <t>버억＇또 본다</t>
  </si>
  <si>
    <t>부억</t>
  </si>
  <si>
    <t>붝:또 널따</t>
  </si>
  <si>
    <t>벅:뚜 널따</t>
  </si>
  <si>
    <t>부억뚜 널따</t>
  </si>
  <si>
    <t>밭(田)</t>
  </si>
  <si>
    <t>32342-0-1</t>
  </si>
  <si>
    <t>바＇치 너르다＇라</t>
  </si>
  <si>
    <t>바치 너머 멀다 그래구/우리집 바치</t>
  </si>
  <si>
    <t>바치 널따</t>
  </si>
  <si>
    <t>바시 널따/바침 바치구 {밭이면 밭이고}</t>
  </si>
  <si>
    <t>바시 널따</t>
  </si>
  <si>
    <t>32342-0-2</t>
  </si>
  <si>
    <t>바＇틀 매애＇라/바＇틀 가알＇고</t>
  </si>
  <si>
    <t>바틀 바:라</t>
  </si>
  <si>
    <t>바츨 간:다</t>
  </si>
  <si>
    <t>바틀 가러따</t>
  </si>
  <si>
    <t>바슬 봐라</t>
  </si>
  <si>
    <t>32342-0-3</t>
  </si>
  <si>
    <t>그 바＇테 안자이꾸나</t>
  </si>
  <si>
    <t>바테/바테 가 이란다 그래구 {밭에 가서 일한다 그러고}/바테 가 일해넝 거</t>
  </si>
  <si>
    <t>바테 물주러 가자</t>
  </si>
  <si>
    <t>바테 이따</t>
  </si>
  <si>
    <t>바테 가라</t>
  </si>
  <si>
    <t>32342-0-4</t>
  </si>
  <si>
    <t>바＇트로 일＇하러 가자</t>
  </si>
  <si>
    <t>바트루 일해러 가</t>
  </si>
  <si>
    <t>바트로 가지</t>
  </si>
  <si>
    <t>바트루 가자</t>
  </si>
  <si>
    <t>바트로 가라</t>
  </si>
  <si>
    <t>바츤 바뜨러기라고/바트로 가라</t>
  </si>
  <si>
    <t>32342-0-5</t>
  </si>
  <si>
    <t>바＇꽈 구분한다며는/바＇또 널＇따/받</t>
  </si>
  <si>
    <t>반 맨다 그래구</t>
  </si>
  <si>
    <t>바뽀덩 노니 더 크다</t>
  </si>
  <si>
    <t>바뚜 만타</t>
  </si>
  <si>
    <t>바뚜 널따</t>
  </si>
  <si>
    <t>앞(前)</t>
  </si>
  <si>
    <t>32343-0-1</t>
  </si>
  <si>
    <t>아＇피 환::하＇게 피어따</t>
  </si>
  <si>
    <t>아피 널따/지서 아핀데 뭘:</t>
  </si>
  <si>
    <t>아피 잘보인다</t>
  </si>
  <si>
    <t>내 아피 널따</t>
  </si>
  <si>
    <t>아피 훤하다/아피고</t>
  </si>
  <si>
    <t>아피 훤하다</t>
  </si>
  <si>
    <t>32343-0-2</t>
  </si>
  <si>
    <t>아＇플 바아＇라</t>
  </si>
  <si>
    <t>아플 봐라/아플 바:라</t>
  </si>
  <si>
    <t>아풀 바:라</t>
  </si>
  <si>
    <t>아플 봐:라</t>
  </si>
  <si>
    <t>32343-0-3</t>
  </si>
  <si>
    <t>아＇페 아＇페 가 봐라/아＇페 안자＇라</t>
  </si>
  <si>
    <t>아페/지서 아페서</t>
  </si>
  <si>
    <t>아페두 이따/아페서 방해한다</t>
  </si>
  <si>
    <t>아페 서라</t>
  </si>
  <si>
    <t>아페</t>
  </si>
  <si>
    <t>32343-0-4</t>
  </si>
  <si>
    <t>아＇푸로 바아＇라/아＇푸로 안제＇라</t>
  </si>
  <si>
    <t>아푸로 이러케/아푸루 가라</t>
  </si>
  <si>
    <t>아푸루 바라</t>
  </si>
  <si>
    <t>아푸로 가라</t>
  </si>
  <si>
    <t>32343-0-5</t>
  </si>
  <si>
    <t>아＇뿌터 바아＇라 아＇뿌터 내애＇다바라</t>
  </si>
  <si>
    <t>암만 가레 주능 거 {앞만 가려 주는 것}</t>
  </si>
  <si>
    <t>압뚜 잘보인다</t>
  </si>
  <si>
    <t>압뚜 널따</t>
  </si>
  <si>
    <t>넋(魂)</t>
  </si>
  <si>
    <t>32344-0-1</t>
  </si>
  <si>
    <t>넉＇씨 빠저싸./넉＇씨 빠저따.</t>
  </si>
  <si>
    <t>넉씨 떠러저따 그래구</t>
  </si>
  <si>
    <t>넉씨 나가따</t>
  </si>
  <si>
    <t>넉씨가</t>
  </si>
  <si>
    <t>너기 나가따</t>
  </si>
  <si>
    <t>32344-0-2</t>
  </si>
  <si>
    <t>넉쓸</t>
  </si>
  <si>
    <t>너썰 노코 이따구</t>
  </si>
  <si>
    <t>넉쓸 이러따 그래지</t>
  </si>
  <si>
    <t>넉씰 이러따/넉씨를 이러따</t>
  </si>
  <si>
    <t>너글</t>
  </si>
  <si>
    <t>32344-0-3</t>
  </si>
  <si>
    <t>32344-0-4</t>
  </si>
  <si>
    <t>넋-으로</t>
  </si>
  <si>
    <t>32344-0-5</t>
  </si>
  <si>
    <t>넉＇또 일＇찌마아라</t>
  </si>
  <si>
    <t>넉뚜 일쿠</t>
  </si>
  <si>
    <t>넉씨도</t>
  </si>
  <si>
    <t>넉뚜 나가따</t>
  </si>
  <si>
    <t>흙(土)</t>
  </si>
  <si>
    <t>32345-0-1</t>
  </si>
  <si>
    <t>흘＇기 마안＇타/그 흘＇기 지＇라사/흘＇기 마안＇타 흘＇기</t>
  </si>
  <si>
    <t>흐기 무꾸(＇으＇가 좀더 아래에서 발음이 됨)/흐기 무찌 {흙이 묻지}</t>
  </si>
  <si>
    <t>흐기 만타/흐이기 만치 {흙이 많지}</t>
  </si>
  <si>
    <t>흘기라</t>
  </si>
  <si>
    <t>흘기 만:타</t>
  </si>
  <si>
    <t>흐기 만타</t>
  </si>
  <si>
    <t>32345-0-2</t>
  </si>
  <si>
    <t>흘＇그 가주와 흘＇그</t>
  </si>
  <si>
    <t>흐글 이겨서 {흙을 이겨서}</t>
  </si>
  <si>
    <t>흐글 퍼와라</t>
  </si>
  <si>
    <t>흐글/흘글 더퍼라</t>
  </si>
  <si>
    <t>흘글 가주와라</t>
  </si>
  <si>
    <t>흐글 가주와라</t>
  </si>
  <si>
    <t>32345-0-3</t>
  </si>
  <si>
    <t>흘＇개서</t>
  </si>
  <si>
    <t>흐게 둥구능 거</t>
  </si>
  <si>
    <t>그 흐게 벌거지가 만타/흐게서 벌거지가 나와따</t>
  </si>
  <si>
    <t>흘게 파문는다</t>
  </si>
  <si>
    <t>흘게 파무체따</t>
  </si>
  <si>
    <t>흐게 너머저따</t>
  </si>
  <si>
    <t>32345-0-4</t>
  </si>
  <si>
    <t>흘＇그로</t>
  </si>
  <si>
    <t>그저네 흐그로 할 쩨는 최배하느니 마벼글 해느니 {그전에 흙으로 할 적에는 초배하느니 맞벽을 하느니}</t>
  </si>
  <si>
    <t>흐그로 지블 지따</t>
  </si>
  <si>
    <t>훌구루 {흙으로}</t>
  </si>
  <si>
    <t>흘그로 만드러따</t>
  </si>
  <si>
    <t>흐그로 지블 지어따</t>
  </si>
  <si>
    <t>32345-0-5</t>
  </si>
  <si>
    <t>흘＇ 토/흐르＇도 마안＇타 그그＇는/흐르＇부텀 가주 오나라/흘＇또 마안＇타</t>
  </si>
  <si>
    <t>흑 때미레 내레 분능 거</t>
  </si>
  <si>
    <t>흑뚜 망쿠/흑쪼차 만타/흑뻐텀 가주나라/흑뚜 만타</t>
  </si>
  <si>
    <t>흑</t>
  </si>
  <si>
    <t>흑뚜 만:타</t>
  </si>
  <si>
    <t>흑뚜 만타</t>
  </si>
  <si>
    <t>여덟(八)</t>
  </si>
  <si>
    <t>32346-0-1</t>
  </si>
  <si>
    <t>여＇덜비 마안＇타/여＇덜비다 여＇덜/여＇더리 마안＇타/여＇덜비 더 만＇타</t>
  </si>
  <si>
    <t>일굽따메 여더리자너</t>
  </si>
  <si>
    <t>여들비지/여들비다/여드리 더 만:타</t>
  </si>
  <si>
    <t>흐기 무둘쑤가/여더리라</t>
  </si>
  <si>
    <t>여덜비 만타</t>
  </si>
  <si>
    <t>여더리다</t>
  </si>
  <si>
    <t>32346-0-2</t>
  </si>
  <si>
    <t>여＇덜블</t>
  </si>
  <si>
    <t>여들블/여들블 셰:라/여들블 세:라</t>
  </si>
  <si>
    <t>여덜블 세라</t>
  </si>
  <si>
    <t>여더를 세:라</t>
  </si>
  <si>
    <t>32346-0-3</t>
  </si>
  <si>
    <t>여＇덜배서 하나를 빼애＇라</t>
  </si>
  <si>
    <t>여들베 함말 더하믄 아호깨지./여들베서 하나를 빼면 일굽</t>
  </si>
  <si>
    <t>여덜베서 하날 빼먼 일구비다</t>
  </si>
  <si>
    <t>여더레서</t>
  </si>
  <si>
    <t>32346-0-4</t>
  </si>
  <si>
    <t>여＇덜부로도/여＇덜부로도 모오＇자란다</t>
  </si>
  <si>
    <t>32346-0-5</t>
  </si>
  <si>
    <t>여＇덜또/여＇덜부텀 세＇바라/여＇덜또 마안＇타/여＇덜명</t>
  </si>
  <si>
    <t>여덜/여덜깨라 구래지</t>
  </si>
  <si>
    <t>여들두 만:타/여들부텅 셰:라/여들도 만:타</t>
  </si>
  <si>
    <t>여덜두</t>
  </si>
  <si>
    <t>여덜또 만:타</t>
  </si>
  <si>
    <t>여덜도 망코</t>
  </si>
  <si>
    <t>돌(週歲)</t>
  </si>
  <si>
    <t>32347-0-1</t>
  </si>
  <si>
    <t>도리＇ 와딴＇다/도리＇ 와따</t>
  </si>
  <si>
    <t>도리 됀네/도리 돼따 그래지/도리 짜르구나/애기 태어난 나리 도리여</t>
  </si>
  <si>
    <t>도리다</t>
  </si>
  <si>
    <t>도리 도라와따/도리라</t>
  </si>
  <si>
    <t>도리 도러와따</t>
  </si>
  <si>
    <t>도리 도라와따</t>
  </si>
  <si>
    <t>32347-0-2</t>
  </si>
  <si>
    <t>도를＇ 자알 게산해야 된다</t>
  </si>
  <si>
    <t>도를 한다</t>
  </si>
  <si>
    <t>도를</t>
  </si>
  <si>
    <t>도를 마저따</t>
  </si>
  <si>
    <t>도를 마지해따</t>
  </si>
  <si>
    <t>32347-0-3</t>
  </si>
  <si>
    <t>도레＇/도레 잔치＇를 한다</t>
  </si>
  <si>
    <t>도레 잔치한다</t>
  </si>
  <si>
    <t>도레 잔치해따</t>
  </si>
  <si>
    <t>32347-0-4</t>
  </si>
  <si>
    <t>돌로＇부터 시빌후에는</t>
  </si>
  <si>
    <t>32347-0-5</t>
  </si>
  <si>
    <t>돌또＇ 되어따</t>
  </si>
  <si>
    <t>돌잔치</t>
  </si>
  <si>
    <t>돌두</t>
  </si>
  <si>
    <t>돌뚜 마저따</t>
  </si>
  <si>
    <t>돌도</t>
  </si>
  <si>
    <t>값(價)</t>
  </si>
  <si>
    <t>32348-0-1</t>
  </si>
  <si>
    <t>갑씨＇ 마아~＇이 나간다</t>
  </si>
  <si>
    <t>갑씨 마:~이 나가게따</t>
  </si>
  <si>
    <t>갑씨 비싸다</t>
  </si>
  <si>
    <t>갑씨라구/물견깝씨 비싸다</t>
  </si>
  <si>
    <t>32348-0-2</t>
  </si>
  <si>
    <t>갑쓸＇ 잘 처라</t>
  </si>
  <si>
    <t>짐치깝쓸 {김치값을}</t>
  </si>
  <si>
    <t>갑쓸 줘:라</t>
  </si>
  <si>
    <t>갑쓸 잘 처줘라</t>
  </si>
  <si>
    <t>갑쓸 치러라</t>
  </si>
  <si>
    <t>갑쓸/가블 처따</t>
  </si>
  <si>
    <t>32348-0-3</t>
  </si>
  <si>
    <t>갑쎄＇도</t>
  </si>
  <si>
    <t>32348-0-4</t>
  </si>
  <si>
    <t>갑쓰＇로도</t>
  </si>
  <si>
    <t>갑쓰로</t>
  </si>
  <si>
    <t>가브루</t>
  </si>
  <si>
    <t>32348-0-5</t>
  </si>
  <si>
    <t>갑또＇ 잘 처좌라.</t>
  </si>
  <si>
    <t>갑또 비싸다</t>
  </si>
  <si>
    <t>갑뚜 비싸다</t>
  </si>
  <si>
    <t>속:(內)</t>
  </si>
  <si>
    <t>32349-0-1</t>
  </si>
  <si>
    <t>소오＇기 아푸다/소오＇기 베＇에따</t>
  </si>
  <si>
    <t>소:기 널따 그래구</t>
  </si>
  <si>
    <t>소이기 곰:는다/소:기 마:~이 궁굴구/소:기 쓰리다 그래</t>
  </si>
  <si>
    <t>소:기 아푸다</t>
  </si>
  <si>
    <t>소:기 안조타</t>
  </si>
  <si>
    <t>32349-0-2</t>
  </si>
  <si>
    <t>소오＇글 모오뽄다</t>
  </si>
  <si>
    <t>소:글 바라</t>
  </si>
  <si>
    <t>소:글</t>
  </si>
  <si>
    <t>소:글 비워라</t>
  </si>
  <si>
    <t>32349-0-3</t>
  </si>
  <si>
    <t>소오＇게서 용트림한다</t>
  </si>
  <si>
    <t>소:게 드러따</t>
  </si>
  <si>
    <t>소:게</t>
  </si>
  <si>
    <t>32349-0-4</t>
  </si>
  <si>
    <t>소오＇그로 사겨다</t>
  </si>
  <si>
    <t>소:그로 드러가따</t>
  </si>
  <si>
    <t>소:구로 드러가따</t>
  </si>
  <si>
    <t>소구루 드러가따</t>
  </si>
  <si>
    <t>32349-0-5</t>
  </si>
  <si>
    <t>소옥＇또 아푸다</t>
  </si>
  <si>
    <t>굴: 속:뚜 널꾸</t>
  </si>
  <si>
    <t>속:또 안조타</t>
  </si>
  <si>
    <t>속:뚜 쓰리다</t>
  </si>
  <si>
    <t>돈:(錢)</t>
  </si>
  <si>
    <t>32350-0-1</t>
  </si>
  <si>
    <t>도오＇니 만타</t>
  </si>
  <si>
    <t>나 도:니 업씨~이 좀 꿔 줘요 이래야 꿔 주지/도:니 아니구</t>
  </si>
  <si>
    <t>도:니 만타</t>
  </si>
  <si>
    <t>부자는 도:니 만타</t>
  </si>
  <si>
    <t>32350-0-2</t>
  </si>
  <si>
    <t>도오＇늘 가주와라</t>
  </si>
  <si>
    <t>도:널 마니 버러다 주먼/도:널 주구/도:널 더 줌 비싸게 사따 그래구</t>
  </si>
  <si>
    <t>도:늘 마:~이 번다</t>
  </si>
  <si>
    <t>도:늘 치뤄야지/그래이까 도:널 반넝거이 품파리라능거</t>
  </si>
  <si>
    <t>도:늘 빌레줘</t>
  </si>
  <si>
    <t>도:늘 가주와라</t>
  </si>
  <si>
    <t>32350-0-3</t>
  </si>
  <si>
    <t>도오＇네 글씨가 이따</t>
  </si>
  <si>
    <t>도:네 때가 무더다</t>
  </si>
  <si>
    <t>도:네 얼룩쩌따</t>
  </si>
  <si>
    <t>도:네 흐기 무더따</t>
  </si>
  <si>
    <t>32350-0-4</t>
  </si>
  <si>
    <t>도오＇느로 물거늘 사따</t>
  </si>
  <si>
    <t>그도느로 물겨늘 사따</t>
  </si>
  <si>
    <t>도느로</t>
  </si>
  <si>
    <t>도:느루</t>
  </si>
  <si>
    <t>32350-0-5</t>
  </si>
  <si>
    <t>도온＇도 마안＇타</t>
  </si>
  <si>
    <t>돈:두 쬐끔 쓰구</t>
  </si>
  <si>
    <t>돈:두 만타/돈:두 망:쿠</t>
  </si>
  <si>
    <t>돈:</t>
  </si>
  <si>
    <t>돈:두 만타</t>
  </si>
  <si>
    <t>발(足)</t>
  </si>
  <si>
    <t>32351-0-1</t>
  </si>
  <si>
    <t>바리＇ 크다＇라</t>
  </si>
  <si>
    <t>바리지 머</t>
  </si>
  <si>
    <t>바리 크다</t>
  </si>
  <si>
    <t>바리 널따</t>
  </si>
  <si>
    <t>32351-0-2</t>
  </si>
  <si>
    <t>바를＇ 자＇바라</t>
  </si>
  <si>
    <t>도:널 마:~이 버러다 주니까</t>
  </si>
  <si>
    <t>바를 바라</t>
  </si>
  <si>
    <t>바를 자버라</t>
  </si>
  <si>
    <t>바를 씨서라</t>
  </si>
  <si>
    <t>바를 봐라</t>
  </si>
  <si>
    <t>32351-0-3</t>
  </si>
  <si>
    <t>바레＇/바레＇ 벌거＇지가 이싸따</t>
  </si>
  <si>
    <t>바레 부상을 다~해따</t>
  </si>
  <si>
    <t>바레 무더따</t>
  </si>
  <si>
    <t>바레 상처나따</t>
  </si>
  <si>
    <t>32351-0-4</t>
  </si>
  <si>
    <t>발로＇ 찬다</t>
  </si>
  <si>
    <t>발루 공을 차따</t>
  </si>
  <si>
    <t>발루 찬다</t>
  </si>
  <si>
    <t>발로 공:을 차따</t>
  </si>
  <si>
    <t>32351-0-5</t>
  </si>
  <si>
    <t>발또＇ 크다</t>
  </si>
  <si>
    <t>발두 크다</t>
  </si>
  <si>
    <t>이사람 발또 크다</t>
  </si>
  <si>
    <t>짐(物)</t>
  </si>
  <si>
    <t>32352-0-1</t>
  </si>
  <si>
    <t>지미＇ 마안＇타</t>
  </si>
  <si>
    <t>한 지미라 그래두/지미 마:너예</t>
  </si>
  <si>
    <t>지미 만:타</t>
  </si>
  <si>
    <t>지미 만타</t>
  </si>
  <si>
    <t>지미 크다</t>
  </si>
  <si>
    <t>32352-0-2</t>
  </si>
  <si>
    <t>수＇레에 지물＇ 시일＇른다</t>
  </si>
  <si>
    <t>지멀 내리능 거 {짐을 내리는 거}</t>
  </si>
  <si>
    <t>지믈 신:찌</t>
  </si>
  <si>
    <t>지믈 시러라</t>
  </si>
  <si>
    <t>지믈 시러따</t>
  </si>
  <si>
    <t>지믈 신는다/지믈 가주와라</t>
  </si>
  <si>
    <t>32352-0-3</t>
  </si>
  <si>
    <t>지메＇도</t>
  </si>
  <si>
    <t>지메 깔레따</t>
  </si>
  <si>
    <t>지메 뭐이 무더따</t>
  </si>
  <si>
    <t>32352-0-4</t>
  </si>
  <si>
    <t>지무＇로는</t>
  </si>
  <si>
    <t>지무루 해능 건 그냥</t>
  </si>
  <si>
    <t>지무로</t>
  </si>
  <si>
    <t>32352-0-5</t>
  </si>
  <si>
    <t>짐도＇ 마안＇타</t>
  </si>
  <si>
    <t>짐 부리네 이래자너</t>
  </si>
  <si>
    <t>짐두 만:타</t>
  </si>
  <si>
    <t>짐/짐두</t>
  </si>
  <si>
    <t>짐두 만타</t>
  </si>
  <si>
    <t>짐두 크다</t>
  </si>
  <si>
    <t>입(口)</t>
  </si>
  <si>
    <t>32353-0-1</t>
  </si>
  <si>
    <t>이비＇ 빨＇라/그＇ 사람 이비＇ 크다＇라</t>
  </si>
  <si>
    <t>이비 크다 그래나 뭐래</t>
  </si>
  <si>
    <t>이비 크다</t>
  </si>
  <si>
    <t>32353-0-2</t>
  </si>
  <si>
    <t>응 이＇베/이＇베 티가＇ 무더따/이불＇ 다무라라</t>
  </si>
  <si>
    <t>이블 다무러라</t>
  </si>
  <si>
    <t>이블 다무레라</t>
  </si>
  <si>
    <t>이불 다무러라</t>
  </si>
  <si>
    <t>이블 다다라</t>
  </si>
  <si>
    <t>32353-0-3</t>
  </si>
  <si>
    <t>이＇베 거＇푸물 무러따</t>
  </si>
  <si>
    <t>이베 너:니까 마시따</t>
  </si>
  <si>
    <t>이베</t>
  </si>
  <si>
    <t>이베 상처나따</t>
  </si>
  <si>
    <t>32353-0-4</t>
  </si>
  <si>
    <t>이부＇로</t>
  </si>
  <si>
    <t>이부루/이부로 심:부름 씨기능 거</t>
  </si>
  <si>
    <t>이부루 마라지/이브루 마라지</t>
  </si>
  <si>
    <t>이부루 마란다</t>
  </si>
  <si>
    <t>32353-0-5</t>
  </si>
  <si>
    <t>입또＇ 크다＇</t>
  </si>
  <si>
    <t>입뚜 크다</t>
  </si>
  <si>
    <t>그여잔 입뚜 크다</t>
  </si>
  <si>
    <t>낫(鎌)</t>
  </si>
  <si>
    <t>32354-0-1</t>
  </si>
  <si>
    <t>나지＇/나디＇ 잘 뜨라야 푸르＇ 빈다/나지＇ 마안＇타라</t>
  </si>
  <si>
    <t>이건 나시구/이건 나시자너(이것은 낫이잖아)</t>
  </si>
  <si>
    <t>나시 잘 든다</t>
  </si>
  <si>
    <t>나시지</t>
  </si>
  <si>
    <t>우리지벤 나시 이따</t>
  </si>
  <si>
    <t>나신데요./나시 크다</t>
  </si>
  <si>
    <t>32354-0-2</t>
  </si>
  <si>
    <t>나드＇/그리고 저 나드＇ 가주 오나라/나들＇ 가주와라</t>
  </si>
  <si>
    <t>나슬 가주와라</t>
  </si>
  <si>
    <t>32354-0-3</t>
  </si>
  <si>
    <t>나＇세/나＇제/나＇세 노기＇ 쓰라따</t>
  </si>
  <si>
    <t>나세 노기 씨러따</t>
  </si>
  <si>
    <t>나세 노기 시러따</t>
  </si>
  <si>
    <t>32354-0-4</t>
  </si>
  <si>
    <t>나드＇로/나즈＇로 푸를 짤라따/나스＇로</t>
  </si>
  <si>
    <t>나스루 가서 이러케 따유 그걸</t>
  </si>
  <si>
    <t>나스루 비어라</t>
  </si>
  <si>
    <t>나스로 푸루 빈다</t>
  </si>
  <si>
    <t>나스루 빈다</t>
  </si>
  <si>
    <t>32354-0-5</t>
  </si>
  <si>
    <t>나또＇ 크다</t>
  </si>
  <si>
    <t>이건 나뻬리고 이러능 거{이건 낫을 벼리는 거}</t>
  </si>
  <si>
    <t>나뚜 크구</t>
  </si>
  <si>
    <t>나뚜 이따</t>
  </si>
  <si>
    <t>나뚜 크다</t>
  </si>
  <si>
    <t>강(江)</t>
  </si>
  <si>
    <t>32355-0-1</t>
  </si>
  <si>
    <t>강이＇ 너르＇다/가~이＇ 너르다</t>
  </si>
  <si>
    <t>강이지 강</t>
  </si>
  <si>
    <t>가~이 크다/강이 크다</t>
  </si>
  <si>
    <t>강이라구</t>
  </si>
  <si>
    <t>가~이 널따</t>
  </si>
  <si>
    <t>강이 널따</t>
  </si>
  <si>
    <t>32355-0-2</t>
  </si>
  <si>
    <t>강을＇ 바아＇라</t>
  </si>
  <si>
    <t>강을 바:라</t>
  </si>
  <si>
    <t>강을 널페라</t>
  </si>
  <si>
    <t>강을 봐라</t>
  </si>
  <si>
    <t>32355-0-3</t>
  </si>
  <si>
    <t>강에＇ 가＇자/가~에＇ 가＇자</t>
  </si>
  <si>
    <t>가~에서 노러라</t>
  </si>
  <si>
    <t>가~에 모교캐라</t>
  </si>
  <si>
    <t>강에서 고길 잡짜</t>
  </si>
  <si>
    <t>32355-0-4</t>
  </si>
  <si>
    <t>나는 강으＇로도</t>
  </si>
  <si>
    <t>강으로 가가라</t>
  </si>
  <si>
    <t>강으루 간다/나스로 다 비어내따</t>
  </si>
  <si>
    <t>강으로 가라</t>
  </si>
  <si>
    <t>강으루 가라</t>
  </si>
  <si>
    <t>32355-0-5</t>
  </si>
  <si>
    <t>강도＇ 크다</t>
  </si>
  <si>
    <t>강도 크다</t>
  </si>
  <si>
    <t>강두 널따</t>
  </si>
  <si>
    <t>젖(乳)</t>
  </si>
  <si>
    <t>32356-0-1</t>
  </si>
  <si>
    <t>저지＇ 아＇주 뿌＇라따/저지＇ 크다</t>
  </si>
  <si>
    <t>저지 마시께찌 머 {젖이 맛있겠지}</t>
  </si>
  <si>
    <t>저지 크다</t>
  </si>
  <si>
    <t>저지라</t>
  </si>
  <si>
    <t>저지 마~이 나온다</t>
  </si>
  <si>
    <t>32356-0-2</t>
  </si>
  <si>
    <t>운다 저들＇ 좀 좌라＇/저즈＇ 메긴다 저즈＇/저즈＇ 메＇게라 저즈＇</t>
  </si>
  <si>
    <t>저즐 메기지</t>
  </si>
  <si>
    <t>저절 머거라</t>
  </si>
  <si>
    <t>저즐 멍는다</t>
  </si>
  <si>
    <t>32356-0-3</t>
  </si>
  <si>
    <t>저＇제</t>
  </si>
  <si>
    <t>저제</t>
  </si>
  <si>
    <t>32356-0-4</t>
  </si>
  <si>
    <t>저즈＇로</t>
  </si>
  <si>
    <t>소 저즈루 우율 맨들지 {소 젖으로 우유를 만들지}</t>
  </si>
  <si>
    <t>저즈로 애기를</t>
  </si>
  <si>
    <t>저즈루</t>
  </si>
  <si>
    <t>32356-0-5</t>
  </si>
  <si>
    <t>저또＇ 크다</t>
  </si>
  <si>
    <t>전 먹찌 {젖 먹지}</t>
  </si>
  <si>
    <t>저뚜 크다</t>
  </si>
  <si>
    <t>저뚜 멍는다</t>
  </si>
  <si>
    <t>저뚜 만타</t>
  </si>
  <si>
    <t>꽃(花)</t>
  </si>
  <si>
    <t>32357-0-1</t>
  </si>
  <si>
    <t>꼬＇치 예에＇뿌다</t>
  </si>
  <si>
    <t>꼬치 피언네/무숟짱다리가 서야 거기서 꼬치 펴가주구</t>
  </si>
  <si>
    <t>꼬치 피어따/꼬뚜 피어따</t>
  </si>
  <si>
    <t>철뚝꼬시/꼬치 핀다</t>
  </si>
  <si>
    <t>꼬치 페따</t>
  </si>
  <si>
    <t>꼬시 페따</t>
  </si>
  <si>
    <t>32357-0-2</t>
  </si>
  <si>
    <t>꼬＇틀 꺼＇까라</t>
  </si>
  <si>
    <t>이:뿐 꼬철 놔따 그래지 {이쁜 꽃을 놨다 그러지}</t>
  </si>
  <si>
    <t>꼬틀 바:라</t>
  </si>
  <si>
    <t>꼬츨 꺼꺼라</t>
  </si>
  <si>
    <t>꼬틀 꺼꺼라</t>
  </si>
  <si>
    <t>꼬슬 꺼꺼라</t>
  </si>
  <si>
    <t>32357-0-3</t>
  </si>
  <si>
    <t>꼬＇테 벌거＇지가 이따</t>
  </si>
  <si>
    <t>꼬테 벌거지가 무더다</t>
  </si>
  <si>
    <t>진달래 꼬테</t>
  </si>
  <si>
    <t>꼬세 벌러지 안저따</t>
  </si>
  <si>
    <t>32357-0-4</t>
  </si>
  <si>
    <t>꼬＇트로</t>
  </si>
  <si>
    <t>꼬트로</t>
  </si>
  <si>
    <t>32357-0-5</t>
  </si>
  <si>
    <t>꼬＇또 예에＇뿌다</t>
  </si>
  <si>
    <t>꼬 핀다 그래</t>
  </si>
  <si>
    <t>꼳/꼬뚜 이뿌다</t>
  </si>
  <si>
    <t>철뚜꼳</t>
  </si>
  <si>
    <t>꼬뚜 만타/꼬스루</t>
  </si>
  <si>
    <t>팥(赤豆)</t>
  </si>
  <si>
    <t>32358-0-1</t>
  </si>
  <si>
    <t>파치＇ 마안＇타라</t>
  </si>
  <si>
    <t>파치 이떵가 모르겐네/파치 아녀</t>
  </si>
  <si>
    <t>파치 마시따</t>
  </si>
  <si>
    <t>파치 만타</t>
  </si>
  <si>
    <t>32358-0-2</t>
  </si>
  <si>
    <t>파틀＇</t>
  </si>
  <si>
    <t>파철 가라가지구</t>
  </si>
  <si>
    <t>파틀 멍는다</t>
  </si>
  <si>
    <t>파철</t>
  </si>
  <si>
    <t>파틀 가주와라</t>
  </si>
  <si>
    <t>파츨 가주와라</t>
  </si>
  <si>
    <t>32358-0-3</t>
  </si>
  <si>
    <t>파테＇ 벌거＇지가 마＇~이 파머＇가따라</t>
  </si>
  <si>
    <t>파테 벌레가 머거따</t>
  </si>
  <si>
    <t>파테 벌거지가 만타</t>
  </si>
  <si>
    <t>파체 벌러지 나따/파트루</t>
  </si>
  <si>
    <t>32358-0-4</t>
  </si>
  <si>
    <t>파트＇로 주굴 쏴따</t>
  </si>
  <si>
    <t>파트루 주글 쑤:구 인제</t>
  </si>
  <si>
    <t>파츠루</t>
  </si>
  <si>
    <t>파트로 주굴 쑨다</t>
  </si>
  <si>
    <t>파츤</t>
  </si>
  <si>
    <t>32358-0-5</t>
  </si>
  <si>
    <t>파또＇ 마시따</t>
  </si>
  <si>
    <t>판 녈리능 거/파뚜 느쿠 {팥도 넣고}</t>
  </si>
  <si>
    <t>파뚜 마시따</t>
  </si>
  <si>
    <t>파뚜 만타</t>
  </si>
  <si>
    <t>옆(側)</t>
  </si>
  <si>
    <t>32359-0-1</t>
  </si>
  <si>
    <t>여＇피 비＇어따</t>
  </si>
  <si>
    <t>여피여 엽</t>
  </si>
  <si>
    <t>내 여피 조:타</t>
  </si>
  <si>
    <t>여피 널따</t>
  </si>
  <si>
    <t>내 여피 조타</t>
  </si>
  <si>
    <t>32359-0-2</t>
  </si>
  <si>
    <t>여＇플 바아＇라</t>
  </si>
  <si>
    <t>니 여플 바:라</t>
  </si>
  <si>
    <t>여플</t>
  </si>
  <si>
    <t>내 여페 이써라</t>
  </si>
  <si>
    <t>내 여플 비워따</t>
  </si>
  <si>
    <t>32359-0-3</t>
  </si>
  <si>
    <t>니 여＇페 인는 글＇쓰 내인데가주 오나라</t>
  </si>
  <si>
    <t>여페</t>
  </si>
  <si>
    <t>내 여페 서라</t>
  </si>
  <si>
    <t>여페 서라</t>
  </si>
  <si>
    <t>여플 치워라/여페 이써라</t>
  </si>
  <si>
    <t>내 여페 안자라/내 여페 와라</t>
  </si>
  <si>
    <t>32359-0-4</t>
  </si>
  <si>
    <t>여＇푸로</t>
  </si>
  <si>
    <t>여푸루 자구/여프로 보능 거 {옆으로 보는 것}</t>
  </si>
  <si>
    <t>여푸루 와라</t>
  </si>
  <si>
    <t>여푸로/내 여푸로 와라/내 여푸로 오너라</t>
  </si>
  <si>
    <t>내 여푸루 와라</t>
  </si>
  <si>
    <t>32359-0-5</t>
  </si>
  <si>
    <t>엽＇또 바아＇라</t>
  </si>
  <si>
    <t>엽뚜 조:타</t>
  </si>
  <si>
    <t>엽</t>
  </si>
  <si>
    <t>엽또 이꾸</t>
  </si>
  <si>
    <t>내 엽뚜 자리가 이따</t>
  </si>
  <si>
    <t>삯(賃金)</t>
  </si>
  <si>
    <t>32360-0-1</t>
  </si>
  <si>
    <t>품싸＇기라도 하고/싸＇기 마안＇타/사＇기 마안＇타</t>
  </si>
  <si>
    <t>품싸기 너머 비싸다</t>
  </si>
  <si>
    <t>싸기 만:타/머슴 사이기 망:쿠</t>
  </si>
  <si>
    <t>배싸기라구래지 걸 뭐라구래</t>
  </si>
  <si>
    <t>사기 비싸다</t>
  </si>
  <si>
    <t>사기 만타</t>
  </si>
  <si>
    <t>32360-0-2</t>
  </si>
  <si>
    <t>싸＇그 바＇다따 싸＇기 마안＇타/싸＇글 바＇다 노~이/품싸＇글 바＇다쓸 꼉우＇/사＇글 준다＇</t>
  </si>
  <si>
    <t>사걸 준다 그래지</t>
  </si>
  <si>
    <t>싸글 준다</t>
  </si>
  <si>
    <t>배싸글 줘라</t>
  </si>
  <si>
    <t>사글 치러라</t>
  </si>
  <si>
    <t>사글 주지요/사글 준다</t>
  </si>
  <si>
    <t>32360-0-3</t>
  </si>
  <si>
    <t>사＇게도</t>
  </si>
  <si>
    <t>32360-0-4</t>
  </si>
  <si>
    <t>사＇그로</t>
  </si>
  <si>
    <t>품싸건 너머 비싸네</t>
  </si>
  <si>
    <t>삭쓰루 주니까 {삯으로 주니까}/품싸그루 싸를 사따</t>
  </si>
  <si>
    <t>사그로 떠글 사머거따</t>
  </si>
  <si>
    <t>사그루/배싸그루 물겨늘 사따</t>
  </si>
  <si>
    <t>32360-0-5</t>
  </si>
  <si>
    <t>삭＇또 마안타/사아＇라믄 꼭 일하면 품싹＇ 푸미＇ 드라가야 되고</t>
  </si>
  <si>
    <t>싹뚜 만:타</t>
  </si>
  <si>
    <t>삭</t>
  </si>
  <si>
    <t>배를 타니 삭뚜 만타</t>
  </si>
  <si>
    <t>삭뚜 만타</t>
  </si>
  <si>
    <t>닭(鷄)</t>
  </si>
  <si>
    <t>32361-0-1</t>
  </si>
  <si>
    <t>달＇기 마안＇타/다＇그는 닥＇때로</t>
  </si>
  <si>
    <t>달기 운:다 그래지</t>
  </si>
  <si>
    <t>다기 만타/다기 만타라/다기지/다이기 {닭이}/다기 운:다</t>
  </si>
  <si>
    <t>다기라/달기/달기 만타</t>
  </si>
  <si>
    <t>달기 만타</t>
  </si>
  <si>
    <t>다기 만타/달기 만타</t>
  </si>
  <si>
    <t>32361-0-2</t>
  </si>
  <si>
    <t>달＇글 우＇리에 가돠＇라/달＇글 자＇바라</t>
  </si>
  <si>
    <t>달걸 자부라 그래</t>
  </si>
  <si>
    <t>다글 자바라</t>
  </si>
  <si>
    <t>다글 자버라</t>
  </si>
  <si>
    <t>달글 자바라</t>
  </si>
  <si>
    <t>다글 자바라/달글 자바라/달걸 앵긴다</t>
  </si>
  <si>
    <t>32361-0-3</t>
  </si>
  <si>
    <t>달＇게 터레기가 무＇다따</t>
  </si>
  <si>
    <t>다게</t>
  </si>
  <si>
    <t>달게 벌거지가 이따</t>
  </si>
  <si>
    <t>달게 벌러지가 이따</t>
  </si>
  <si>
    <t>32361-0-4</t>
  </si>
  <si>
    <t>달＇그로 주굴 쑬라고 한다.</t>
  </si>
  <si>
    <t>다그루 백쑤글 해머거따</t>
  </si>
  <si>
    <t>달건</t>
  </si>
  <si>
    <t>달그로 주글 쒀:라</t>
  </si>
  <si>
    <t>달그로</t>
  </si>
  <si>
    <t>32361-0-5</t>
  </si>
  <si>
    <t>달＇또 마안＇타</t>
  </si>
  <si>
    <t>닥뻐텅 자바라/닥뚜 만타</t>
  </si>
  <si>
    <t>닥/닥뚜</t>
  </si>
  <si>
    <t>닥뚜 만타</t>
  </si>
  <si>
    <t>박(外)</t>
  </si>
  <si>
    <t>32362-0-1</t>
  </si>
  <si>
    <t>바＇끼 환하다</t>
  </si>
  <si>
    <t>바끼 널따</t>
  </si>
  <si>
    <t>우리집 달기 이써 조타/달글 길른다/바끼 널따</t>
  </si>
  <si>
    <t>바끼다/바끼 널따/바끈 발따</t>
  </si>
  <si>
    <t>바끼 훤하다</t>
  </si>
  <si>
    <t>32362-0-2</t>
  </si>
  <si>
    <t>바＇끌 바아＇라</t>
  </si>
  <si>
    <t>바끌 바라</t>
  </si>
  <si>
    <t>바끌 봐라</t>
  </si>
  <si>
    <t>32362-0-3</t>
  </si>
  <si>
    <t>바＇께서 일한다</t>
  </si>
  <si>
    <t>저 바께 나가노러라</t>
  </si>
  <si>
    <t>바께 나가 노러라</t>
  </si>
  <si>
    <t>바께 나가 노라</t>
  </si>
  <si>
    <t>바께 가라</t>
  </si>
  <si>
    <t>바께 나가노라라</t>
  </si>
  <si>
    <t>32362-0-4</t>
  </si>
  <si>
    <t>바＇끄로 나가＇라</t>
  </si>
  <si>
    <t>바끄로 나가라</t>
  </si>
  <si>
    <t>바끄로 가라</t>
  </si>
  <si>
    <t>바끄루 가라</t>
  </si>
  <si>
    <t>32362-0-5</t>
  </si>
  <si>
    <t>박＇또 훤하＇다</t>
  </si>
  <si>
    <t>박또 훤하다</t>
  </si>
  <si>
    <t>나</t>
  </si>
  <si>
    <t>나추면 나</t>
  </si>
  <si>
    <t>내</t>
  </si>
  <si>
    <t>40101-0-1</t>
  </si>
  <si>
    <t>내-가</t>
  </si>
  <si>
    <t>내가＇ 머＇가따</t>
  </si>
  <si>
    <t>내가 말해지/내가 그 마당에다 꼬추 싱궈써</t>
  </si>
  <si>
    <t>내가 마:를 한다</t>
  </si>
  <si>
    <t>내가 마랜다</t>
  </si>
  <si>
    <t>내가 멍는다</t>
  </si>
  <si>
    <t>내가 마란다</t>
  </si>
  <si>
    <t>40101-0-2</t>
  </si>
  <si>
    <t>내 채기＇다/음 내꺼＇다/물거＇는 내꺼＇라</t>
  </si>
  <si>
    <t>내 모거치/이건 내 물거니다</t>
  </si>
  <si>
    <t>나예 아:리니까 내라 그래지 {나의 아래니까 내라 그러지}/내 물겨니다</t>
  </si>
  <si>
    <t>내물거니다</t>
  </si>
  <si>
    <t>내 기다/내 물겨니다</t>
  </si>
  <si>
    <t>내꺼/내 물겨니다</t>
  </si>
  <si>
    <t>40101-0-3</t>
  </si>
  <si>
    <t>나-를</t>
  </si>
  <si>
    <t>나아＇르 좌/그걸＇ 나알＇ 다아＇와/나아＇를 만＇나고 와꾸나/나아＇를 보러 와꾸나/나아＇르 놀＇구지 마</t>
  </si>
  <si>
    <t>날: 보러 와따/나를 달라구/날: 다고/나를 줘</t>
  </si>
  <si>
    <t>날: 바라/날: 다와</t>
  </si>
  <si>
    <t>나를 봐라</t>
  </si>
  <si>
    <t>나:를 바라/나:를 다와</t>
  </si>
  <si>
    <t>날: 줘:라/날: 봐라/날: 다과</t>
  </si>
  <si>
    <t>40101-0-4</t>
  </si>
  <si>
    <t>나-에게</t>
  </si>
  <si>
    <t>나한＇태 이따(+다)/내인＇대 이＇따 이래고(+소)/나한＇태 좌/내인＇대로 오라＇고 한다/글＇쓰 내인＇대 가주 오나＇라</t>
  </si>
  <si>
    <t>내게도 줘/내게 줘/나한테 줘</t>
  </si>
  <si>
    <t>나에게 다:와/나한태 다:와/누구한테 나한테</t>
  </si>
  <si>
    <t>나한테 줘라</t>
  </si>
  <si>
    <t>너:를 줘라/내한테 다:와</t>
  </si>
  <si>
    <t>나에게 다:과/나한테 다:과/나한테라구</t>
  </si>
  <si>
    <t>40101-0-5</t>
  </si>
  <si>
    <t>나-와</t>
  </si>
  <si>
    <t>내하＇고 가치 가＇자/나알＇과 가치 가＇자/내하＇과(+주로 여자들이 많이 사용함.)</t>
  </si>
  <si>
    <t>나하구 가치 가</t>
  </si>
  <si>
    <t>나랑 가치 가자</t>
  </si>
  <si>
    <t>나하고 가자</t>
  </si>
  <si>
    <t>나과/나와 칭구다/나하고 가치 가자</t>
  </si>
  <si>
    <t>나하구/나하과 가치가자</t>
  </si>
  <si>
    <t>40101-0-6</t>
  </si>
  <si>
    <t>나-는</t>
  </si>
  <si>
    <t>나＇는 아알＇고 이따/난 그＇사라미 시라＇/나＇는 아안＇다/내＇는 아안＇다/내＇는 아안＇다 내＇는</t>
  </si>
  <si>
    <t>나넌 아러 {나는 알아}/난 저부널 아는데 {난 저분을 아는데}/난 아무도 모르는데/아이 난 앙 그래찌만 {아이 난 안 그랬지만}</t>
  </si>
  <si>
    <t>나는 안:다</t>
  </si>
  <si>
    <t>나는 안다</t>
  </si>
  <si>
    <t>40101-0-7</t>
  </si>
  <si>
    <t>나-도</t>
  </si>
  <si>
    <t>내＇도 아아＇고/나안＇도 안다/예 나안＇도 안다</t>
  </si>
  <si>
    <t>나두 누구두 알구/난:도 아러(+다)/난:도 시방 칼국씨 해노코 완네 아더리 {나도 지금 칼국수 해 놓고 왔네 아들이}/난:도 그렁 거 어려니 봐써 고고 좀 치다 읍써저찌</t>
  </si>
  <si>
    <t>나도 안:다/나두 안:다</t>
  </si>
  <si>
    <t>나두 안다</t>
  </si>
  <si>
    <t>나도 알:고</t>
  </si>
  <si>
    <t>나두 안:다</t>
  </si>
  <si>
    <t>저/제-가</t>
  </si>
  <si>
    <t>제</t>
  </si>
  <si>
    <t>할머니 저 댕게와씸미다/남펴널 지:가 애가 이짜너 그래이까/그럼 저라구래지</t>
  </si>
  <si>
    <t>저라고 하지/노피며는 저</t>
  </si>
  <si>
    <t>저라고</t>
  </si>
  <si>
    <t>저라구래지요</t>
  </si>
  <si>
    <t>40102-0-1</t>
  </si>
  <si>
    <t>저-가</t>
  </si>
  <si>
    <t>제＇가/지이＇가/제＇가 오＇느른/하라＇~바이 지이＇가 오늘 장＇에 가따 오게＇씀미다/제＇가 감미＇다</t>
  </si>
  <si>
    <t>제가 아러유/부라부라 하고 지:가 바란짝 여기 디더따</t>
  </si>
  <si>
    <t>제:가 함미다</t>
  </si>
  <si>
    <t>지가 해따</t>
  </si>
  <si>
    <t>제가 한다</t>
  </si>
  <si>
    <t>제:가 해씸미다/제:가 해씸다</t>
  </si>
  <si>
    <t>40102-0-2</t>
  </si>
  <si>
    <t>저-의</t>
  </si>
  <si>
    <t>이거＇는 제 채김＇밈미다/제 아버＇지를</t>
  </si>
  <si>
    <t>제 아우여유 그래지/제 물거니 아니고 저 사람 껌미다/제 물거니 아닌데</t>
  </si>
  <si>
    <t>제 이름 제/제 칭궁밈다</t>
  </si>
  <si>
    <t>제 물거니다</t>
  </si>
  <si>
    <t>제 물겨니다</t>
  </si>
  <si>
    <t>제 물견</t>
  </si>
  <si>
    <t>40102-0-3</t>
  </si>
  <si>
    <t>저-을/를</t>
  </si>
  <si>
    <t>제＇를 보세요</t>
  </si>
  <si>
    <t>절 달:라구/절 주세요</t>
  </si>
  <si>
    <t>저:를 보시요</t>
  </si>
  <si>
    <t>저를 봐주세요</t>
  </si>
  <si>
    <t>절 주시오</t>
  </si>
  <si>
    <t>40102-0-4</t>
  </si>
  <si>
    <t>저-에게</t>
  </si>
  <si>
    <t>제＇게로 주세요/저한＇태 주세＇요/제한태＇ 주세＇요</t>
  </si>
  <si>
    <t>저 주세요/제게 주세요/제게 달:라구/저한테 주세유/걸 저 주세요</t>
  </si>
  <si>
    <t>저한태 오시요</t>
  </si>
  <si>
    <t>저한테</t>
  </si>
  <si>
    <t>저한테 주시요</t>
  </si>
  <si>
    <t>저안테도 주십씨오/저에게 주시오</t>
  </si>
  <si>
    <t>40102-0-5</t>
  </si>
  <si>
    <t>저-와/과</t>
  </si>
  <si>
    <t>제하＇고</t>
  </si>
  <si>
    <t>저하구 가치 가실래유</t>
  </si>
  <si>
    <t>저랑 가치 갑씨다</t>
  </si>
  <si>
    <t>저하구</t>
  </si>
  <si>
    <t>저하고</t>
  </si>
  <si>
    <t>저하과 가치 갑씨다</t>
  </si>
  <si>
    <t>40102-0-6</t>
  </si>
  <si>
    <t>저/-는</t>
  </si>
  <si>
    <t>제＇는</t>
  </si>
  <si>
    <t>저넌 자라러요</t>
  </si>
  <si>
    <t>저는 암:미다</t>
  </si>
  <si>
    <t>저는 암니다</t>
  </si>
  <si>
    <t>저는 암미다</t>
  </si>
  <si>
    <t>40102-0-7</t>
  </si>
  <si>
    <t>저/-도</t>
  </si>
  <si>
    <t>제＇도</t>
  </si>
  <si>
    <t>저두 일해구 시픈데요</t>
  </si>
  <si>
    <t>저두 자라러유 {저도 잘 알아요}</t>
  </si>
  <si>
    <t>저두 안다</t>
  </si>
  <si>
    <t>저도 알:고</t>
  </si>
  <si>
    <t>저두암미다</t>
  </si>
  <si>
    <t>우리</t>
  </si>
  <si>
    <t>우라부＇지/우라부＇지라고/우라마＇~이/우라버＇지</t>
  </si>
  <si>
    <t>우리아부지</t>
  </si>
  <si>
    <t>우리 아버지다</t>
  </si>
  <si>
    <t>저:아버지/저이아버지다/우리아버지다/우라버지에 {우리아버지에}</t>
  </si>
  <si>
    <t>우리아버지다 이래지</t>
  </si>
  <si>
    <t>우리/우리아부니미다/우리아부지라구</t>
  </si>
  <si>
    <t>저희</t>
  </si>
  <si>
    <t>제 아부＇지/제＇에 아부지</t>
  </si>
  <si>
    <t>즈: 맘대로 가주 올람 메깨 가주 오나라 {저희 마음대로 가지고 오려면 몇 개 가지고 오너라}/즈:아버짐미다./즈:가 댕기구/제 하라부진데유</t>
  </si>
  <si>
    <t>제 아버지/제 아버짐미다/저예 아버지/제: 동사~임미다</t>
  </si>
  <si>
    <t>즈:아버짐니다</t>
  </si>
  <si>
    <t>즈:아분니미다/즈:아부지다/즈:아부지라구</t>
  </si>
  <si>
    <t>너</t>
  </si>
  <si>
    <t>너/니＇이 드＇라 바아＇래이</t>
  </si>
  <si>
    <t>너/너라구/너나 나나</t>
  </si>
  <si>
    <t>40105-0-1</t>
  </si>
  <si>
    <t>너-가</t>
  </si>
  <si>
    <t>니이＇가/너＇가 아~이＇고 니＇도/네＇가</t>
  </si>
  <si>
    <t>니가 해라</t>
  </si>
  <si>
    <t>니:가 해라</t>
  </si>
  <si>
    <t>이이른 니가 해라 {이 일은 네가 해라}</t>
  </si>
  <si>
    <t>너가 가주가따/니:가 가주가써</t>
  </si>
  <si>
    <t>40105-0-2</t>
  </si>
  <si>
    <t>너-의</t>
  </si>
  <si>
    <t>근 니채그＇미다</t>
  </si>
  <si>
    <t>니 물거니다/네 아부지</t>
  </si>
  <si>
    <t>너예 이리미 뭐이냐/네 물겨니다</t>
  </si>
  <si>
    <t>니 물거니다</t>
  </si>
  <si>
    <t>니 물겨니다</t>
  </si>
  <si>
    <t>니:물겨니야/니꺼</t>
  </si>
  <si>
    <t>40105-0-3</t>
  </si>
  <si>
    <t>너-을/를</t>
  </si>
  <si>
    <t>니＇를 바아＇라</t>
  </si>
  <si>
    <t>널 준다/물거니니까 널 주리?</t>
  </si>
  <si>
    <t>너:를 보라능건</t>
  </si>
  <si>
    <t>너를 준다</t>
  </si>
  <si>
    <t>너:를 때릴쑤도 이꼬</t>
  </si>
  <si>
    <t>너를 봐:라</t>
  </si>
  <si>
    <t>40105-0-4</t>
  </si>
  <si>
    <t>너-에게</t>
  </si>
  <si>
    <t>니한＇태 좌라＇/니인＇대는</t>
  </si>
  <si>
    <t>네게 이건 네게 주까?/네게 주리?/이건 너주까?(+다)/너에게 주까?/너헌테 주까</t>
  </si>
  <si>
    <t>너한태 준다/너한태 매낀다</t>
  </si>
  <si>
    <t>너한테 준다</t>
  </si>
  <si>
    <t>너에게도 주고</t>
  </si>
  <si>
    <t>40105-0-5</t>
  </si>
  <si>
    <t>너-와/과</t>
  </si>
  <si>
    <t>너하구 가치 가게따/너허구 가치 가게따 {나하고 가팅 가겠다}</t>
  </si>
  <si>
    <t>너랑 가치 간다</t>
  </si>
  <si>
    <t>너과/너와 나는/너하고 나하고</t>
  </si>
  <si>
    <t>너하과 가치가자</t>
  </si>
  <si>
    <t>40105-0-6</t>
  </si>
  <si>
    <t>너-는</t>
  </si>
  <si>
    <t>니＇는 머＇하나</t>
  </si>
  <si>
    <t>너넌 바밤머거찌 {너는 밥 안 먹었지}</t>
  </si>
  <si>
    <t>너는 지베 가라</t>
  </si>
  <si>
    <t>너만 준다</t>
  </si>
  <si>
    <t>너는 나하고 칭구다</t>
  </si>
  <si>
    <t>넌 아느냐?/넌 아냐?/니:는 아:느냐</t>
  </si>
  <si>
    <t>40105-0-7</t>
  </si>
  <si>
    <t>너-도</t>
  </si>
  <si>
    <t>니＇도 아아＇고/니＇도 아알＇고</t>
  </si>
  <si>
    <t>너도 지베 가라</t>
  </si>
  <si>
    <t>너두 가라</t>
  </si>
  <si>
    <t>너도 머꼬</t>
  </si>
  <si>
    <t>너두 아느냐/니:두 아느냐</t>
  </si>
  <si>
    <t>자네</t>
  </si>
  <si>
    <t>자네＇/자내＇/자내＇ 그＇럴쑤가 이능＇가</t>
  </si>
  <si>
    <t>자네이래구</t>
  </si>
  <si>
    <t>자네두/자내 {자네}</t>
  </si>
  <si>
    <t>자네를 준다/자네가 즘 해게</t>
  </si>
  <si>
    <t>싸우 저개 좀 가보라고/자내 좀 저기 가보라고/자네라고 하든지/이:서방 저 저그 좀 가보라고</t>
  </si>
  <si>
    <t>자네라도 허구/자네 시간 인나?/자네라구</t>
  </si>
  <si>
    <t>당신</t>
  </si>
  <si>
    <t>당시＇~이라는 거슨＇</t>
  </si>
  <si>
    <t>아이 그럼 당신이 가/여보/여보(+아내가 남편에게)</t>
  </si>
  <si>
    <t>자기라 그래구 당시니라그래구</t>
  </si>
  <si>
    <t>당신/당신 좀 가 바</t>
  </si>
  <si>
    <t>여보(+남편이 아내에게)/자네 절루 가봐(+할아버지가 할머니에게)/여보(+할머니가 할아버지에게)/당신 바테 가봐(+할아버지가 할머니에게)/여보 당신 가봐(+아내가 남편에게)</t>
  </si>
  <si>
    <t>너희</t>
  </si>
  <si>
    <t>너아부＇지라</t>
  </si>
  <si>
    <t>무레 씨어야 해 느:집까서 {물에 씻어야 해 너희집 가서}/너 아부진/노리 핼래먼 느:가 잘 생가캐서 노리를 해 {놀이 하려면 너희가 잘 생각해서 놀이를 해}/느:더리 아라가주 잘 생가캐라 {너희들이 알아서 잘 생각해라}</t>
  </si>
  <si>
    <t>너: 아버지는 원제 오시냐</t>
  </si>
  <si>
    <t>느:드리/느:아버지두</t>
  </si>
  <si>
    <t>느:아버지하고</t>
  </si>
  <si>
    <t>느:아부지</t>
  </si>
  <si>
    <t>걔</t>
  </si>
  <si>
    <t>가＇아 아부＇지/가＇아들 아부＇지/가＇아가</t>
  </si>
  <si>
    <t>개더런 {걔들은}</t>
  </si>
  <si>
    <t>가:두 내칭구구</t>
  </si>
  <si>
    <t>개:두 마를</t>
  </si>
  <si>
    <t>가:가 버르시 읍따</t>
  </si>
  <si>
    <t>가:라구두/개:가 처따구</t>
  </si>
  <si>
    <t>40109-1</t>
  </si>
  <si>
    <t>얘</t>
  </si>
  <si>
    <t>야야＇가/이아＇아가 그래＇싸요</t>
  </si>
  <si>
    <t>얘는 누구여</t>
  </si>
  <si>
    <t>야:두 내 칭구구</t>
  </si>
  <si>
    <t>얘:는 참 마를 잘 든는다</t>
  </si>
  <si>
    <t>야:가 버르시 업따</t>
  </si>
  <si>
    <t>야:라구러지 야:/얘/얘:가 치구/얘:라구</t>
  </si>
  <si>
    <t>40109-2</t>
  </si>
  <si>
    <t>쟤</t>
  </si>
  <si>
    <t>자아＇ 가요/자아＇가 그으＇짐말 해싸요/자＇아 아부지/저아＇아가 그래＇싸요</t>
  </si>
  <si>
    <t>재해구 {쟤하고}/쟤 {쟤}/잰: 누구냐 이래먼/쟤 마리유 {저아이 말이요}/재는 누구여</t>
  </si>
  <si>
    <t>자:를 바:라 {저 아이를 봐라}/자:두 내칭구구/자:는 {저 아이는}</t>
  </si>
  <si>
    <t>재:두 말두</t>
  </si>
  <si>
    <t>자:가 버르시 업따</t>
  </si>
  <si>
    <t>자:가/자:드리라그래지 자:들/재:</t>
  </si>
  <si>
    <t>자기</t>
  </si>
  <si>
    <t>지아부＇지/지아부＇지가/자기＇가 아닌＇ 남</t>
  </si>
  <si>
    <t>자기 방에서 잔다능 걸</t>
  </si>
  <si>
    <t>자기 말만 마:리라고 한다/재 말마 재마리라고 떠든다 이래지</t>
  </si>
  <si>
    <t>제 말만 올타/자기말만 올타</t>
  </si>
  <si>
    <t>자기말만</t>
  </si>
  <si>
    <t>자기만 올타/제말만 제마리라고그래지요</t>
  </si>
  <si>
    <t>하라버지 하라버지 방에서 지무신다</t>
  </si>
  <si>
    <t>하라버지 방에서 지무신다</t>
  </si>
  <si>
    <t>하라버지 바~에만 쉬신다.</t>
  </si>
  <si>
    <t>하라버지방에서만 잔다</t>
  </si>
  <si>
    <t>누구-요/누구십니까</t>
  </si>
  <si>
    <t>이 도온＇ 임＇재가 누기＇요 내가＇ 좌＇아싸요/뉘기＇야/임＇재가 누기＇요?/뉘위＇시오?/누기＇야</t>
  </si>
  <si>
    <t>누구유?/누구심미까?</t>
  </si>
  <si>
    <t>바께 누구심미까?/바께 누구시요?/바께 누구요?</t>
  </si>
  <si>
    <t>누기야?</t>
  </si>
  <si>
    <t>누구시오?</t>
  </si>
  <si>
    <t>누구 찬냐구/아 누구세요?</t>
  </si>
  <si>
    <t>40112-0-1</t>
  </si>
  <si>
    <t>누-가</t>
  </si>
  <si>
    <t>누가＇ 완나＇?/뉘기＇ 뉘기＇ 노＇란나?</t>
  </si>
  <si>
    <t>누가 깨:쑤?/누가 줜:는데</t>
  </si>
  <si>
    <t>누가 오세쏘?/누가 깬:냐?</t>
  </si>
  <si>
    <t>누가</t>
  </si>
  <si>
    <t>누가 와쏘?</t>
  </si>
  <si>
    <t>누가 완냐구/누가 완나?</t>
  </si>
  <si>
    <t>40112-0-2</t>
  </si>
  <si>
    <t>누구-의</t>
  </si>
  <si>
    <t>이게 누구＇ 카림＇미까?/이게 누＇해 카림＇미까?/누＇:해 집 개나?/누우＇에 도＇~이나?/그게 누우＇에 도오＇니나?</t>
  </si>
  <si>
    <t>누: 염피리냐?/그건 누: 염피리냐?/누구 도니라구</t>
  </si>
  <si>
    <t>누구예 하~아리냐?</t>
  </si>
  <si>
    <t>누구꺼야/누기꺼야</t>
  </si>
  <si>
    <t>너는 뉘:집아이나?/누:도닌지 모른다</t>
  </si>
  <si>
    <t>이게 누구 물겨니냐?</t>
  </si>
  <si>
    <t>40112-0-3</t>
  </si>
  <si>
    <t>누구-를</t>
  </si>
  <si>
    <t>누구＇루 만＇내고 완나?/누구＇르 만＇내고 완나＇?</t>
  </si>
  <si>
    <t>당시는 누구를 만내러 와쑤?/누굴 주구 시프냐?</t>
  </si>
  <si>
    <t>누굴 보러 오센나?</t>
  </si>
  <si>
    <t>누구를 주어따/누기를 만나러 간다</t>
  </si>
  <si>
    <t>누:룰 주나?/누구를 주나?/누:를 줘:라</t>
  </si>
  <si>
    <t>누구를 찬느냐/누굴 찬냐구</t>
  </si>
  <si>
    <t>40112-0-4</t>
  </si>
  <si>
    <t>누구-에게</t>
  </si>
  <si>
    <t>누구＇인대/누구＇인대 좐나＇?/누구＇한태 좐나＇?/누구＇한태 좐나?</t>
  </si>
  <si>
    <t>누구한테/누구한테 선:물 줜:니?/누구한테 줜:니?</t>
  </si>
  <si>
    <t>누구한태 디리냐?/누구한테 나한테</t>
  </si>
  <si>
    <t>누구한테 준다</t>
  </si>
  <si>
    <t>누구에게 주나?/누구한테 주나?</t>
  </si>
  <si>
    <t>누구한테</t>
  </si>
  <si>
    <t>40112-0-5</t>
  </si>
  <si>
    <t>누구-와</t>
  </si>
  <si>
    <t>누구＇하고/누구＇와 이＇라나?</t>
  </si>
  <si>
    <t>누구하구 해니?/누구하구 겨론해니?</t>
  </si>
  <si>
    <t>누구와 원:제 하냐?/누구하고 하냐?</t>
  </si>
  <si>
    <t>누구하구</t>
  </si>
  <si>
    <t>누구와/누구하과/누구와 겨론하느냐?</t>
  </si>
  <si>
    <t>무엇-이냐/입니까</t>
  </si>
  <si>
    <t>머＇나?/하르＇바~이 요새＇ 잡쑤＇꼬 시풍＇기 머＇임미까/이거＇시 머＇이나?/머＇이냐?/이거＇시 머＇이요?/머＇임미까?/무＇어심미까?/이기＇ 머＇이나?/니＇ 머＇꼬 시픙＇게 머＇이나?</t>
  </si>
  <si>
    <t>그게 뭐이냐?/뭠:미까 이 소린 아내구 {무엇입니까? 이 소리는 안 하고}/그 물거니 뭐이냐?</t>
  </si>
  <si>
    <t>드셍기 뭐:유?/드렁기 무어심미까?/뭐이냐?</t>
  </si>
  <si>
    <t>이게 뭠:니까?/이게 뭐:냐?</t>
  </si>
  <si>
    <t>소네 인는 그기 머이 머임미까 이러케/머임미까?/머이나? {무엇이냐?}</t>
  </si>
  <si>
    <t>네소네 뭐:냐/니:가 그게 뭐:냐/요즘 뭐:퉈고 지내나?/그게 뭐:심미까?</t>
  </si>
  <si>
    <t>40113-0-1</t>
  </si>
  <si>
    <t>무엇-이</t>
  </si>
  <si>
    <t>머＇이 드라＇씀미까?/머＇어가 드라＇씀미까?</t>
  </si>
  <si>
    <t>뭐이 드러 안자씨까? {무엇이 들어앉았을까?}/그걸 뭬라고 부르더라 이저버련네/뭐:여?</t>
  </si>
  <si>
    <t>무어시 인는지 궁굼하네</t>
  </si>
  <si>
    <t>뭐:가 드런느냐</t>
  </si>
  <si>
    <t>니소네는 머이 인느냐?</t>
  </si>
  <si>
    <t>거기에 무어시 드러인느냐?/뭐:가 드러인냐?</t>
  </si>
  <si>
    <t>40113-0-2</t>
  </si>
  <si>
    <t>무슨</t>
  </si>
  <si>
    <t>머＇언닐 때미＇네/머＇언 니리/머＇언 영기냐?/머＇언 채김미까?/머＇언나라서 완느＇냐?</t>
  </si>
  <si>
    <t>넌 요새 뭔:니를 해고 있니?/뭔: 바우래?</t>
  </si>
  <si>
    <t>너는 요새 무슨 이를 하너?</t>
  </si>
  <si>
    <t>무신 해다/무신 니리</t>
  </si>
  <si>
    <t>무슨니를 하나?/무슨 일로 사래미 이러 모예쏘?</t>
  </si>
  <si>
    <t>너는 요새 뭔:이를 하느냐?/요새 무슨/건 무신/무신 이린데 이러케 모연냐?</t>
  </si>
  <si>
    <t>40113-0-3</t>
  </si>
  <si>
    <t>무엇-을</t>
  </si>
  <si>
    <t>머＇얼 머꼬 심느＇냐?/머＇어르 머꼬 숨나＇/머＇얼 머＇꼬 숨나＇</t>
  </si>
  <si>
    <t>뭘: 머글까?/뭘: 멍느냐구 무꾸</t>
  </si>
  <si>
    <t>무얼 하너?/뭘: 드러씀미까?/뭘:하고 지내나?</t>
  </si>
  <si>
    <t>뭐를 주믄/뭘: 머글래느냐?</t>
  </si>
  <si>
    <t>머:를 먹씀미까?/무어슬 먹씀미까?</t>
  </si>
  <si>
    <t>너는 뭐:슬 멍느냐?/너는 뭐:를 멍느냐?</t>
  </si>
  <si>
    <t>40113-0-4</t>
  </si>
  <si>
    <t>무엇-과</t>
  </si>
  <si>
    <t>머＇얻 하고</t>
  </si>
  <si>
    <t>무어꽈 달먼너?/무얻 하고/뭗꽈 달먼너?</t>
  </si>
  <si>
    <t>뭐하구 비스태다</t>
  </si>
  <si>
    <t>무어타과 멍느냐?</t>
  </si>
  <si>
    <t>어디</t>
  </si>
  <si>
    <t>어＇데 가와? 오＇부~이(+동네 이름) 가와./어＇대/어＇대르 가나＇</t>
  </si>
  <si>
    <t>도:널 얻따 둰는지/아이 이거 춥따고 어디로 가능가봬 {아이 춥다고 어디로 가는 가봐}</t>
  </si>
  <si>
    <t>어드루 갈라너?/어디루 가너?/얼:루 가너?/어디서 오너?</t>
  </si>
  <si>
    <t>어두루 갈꺼야?/어:서 노란느냐?</t>
  </si>
  <si>
    <t>어데서 멍나?/넌 지금 어드로 가나?/40216 어두루 해서 도러가라/소:게 어데서</t>
  </si>
  <si>
    <t>너는 얼루 가느냐/너는 어드루 가느냐</t>
  </si>
  <si>
    <t>언제</t>
  </si>
  <si>
    <t>싸＇우야 운＇제 완능＇가/우운＇제 오심＇미까?/까부＇라라 젤: 빠르다 그 우운＇제 고올＇래고 인나?</t>
  </si>
  <si>
    <t>제산나리 운:젱가?/나이가 드러도 운제나 누나여</t>
  </si>
  <si>
    <t>원:제 다시 만내자/언:젠데/원:제 하냐?/언:제 다시 만낼라너</t>
  </si>
  <si>
    <t>모 운:제 시머. {모 언제 심어.}/언:제 갈래?/흐기 노네서 뭉체징게 움는데 {흙이 논에서 뭉쳐진 것이 없는데}/언제 갈거시야?/당시니 운제 봐따고 밤마리야</t>
  </si>
  <si>
    <t>그 운:제 함 나완는데/언:제 완나?</t>
  </si>
  <si>
    <t>은:제냐?/언제 이사를 와쏘?/원:제 이사를 와쏘?</t>
  </si>
  <si>
    <t>어느</t>
  </si>
  <si>
    <t>어＇느지비라며는</t>
  </si>
  <si>
    <t>어느 나리여?</t>
  </si>
  <si>
    <t>두:집까네 어느 지비 마으메 드냐?</t>
  </si>
  <si>
    <t>어느 물거니라</t>
  </si>
  <si>
    <t>아 여 김씨지비 어느지밈미까?</t>
  </si>
  <si>
    <t>어느 지비 싸냐구/어느지비 싸느냐구</t>
  </si>
  <si>
    <t>왜</t>
  </si>
  <si>
    <t>웨엔＇닐로 완나＇ 왜애＇ 완나/근＇데 왜애＇사 우에끼 {그런데 왜서 위엣것이}/왜애＇ 아가＇리질 하나?/왜애＇사 완나?</t>
  </si>
  <si>
    <t>왜 이러케 {왜 이렇게}/아니 너 왜 이케 화를 내니?</t>
  </si>
  <si>
    <t>질꺼리서 너 왜 우러?/왜:서 울고 이써 질꺼리서/왜 우너?</t>
  </si>
  <si>
    <t>이런 건 왜 무러보능거야?/왜: 우니?/왜 웁써 이거 이게</t>
  </si>
  <si>
    <t>왜 우:나?/40123 너는 왜 여:서 이러우:나?/그 왜:서 바가요/나:를 왜 쇠게씰까?/게 그기 왜:서</t>
  </si>
  <si>
    <t>너는 왜 우느냐?</t>
  </si>
  <si>
    <t>얼마나</t>
  </si>
  <si>
    <t>울＇매나 걸리나?</t>
  </si>
  <si>
    <t>울마나 걸련니?/울마나 걸련느냐구/정지래 싸람 을:마 안돼 {정지라는 사람 얼마 안 돼}</t>
  </si>
  <si>
    <t>품싸기 얼매요/얼매 걸리나?</t>
  </si>
  <si>
    <t>얼마나 걸리느냐?</t>
  </si>
  <si>
    <t>거:리가 얼:매나 되나?</t>
  </si>
  <si>
    <t>느:집하과 하꾜거리가 얼마나 되느냐?/거:리가 얼마 되느냐?</t>
  </si>
  <si>
    <t>어떻게</t>
  </si>
  <si>
    <t>니＇는 우＇떠케 지내나?</t>
  </si>
  <si>
    <t>우째 이러케 오세쏘? {어떻게 이렇게 오셨소?}/우트게 해 {어떻게 해}/교회서 으:더 멍는데 우트게 시건지 {교회에서 얻어먹는데 어떻게 신지}/이러케 해먹따가 으뜨케 으더 머거/옌:날레 우째다 하나 여잘 봔:는데/삼베로 해기 때메 몰:러 우떠케 하는지 나는</t>
  </si>
  <si>
    <t>어뜨케 지내나?</t>
  </si>
  <si>
    <t>요주멘 우투케 지내나/우투게 지내느냐/요주믄 우트게 지내느냐?</t>
  </si>
  <si>
    <t>요새 어떠케 지내나?/니가 그런 이르 어떠: 하나?</t>
  </si>
  <si>
    <t>어트게 지내나?</t>
  </si>
  <si>
    <t>이것</t>
  </si>
  <si>
    <t>어 부인한태는 대:개 오늘 꼬추 갑씨＇ 우＇따탄가?/이건＇ 카린＇대/이기＇ 카림＇미다/이거＇ 머＇이요</t>
  </si>
  <si>
    <t>이게/할머니 이게 뭐:여?/이게 뭐 염피리거나/이게 임자가 누핸데 땅에 떠러전네. {이것이 임자가 누구의 것인데 땅에 떨어졌네}</t>
  </si>
  <si>
    <t>이건/이기 뭐임미까?/이거뚜 염:필</t>
  </si>
  <si>
    <t>이거넌/이게 베시야/갑씨 이거는 비싸다/이건 움마냐?/이게 마:메 든다/이걸루 요골루 조종을해능거야. {이것으로 요것으로 조종을 하는 거야.}</t>
  </si>
  <si>
    <t>이거/요건 머이냐?/이게 쩌깨가 아니요?/요고/나는 요걸 짐는다</t>
  </si>
  <si>
    <t>이게 뭠:미까?</t>
  </si>
  <si>
    <t>그것</t>
  </si>
  <si>
    <t>그기＇ 머＇이요/그걸 나알＇ 좌＇아</t>
  </si>
  <si>
    <t>그게 버닌껀데 아녀? {그것이 본인 것인데 아니야?}/그게 뭐야?</t>
  </si>
  <si>
    <t>그거뚜 염필/그거뚜 염:필</t>
  </si>
  <si>
    <t>그거또 이상해게 맹기러따. {그것도 이상하게 만들었다}/그거슨 움마냐?</t>
  </si>
  <si>
    <t>그거슬 짐는다/그걸 짐는다/그거또 마시 조:워요/고건 머이냐?</t>
  </si>
  <si>
    <t>고고는/그게 멈:미까 해요</t>
  </si>
  <si>
    <t>저것</t>
  </si>
  <si>
    <t>저기＇ 머＇이요/잘 파라＇씀미까?</t>
  </si>
  <si>
    <t>이걷쩌걷/저건 으ㅡㄹ:쎄고 이건 자물통이구/저게 뭐여?</t>
  </si>
  <si>
    <t>저건 뭠미까?/저거뚜 염필/저거슨 무어시냐?/저거뚜 염:필/저거는</t>
  </si>
  <si>
    <t>저걸루 {저것으로}/저건 움마냐?</t>
  </si>
  <si>
    <t>저건 머이냐?/저거/조걸 짐는다/조거/저걸 짐는다</t>
  </si>
  <si>
    <t>저게 뭠:미까?</t>
  </si>
  <si>
    <t>여기</t>
  </si>
  <si>
    <t>이거＇는 아부＇지 카리래요/여＇개 바아＇라/여＇어 와 앙＇깨/여＇개저＇개/야아＇야 여＇어 와 좀 안제＇라</t>
  </si>
  <si>
    <t>여그선 대:개 구두셍이라 그래/여기가 어디냐구 무꾸/요길 파 봐.</t>
  </si>
  <si>
    <t>여기서/여그서두 살:구/여:가 {여기가}/여그 야~양서/여:선 빙:구(+얼음 위에서 타는 것)/여기두 파기두 하구/여:가 이르미 머이덩가 {여기가 이름이 무엇이던가?}/여기두 파구</t>
  </si>
  <si>
    <t>이게 여기 와이따구/멍에나 꾸부레징거 여그 고기 이는게 이써/여그 와 안저라</t>
  </si>
  <si>
    <t>요개를 파고/여개서 그러 우:나?/여:도 비리미/여개 파고 저개 파고</t>
  </si>
  <si>
    <t>땅을 요길 파라/여기/여:껄 파라</t>
  </si>
  <si>
    <t>거기</t>
  </si>
  <si>
    <t>거＇개</t>
  </si>
  <si>
    <t>거기서두/고길 파보라 구래/거기 뭐이 이께는데 파 봐?/고기서 또 아니먼/난 거:서 배원네 테레비에서/거:서 인제 며키로 더 가주 오너라 이래지 {거기서 인제 몇 킬로 더 가지고 오너라 이러지}/그 지븐 거그서 선생이니깐 거그서 사서 멍는데 {그 집은 거기서 선생이니까 거기서 사서 먹는데}</t>
  </si>
  <si>
    <t>거기두 파구/거그다도 메우구</t>
  </si>
  <si>
    <t>멍에나 꾸부레징거 여그 고기 이는게 이써/거기/거기두</t>
  </si>
  <si>
    <t>거개</t>
  </si>
  <si>
    <t>고:께 뭠:미까? {거기 것이 뭡니까?}/그:께 뭠:미까? {거기 것이 뭡니까?}/거기를 파라</t>
  </si>
  <si>
    <t>저기</t>
  </si>
  <si>
    <t>저＇개 바아＇라/내가 저어＇ 가서 바＇테 가아＇마/여＇개저＇개</t>
  </si>
  <si>
    <t>저길 파보라 구래고/저긴 주지 말고 나를 줘/저:꺼정 가따 온다 그래</t>
  </si>
  <si>
    <t>저그서두 살:구/저기두 파구/저그다 메워라</t>
  </si>
  <si>
    <t>저기 안저라</t>
  </si>
  <si>
    <t>조개를 파고/저개</t>
  </si>
  <si>
    <t>저:껄 파라/저:꺼를 파라 {저기 것을 파라}/저길 파라/저기를 파라/저:께 뭠:미까?{저기 것이 뭡니까?}</t>
  </si>
  <si>
    <t>이리</t>
  </si>
  <si>
    <t>일로＇/절로＇/일루＇ 와 바/니＇ 일루와 바＇/일루＇ 오나＇라/일루＇ 오나＇라이</t>
  </si>
  <si>
    <t>이리 가/이리두 가구 이리두 가구/이리 와</t>
  </si>
  <si>
    <t>일루 와:바/일르로 오나라/일루로 오나라</t>
  </si>
  <si>
    <t>일루 와라/이러케 어푸먼 일루 인제 흘기 너머오구 {이렇게 엎으면 이리로 흙이 넘어오고}</t>
  </si>
  <si>
    <t>일루 오너라/일루 와:/욜루 가라</t>
  </si>
  <si>
    <t>이리 와/너는 일루 와/글루 가</t>
  </si>
  <si>
    <t>그리</t>
  </si>
  <si>
    <t>글르르 바래＇미 드러가주고 {그리로 바람이 들어가서}/글르＇ 입＇꼬 갑씨＇다 빨리/글로＇</t>
  </si>
  <si>
    <t>도루 그리 가</t>
  </si>
  <si>
    <t>글러로 올라가가라</t>
  </si>
  <si>
    <t>글루 안저라</t>
  </si>
  <si>
    <t>글루 가라</t>
  </si>
  <si>
    <t>글루 바루 글루 가라구/그리 가</t>
  </si>
  <si>
    <t>저리</t>
  </si>
  <si>
    <t>절르＇ 가바아＇라/절루＇/절르＇ 가가＇라</t>
  </si>
  <si>
    <t>저리 가</t>
  </si>
  <si>
    <t>절로 가라/절러도 가가라</t>
  </si>
  <si>
    <t>절루 안저라</t>
  </si>
  <si>
    <t>절루 가:라</t>
  </si>
  <si>
    <t>저리 가/절루 가</t>
  </si>
  <si>
    <t>머＇이 우＇째?/갑씨＇ 비싸다</t>
  </si>
  <si>
    <t>무리 마른다/갑씨 비싸다</t>
  </si>
  <si>
    <t>갑씨 이거는 비싸다</t>
  </si>
  <si>
    <t>파리가 질:다 {팔이 길다}/물겨네 갑씨 비싸다</t>
  </si>
  <si>
    <t>갑씨 비싸다/얼구리가 질:다</t>
  </si>
  <si>
    <t>코가＇ 아~이＇고 퀴가＇ 크다</t>
  </si>
  <si>
    <t>배가 불르게 잘 머거따</t>
  </si>
  <si>
    <t>하나이 모:자란다/코가 크다</t>
  </si>
  <si>
    <t>이마이 까저따고/코가 크다/코이 깨:진다고/파이야(+머) {파야}/파이고 {파+이고}</t>
  </si>
  <si>
    <t>물거＇느 사＇라/귀를＇ 때레따/쾨르＇ 기린＇다</t>
  </si>
  <si>
    <t>코럴 고러/감주럴 마:~이 씨지 {감주를 많이 쓰지}/애럴 강:제루 바벌 암 메긴다/쉬멀 모씨먼 {숨을 못 쉬먼}/그저넨 자릴 까런는데 {그전에는 자리를 깔았는데}</t>
  </si>
  <si>
    <t>코를 때레다</t>
  </si>
  <si>
    <t>내 귀를 때려따</t>
  </si>
  <si>
    <t>귀를 때러따</t>
  </si>
  <si>
    <t>귀를 때린다</t>
  </si>
  <si>
    <t>귀빠블＇ 때＇레따/하르＇바~이 아＇치므 드십＇씨요/지금＇ 바부＇ 머가＇요/무루＇ 마세야지요/내가＇ 등＇으 다아마＇./등＇을 다마＇</t>
  </si>
  <si>
    <t>이제 내가 물거널 사자너/쑤걸 대구 {쑥을 대고}</t>
  </si>
  <si>
    <t>무를 줘야 댄다</t>
  </si>
  <si>
    <t>무를 줘:라 {물을 줘라}</t>
  </si>
  <si>
    <t>무룰 줘따/주구 쑨다구요/떼르 제:. {떼를 지어.}</t>
  </si>
  <si>
    <t>무룰 주지요/바블 멍는다</t>
  </si>
  <si>
    <t>어＇:른들인대는/저사＇라민대사 벼여~이 올＇마싸./저사＇람인데 내가한번 들케＇에때이/저사람 인＇대 좌라＇/각＇씨인대 깨밀레＇엔나 {각시에게 깨물렸나?}/머＇인대 물레＇엔나</t>
  </si>
  <si>
    <t>버:란테 쏘인 사람두 망:쿠/버닌한테 {본인한테}/이우칭구더란테 놀:러 간다 {이웃친구들한테 놀러 간다}/너헌테 주까</t>
  </si>
  <si>
    <t>저사라만태 줘:라/저부난태 디리시요.</t>
  </si>
  <si>
    <t>저 사람한태 줘라</t>
  </si>
  <si>
    <t>칭구한테 줘:라</t>
  </si>
  <si>
    <t>사:라메게 줘:라/저분한테 디레라</t>
  </si>
  <si>
    <t>누구＇다라</t>
  </si>
  <si>
    <t>누구더러 당신니라 그래</t>
  </si>
  <si>
    <t>누구더러/누구더러 당시니냐구냐 구래</t>
  </si>
  <si>
    <t>누구한테 당시니라구</t>
  </si>
  <si>
    <t>누구＇보고 화를 내능거야?/마＇제 누구보＇고</t>
  </si>
  <si>
    <t>누굴 보고 저러케 화러 내 왜 저래?/누굴 보고 당시니라 구래</t>
  </si>
  <si>
    <t>누굴보고 당시니라 그래/누고보고 당시니라 그래냐</t>
  </si>
  <si>
    <t>누굴보고 우느냐?</t>
  </si>
  <si>
    <t>누:를 보고 당시니라 구래나?/누구를 보고 당시니라 구래?</t>
  </si>
  <si>
    <t>누구보고 당시니라 그래</t>
  </si>
  <si>
    <t>지＇베 간다＇</t>
  </si>
  <si>
    <t>지베서 쉰:다/바테 무를/노네 무를 준다</t>
  </si>
  <si>
    <t>지비 가/나는 지비서 바블 머거따</t>
  </si>
  <si>
    <t>우리 다으메 다시 만내자./지베 온다.</t>
  </si>
  <si>
    <t>베 간다</t>
  </si>
  <si>
    <t>내애＇중에 만나자</t>
  </si>
  <si>
    <t>그래 이제 야:중에 칼루 이러케 오려가주구서 빼먼 쏙:: 빠지자너</t>
  </si>
  <si>
    <t>나:중에 만내세.</t>
  </si>
  <si>
    <t>야:중에 만내자</t>
  </si>
  <si>
    <t>내:중에 다시 만내자 이래기두하고</t>
  </si>
  <si>
    <t>나중에 다시 만내자</t>
  </si>
  <si>
    <t>큰지＇베서 지＇낸다</t>
  </si>
  <si>
    <t>뭄막써 와써요 {문막에서 왔어요}</t>
  </si>
  <si>
    <t>큰지베서 지낸다</t>
  </si>
  <si>
    <t>큰지비서 지낸다</t>
  </si>
  <si>
    <t>큰지베서 지내지.</t>
  </si>
  <si>
    <t>큰지베서 지낸다/큰대게서</t>
  </si>
  <si>
    <t>서우＇레서 만나자</t>
  </si>
  <si>
    <t>서림서 만내세</t>
  </si>
  <si>
    <t>서울서 만내자</t>
  </si>
  <si>
    <t>서울서 만내자.</t>
  </si>
  <si>
    <t>서울서 만내자/서우레서 만내자</t>
  </si>
  <si>
    <t>-에서(여기에서</t>
  </si>
  <si>
    <t>여＇기서 우리집까지는</t>
  </si>
  <si>
    <t>난 저 팜부서 살다가 여그 와가주 여적찌 여:서 살아 {난 저 판부에서 살다가 여기 와서 이때까지 여기서 살아}/우리두 머꾸 와써 교회서 {우리도 먹고 왔어 교회에서}</t>
  </si>
  <si>
    <t>여기서두 살:구</t>
  </si>
  <si>
    <t>여기서 한시간</t>
  </si>
  <si>
    <t>여개서 서울까지 얼매나 걸리나?</t>
  </si>
  <si>
    <t>여기서버텀 서울/여기서 만내자</t>
  </si>
  <si>
    <t>글르르 바래＇미 드러가주고/찹쌀＇로 수를 비즘 마슨＇ 더이＇쪼</t>
  </si>
  <si>
    <t>뭄막써 원주루 이사 와가주 원주서 와찌 {문막에서 원주로 이사 와서 원주서 왔지}</t>
  </si>
  <si>
    <t>쌀루두 당:꾸</t>
  </si>
  <si>
    <t>메쌀루 맹긴다/쌀루 지어유</t>
  </si>
  <si>
    <t>찹쌀루 맨드능게 아니요?</t>
  </si>
  <si>
    <t>청주 찹쌀루/찹쌀루 빈는다</t>
  </si>
  <si>
    <t>끈타불＇로 뭉는다/가＇마~이는 지푸＇로 만들고</t>
  </si>
  <si>
    <t>지푸루 행 겡가 {짚으로 한 것인가}/지푸루 영:을 영는다</t>
  </si>
  <si>
    <t>지푸루 만든다/노누루 간다/노느로 간다던지/지부루 간다</t>
  </si>
  <si>
    <t>지푸로 짱게 가마니거등</t>
  </si>
  <si>
    <t>지푸로 만든다./지풀 맨드는 가마니</t>
  </si>
  <si>
    <t>가마니 지푸루/지푸루 맨든다</t>
  </si>
  <si>
    <t>새끼＇로 뭉는다/섀끼＇로 뭉는다</t>
  </si>
  <si>
    <t>새끼루 꾸구 머 시방 나이롱 줄루 해구</t>
  </si>
  <si>
    <t>새끼로 뭉는다</t>
  </si>
  <si>
    <t>낭글 맨드런는데/내 뒤우로 오너라/새끼로 뭉는다.</t>
  </si>
  <si>
    <t>새끼루 뭉는다</t>
  </si>
  <si>
    <t>으대＇로 가느냐/저사＇라미 어대＇로 가느냐</t>
  </si>
  <si>
    <t>어디루 가너?/얼:루 가너?</t>
  </si>
  <si>
    <t>얼루 갈래느냐?</t>
  </si>
  <si>
    <t>비오는데 어두루 가라/어드루 가나?</t>
  </si>
  <si>
    <t>얼루 가나?/얼루 가느냐/지부루 앙가고</t>
  </si>
  <si>
    <t>고옴＇하고 비저타＇다/수우＇박 하＇고 차메＇를/고공＇과 가치 달＇마따/고공＇과 가치＇ 생게따/술＇과 안＇주로 잘:: 머＇가따/술하＇고/물견＇ 니물견＇하고 내물견＇하고 바꾸＇자/고공＇과 갇따＇/서로＇ 마알＇과 서로 상호가네 마＇뚜로 그＇개 다:블＇ 해주면서</t>
  </si>
  <si>
    <t>고기하구 술하구 잔뜩 머꼬 와써/고기하구 술하구 마:~이 머거따/도라지하고 더더카고는 항가지네 {도라지하고 더덕하고는 한 가지네}</t>
  </si>
  <si>
    <t>수박하고 차뫼를 멍는다</t>
  </si>
  <si>
    <t>수:바카구 차무/무하구 파하구 마날하구/배:추 쇠게다가 무:과 파과 마날과(+여)</t>
  </si>
  <si>
    <t>눙:과 비과 세께 오는 눈/떼: 떼:과 때과 따조. {떼와 때가 다르죠.}/수:바꽈 외:과</t>
  </si>
  <si>
    <t>수:박 하과 차뫼</t>
  </si>
  <si>
    <t>술＇과 고＇기를/마알＇과</t>
  </si>
  <si>
    <t>이우칭구더라구 친하게 산다 {이웃친구들하고 친하게 산다}</t>
  </si>
  <si>
    <t>나랑 가치 가자/칭구와 가치 가자</t>
  </si>
  <si>
    <t>와/과/칭구하고 노나머글라고 마니 사따</t>
  </si>
  <si>
    <t>나와 가치 가자 나하고 가치 가자</t>
  </si>
  <si>
    <t>나하과 가치가자/옹:기그타과 사기그륻하과 {옹기그릇하고 사기그릇하고}</t>
  </si>
  <si>
    <t>성＇보다가/남＇편보다가/배보담＇/배보다＇ 배꼬＇비 더크다＇/제가＇ 머 쌀곡＇뽀다 더＇만터라 {겨가 쌀곡식보다 더 많더라.}</t>
  </si>
  <si>
    <t>물건 사능 거보더도 뭔 이런 지벌 팔거나/여긴 말보다 킁 건 몰러/배버다 배꼬비 더 크대/시캐보더두 {식해보다도}/배버다 배꼬비 더 크구나/바다버더 즈그니까 강이라구래지 {바다보다 적으니까 강이라고 그러지}</t>
  </si>
  <si>
    <t>으:른들보덤/누구보당 기우니 셰:다/문지보덩은 크니까/매보담 즈:긍거/물껼보당 놉따/베보덩 널릉건 업:따/형님보덩 키가 크다</t>
  </si>
  <si>
    <t>동상보다 성이 크다/성보다 크다</t>
  </si>
  <si>
    <t>형보다 키가 크다</t>
  </si>
  <si>
    <t>동생보다 성보다 크다</t>
  </si>
  <si>
    <t>나아＇도 키가＇ 니처＇럼 커야＇지/누운＇가치/아부＇지처럼 또까치 커야＇지/누운＇처럼 하야＇타라/돼애＇지매로 살마 저따</t>
  </si>
  <si>
    <t>누구말따나 사람만 {누구말처럼 사람만}/돼:지처럼/자방에다 항 거처럼 되구 조:케/돼:지처럼 웬 바벌 그러케 마:~이 머거.</t>
  </si>
  <si>
    <t>돼:지처럼 사리 쩌따</t>
  </si>
  <si>
    <t>돼:지처럼 멍는다/곰:처럼 생겨따</t>
  </si>
  <si>
    <t>돼:지처럼 사리 저따/돼:지처럼 살만 지나?/돼:지매로 살만 지나?/밤만머꼬 잠만 자나 장꾸레기매로/돼:지가치 살만 저따</t>
  </si>
  <si>
    <t>벌:떼처름/돼:지처름</t>
  </si>
  <si>
    <t>나아＇도 키가＇ 니망＇큼 커야＇지/니만＇침/이망큼 크는데</t>
  </si>
  <si>
    <t>요망쿰만 커씸 조켄네/요만치 커씸 조켄따/그게 요만침 크머는 그게 꼬치 페가주 {그것이 요만큼 크면 꽃이 펴서}/다래는 요거마쿰 파러쿠 {다래는 이거만큼 파랗고}</t>
  </si>
  <si>
    <t>너만침 커씀 조케따</t>
  </si>
  <si>
    <t>머글 마큼/아무개마큼/그마큼 커씸 조타</t>
  </si>
  <si>
    <t>키만침 커씸 조케따 {키만큼 컸으면 좋겠다}/제망쿰갈쩌~:는 {제만큼 갈 적에는}/나도 네 키만침 커씸 조:케따</t>
  </si>
  <si>
    <t>니 키망쿰</t>
  </si>
  <si>
    <t>머＇글 마안＇큼만 머가＇라</t>
  </si>
  <si>
    <t>머글 망쿰 머거라/그래 머글 만치 머그라구/머그리 망쿰 머거라/머그리 망쿰 머그라구</t>
  </si>
  <si>
    <t>머그리만침 머거라/머그리만치 머거라</t>
  </si>
  <si>
    <t>소 드러갈마꿈 {소들어갈 만큼}/머글 마큼 머거라</t>
  </si>
  <si>
    <t>머그리만침/머글만침/머그르만:침 다마 오너라/머그리만:침 다마 오너라</t>
  </si>
  <si>
    <t>머그리망큼 머거라</t>
  </si>
  <si>
    <t>봉나＇마이래지요</t>
  </si>
  <si>
    <t>**아 이러케 불르구/우혀가</t>
  </si>
  <si>
    <t>얘: 영처라</t>
  </si>
  <si>
    <t>영처라</t>
  </si>
  <si>
    <t>봉나마</t>
  </si>
  <si>
    <t>봉나마 봉나마</t>
  </si>
  <si>
    <t>봉나＇미(+친한 사이일 때)/봉남씨(+친하지 않은 상황에서 대우를 해줄 때)</t>
  </si>
  <si>
    <t>여보 영철씨</t>
  </si>
  <si>
    <t>영처리</t>
  </si>
  <si>
    <t>봉나미 이래기두 하고</t>
  </si>
  <si>
    <t>봉나미 봉나미</t>
  </si>
  <si>
    <t>영＇수야</t>
  </si>
  <si>
    <t>얘야 크내야/영수야 이리 오너라</t>
  </si>
  <si>
    <t>영수야 이리 오나라</t>
  </si>
  <si>
    <t>영수야</t>
  </si>
  <si>
    <t>철쑤야 부루지</t>
  </si>
  <si>
    <t>철쑤야 철쑤야/철쑤 철쑤(+나이가 좀 있는 사람을 부를 때)</t>
  </si>
  <si>
    <t>누＇님(+어른일 때)</t>
  </si>
  <si>
    <t>누나이래지 누나/나이가 좀 차먼 누니미라 그래지</t>
  </si>
  <si>
    <t>누님 이거 좀 해주세요</t>
  </si>
  <si>
    <t>누님 누님</t>
  </si>
  <si>
    <t>40226-1</t>
  </si>
  <si>
    <t>-아/야(누님!!예)</t>
  </si>
  <si>
    <t>누니묘 누니묘</t>
  </si>
  <si>
    <t>-아/야(할아버지!)</t>
  </si>
  <si>
    <t>하르＇바~이</t>
  </si>
  <si>
    <t>하라번니미지/하라버님</t>
  </si>
  <si>
    <t>하라버~이</t>
  </si>
  <si>
    <t>40227-1</t>
  </si>
  <si>
    <t>-아/야(할아범요!)</t>
  </si>
  <si>
    <t>하르＇바~이요</t>
  </si>
  <si>
    <t>수＇리랑 고＇기랑</t>
  </si>
  <si>
    <t>수라구 안주하구 마:~이 머거따 {술하고 안주하고 많이 먹었다}</t>
  </si>
  <si>
    <t>술과 고기를 시큰 머거따/수리랑 고기랑 머거따/술하고 고기하고 잘 머거따</t>
  </si>
  <si>
    <t>술하고 고기하고</t>
  </si>
  <si>
    <t>수리랑 고기랑</t>
  </si>
  <si>
    <t>수라과 고기하과 잘머거따</t>
  </si>
  <si>
    <t>마아＇너~이먼새로 처넌＇도 업따/바비＇면새로 죽또 업따</t>
  </si>
  <si>
    <t>얘 마눤전에 처원두 웁따 {만원은커녕 천원도 없다}</t>
  </si>
  <si>
    <t>마:눠는커녕 처눤배껜 웁:따/마눠는커녕</t>
  </si>
  <si>
    <t>마:너는커녕 처넌도 업따</t>
  </si>
  <si>
    <t>마:눤꺼지 시붠두 업:따/마:눤커지 시붠두 업:따</t>
  </si>
  <si>
    <t>토끼＇ 잠는＇ 더트＇는 이 미＇테다가/수＇르는 머가＇도/수른 머가＇도 다암＇배는 암피＇운다/무루＇는(물은)</t>
  </si>
  <si>
    <t>채건 봐:따 그래구 {책은 봤다 그러고}/무런 숭니미구 {물은 숭늉이고}/따런 엄청 우해네 {딸은 엄청 위하네}</t>
  </si>
  <si>
    <t>수를 먹찌만 담:배는 암 피운다</t>
  </si>
  <si>
    <t>담:밴 피어두 수른 암 멍는다/수른 머거두 담배는 암핀다</t>
  </si>
  <si>
    <t>지그므는 와~이라고는 아나자나/그 사라므는/40232우리아드른 키도 크고/수른 먹찌만 담:배는 암피운다</t>
  </si>
  <si>
    <t>수른 머거두 담:밴 암피운다</t>
  </si>
  <si>
    <t>딸만＇ 이＇빠한다</t>
  </si>
  <si>
    <t>딸만 이:뿌다</t>
  </si>
  <si>
    <t>딸만 조:와한다</t>
  </si>
  <si>
    <t>딸만 이뿌다고 한다</t>
  </si>
  <si>
    <t>술만 멍는다</t>
  </si>
  <si>
    <t>눈도＇ 크고 키도＇ 크고＇</t>
  </si>
  <si>
    <t>멍석뚜 맨들구/부어케두 그렁 거 해 노치/쌀두 저 겨우레 모따 머거/꼬추두 해구/그 소리도 마:~이덜 씨지 왜 안 씨나?</t>
  </si>
  <si>
    <t>키두 크구</t>
  </si>
  <si>
    <t>얼구리두 크다/키두 크다</t>
  </si>
  <si>
    <t>얼굴또 잘생게따/문지두 날린다</t>
  </si>
  <si>
    <t>키두 크구 얼굴두 잘생겨따</t>
  </si>
  <si>
    <t>날마＇듬/집찜마＇담 영＇기가 난다＇/날마＇다/날마＇다가 아니고 날마＇둠</t>
  </si>
  <si>
    <t>날마둥/날마등 으드러 오네 {날마다 얻으러 오네}/저 사라믄 어떠케 날마둥 수럴 머거/해꾜서 거 부소그로 나오능 게 날마다 본데 김치가 {학교에서 김치가 부속으로 나오는 것을 날마다 본데}/날마등 으드러 온다구</t>
  </si>
  <si>
    <t>볼때마두 왜 잠만 자냐?/날마둥 수를 잘 든다/지방마덤 다르니까 그랜데</t>
  </si>
  <si>
    <t>날마둠 해능건데 {날마다 하는 건데}/날마등 만낸다/날마등 마신다</t>
  </si>
  <si>
    <t>날마두 수를 멍는다/날마다 수를 멍는다/40610 날마둥 만내는 만내는 칭구다/날마두 만낸다</t>
  </si>
  <si>
    <t>날마둥 술 마세따</t>
  </si>
  <si>
    <t>오＇늘부텀 에이 다암＇배를 끈는＇다/쌀부텀＇ 먼저 가주 오나라/예엔＇나레부터 구루맘미다. {옛날에부터 구루마입니다.}/오늘부＇텀</t>
  </si>
  <si>
    <t>여기부터 올러가능 거여/푸메 오먼 젇뻐터 먹찌 머/오늘버터 끄너따/충주 제처는 옌:날버텀 이써/구럼 충주 제처는 옌:날부터 이써찌/그 전버텅 고사리는 몰:러</t>
  </si>
  <si>
    <t>오늘버텅 담:배를 끙키로 해:따</t>
  </si>
  <si>
    <t>나버터미래두/내일서버텅 가자/내일서버텀 가자</t>
  </si>
  <si>
    <t>오늘부터 담:배를 끈는다</t>
  </si>
  <si>
    <t>오늘버틈 끈차/오늘서버틈 끈차</t>
  </si>
  <si>
    <t>내＇일꺼짐 꼭 줄끼＇~이/내일까＇짐 끈내＇래이/이이＇른 내일까＇짐 끈내＇라/내＇앨까짐 끈내＇라/내＇앨 까＇짐/우리집꺼＇지/저꺼＇지 대＇애고 이따. {저까지 대고 있다.}죄``/나아＇는 내앨＇까＇짐/내＇애리까＇지 끈내＇라</t>
  </si>
  <si>
    <t>낼:꺼지 핼텐데 오늘 끈내고 마러따구/내 저꺼정 가따 올께/소굼꺼정 거기 인네./이게 초마 서까래가 여기꺼정 완는데 {이것이 처마 서까래가 여기까지 왔는데}</t>
  </si>
  <si>
    <t>내일까지 끄틀 래:라</t>
  </si>
  <si>
    <t>내일꺼정 끈내자</t>
  </si>
  <si>
    <t>낼:까지 끈내라</t>
  </si>
  <si>
    <t>낼:꺼지 끈내라/낼:꺼증</t>
  </si>
  <si>
    <t>물조＇차</t>
  </si>
  <si>
    <t>물조차 웁따/*</t>
  </si>
  <si>
    <t>물조처 웁:따</t>
  </si>
  <si>
    <t>마실 조차두 웁따(+조?)</t>
  </si>
  <si>
    <t>머글 물조차업따</t>
  </si>
  <si>
    <t>물조차</t>
  </si>
  <si>
    <t>40236-1</t>
  </si>
  <si>
    <t>비조차 오는데 어딜 가느냐</t>
  </si>
  <si>
    <t>그＇사람마리야 참 마알＇ 잘하더라</t>
  </si>
  <si>
    <t>도:니야 만:치</t>
  </si>
  <si>
    <t>도:니야 만:타</t>
  </si>
  <si>
    <t>그사람마리야</t>
  </si>
  <si>
    <t>아 그사람 마리야</t>
  </si>
  <si>
    <t>그＇런 마아＇른 하＇지 마아＇라</t>
  </si>
  <si>
    <t>무서운 소릴랑 하지 말:게</t>
  </si>
  <si>
    <t>그런소리는 다시는 해지 말라</t>
  </si>
  <si>
    <t>그런소리랑 하지마라</t>
  </si>
  <si>
    <t>다시는 그런소리하지 마라</t>
  </si>
  <si>
    <t>암만＇ 부우＇재래도</t>
  </si>
  <si>
    <t>부:자래도 안산다</t>
  </si>
  <si>
    <t>부자래두 안산다</t>
  </si>
  <si>
    <t>부자래도 비쌍건 안산다</t>
  </si>
  <si>
    <t>부:자래두</t>
  </si>
  <si>
    <t>배가＇ 고풀＇ 쑤배께 업＇찌요</t>
  </si>
  <si>
    <t>너배께 웁따/시궁창배께 더 돼요</t>
  </si>
  <si>
    <t>날 도워주는 사라믄 칭구바께/그건 보리배께 읍써/칭구배껜 읍:따/칭구바껜 음:네</t>
  </si>
  <si>
    <t>공구능거배께 더인다 {괴는 것밖에 더 있나?}/너배께 읍따/쌀배께 몸먹찌</t>
  </si>
  <si>
    <t>너바께 업따</t>
  </si>
  <si>
    <t>이러케 허먼 쓰레기버리능거빼께/자네빼께 읍:따</t>
  </si>
  <si>
    <t>보자＇ 싸가＇주고</t>
  </si>
  <si>
    <t>보재기에 싸가주 댕기지./공겨가주 터전네/콩까리나 요렁 거 요렁 거 해가주구/흐그루 발라가주구 {흙으로 발라서}</t>
  </si>
  <si>
    <t>싸가주 간다/싸가지구 간다</t>
  </si>
  <si>
    <t>싸가주 가따</t>
  </si>
  <si>
    <t>싸가주간다</t>
  </si>
  <si>
    <t>싸가주가지요/싸가지구 간다</t>
  </si>
  <si>
    <t>오라＇고 한다</t>
  </si>
  <si>
    <t>오라구랜다</t>
  </si>
  <si>
    <t>이쪼구로 오라구래더라/일로 오라구구래더라</t>
  </si>
  <si>
    <t>이쪼그로 오라고 한다</t>
  </si>
  <si>
    <t>내＇앨 쭘 장에 가끼＇~이요/오끼＇~이요/그래 얘:기가 여러 마두가 이싸요/머＇가싸요./알＇고 이＇싸요/아＇라써요</t>
  </si>
  <si>
    <t>지:가 아러씸미다</t>
  </si>
  <si>
    <t>아러써요</t>
  </si>
  <si>
    <t>그 마를 잘 아라써요</t>
  </si>
  <si>
    <t>아러써요/해:씀니까?</t>
  </si>
  <si>
    <t>아라써요</t>
  </si>
  <si>
    <t>누가＇ 머＇어해찌요?</t>
  </si>
  <si>
    <t>누가 해:써요?</t>
  </si>
  <si>
    <t>누가 해:찌요?</t>
  </si>
  <si>
    <t>빨＇리 밤 머＇가라/자가＇라/안재＇라/야아＇야 여＇어 와 좀 안제＇라/자아＇라/물거＇느 사＇라/오줌 누＇고 자가＇래이/가가＇라/오너＇라가 아~이＇고 오나＇라</t>
  </si>
  <si>
    <t>아가야 여기 안저라/응 안저라/아무개야 여기 와 안저라</t>
  </si>
  <si>
    <t>안저라</t>
  </si>
  <si>
    <t>이짜게 와 안저라</t>
  </si>
  <si>
    <t>안저라.</t>
  </si>
  <si>
    <t>입＇깨/저쩌＇어는 가＇개/일로＇ 오＇개/안지＇개 하단＇가/실타＇ 난 바＇빠 모오＇까내 가따＇ 오＇개/여＇어 와 앙＇깨/싸＇우 좀 이＇깨/누우＇시개</t>
  </si>
  <si>
    <t>앙께 그래지/얘:기핼 께 이써 와 좀 앙께/사우 여기 안저</t>
  </si>
  <si>
    <t>오게/앙께/칭구 나 좀 일루 오게/그런 사람 일루 오게나</t>
  </si>
  <si>
    <t>따드탠데로 오게 여보게/앙께</t>
  </si>
  <si>
    <t>오개./여: 와 앙깨.</t>
  </si>
  <si>
    <t>자네 앙께/이리 오게</t>
  </si>
  <si>
    <t>머 올＇똥말말똥 하다오/어＇데 가와? 오＇부~이(+동네 이름) 가와./여＇어 좀 와 안지＇시오/하르＇바~이 증＇:스무 드시＇오/아침＇ 드시＇오/증＇스무 잡쑤＇시오/이＇부시오/이＇부오 하능걷/오슬＇ 얼르＇ 이＇부와./일루＇와 좀 안지＇오/자앙＇몬님 여＇기 좀 와 안지＇시오/당신＇ 어＇대 가보＇오.</t>
  </si>
  <si>
    <t>아무개 아빠 여기 안저요/이리 오셔서 좀 여기 좀 안즈세요</t>
  </si>
  <si>
    <t>안지시요</t>
  </si>
  <si>
    <t>밥 빨리 잡쑤꼬 가시오./돈: 바다 가우?/지갑 찌버가시오.</t>
  </si>
  <si>
    <t>그기 매:나 독쑤리나 항가지자누?/안즈시오.</t>
  </si>
  <si>
    <t>안지세요</t>
  </si>
  <si>
    <t>이＇부십씨오/와사＇ 안지＇십씨요/하르＇바~이 아＇치므 드십＇씨요/댕＇게 오십＇씨요</t>
  </si>
  <si>
    <t>하라버지 여기 안즈세요/자이너른 여기 안즈세요/안즈세요(+다)/안즈십씨요 이 소리보더(+소)</t>
  </si>
  <si>
    <t>안즈세요 안즈십씨요</t>
  </si>
  <si>
    <t>여:좀 안즈십씨오.(+형님)</t>
  </si>
  <si>
    <t>안지십씨오/안지세요</t>
  </si>
  <si>
    <t>빨＇리 이＇부세요/아치＇믈 드세＇요</t>
  </si>
  <si>
    <t>장:몬님 여기 좀 안즈세요/할머니 안즈세요</t>
  </si>
  <si>
    <t>여기 좀 안즈세요/할머니 이쪼그로 쫌 오세요.</t>
  </si>
  <si>
    <t>안즈세요</t>
  </si>
  <si>
    <t>안즈서요.</t>
  </si>
  <si>
    <t>두우＇리 가자 가치 가＇자/우리 다＇시 만＇내재~이</t>
  </si>
  <si>
    <t>얘 우리 저기 가치 갈래/장에 좀 가치 가자/응 그래 가치 가자</t>
  </si>
  <si>
    <t>가자/안즈세요</t>
  </si>
  <si>
    <t>장에 가치 가자</t>
  </si>
  <si>
    <t>가자.</t>
  </si>
  <si>
    <t>가치 가자</t>
  </si>
  <si>
    <t>빨＇리 온닙＇꼬 가＇새/소 메＇기러 가＇새/엉 바블＇ 먹＇쌔/소 머＇기러 가＇새/유욷＇ 함번 처보＇새.</t>
  </si>
  <si>
    <t>가치 가세</t>
  </si>
  <si>
    <t>자~에 좀 가치 가세</t>
  </si>
  <si>
    <t>사우 가치 가세</t>
  </si>
  <si>
    <t>가새.</t>
  </si>
  <si>
    <t>장에 가치 가세</t>
  </si>
  <si>
    <t>거＇어 가보＇왜/그지＇베 가보＇왜/우린 방까＇네 가왜＇이./우린 바＇~아 찌러 가왜이./바＇~아르 쫌 쩨: 주＇왜이.</t>
  </si>
  <si>
    <t>가치 가십씨다(형님 손아래 동서가)</t>
  </si>
  <si>
    <t>동생님 가치 갑씨다 자~에 가치/동선님 가치 좀 자~에 갑씨다</t>
  </si>
  <si>
    <t>가치 갑씨다.</t>
  </si>
  <si>
    <t>가치 갑씨다</t>
  </si>
  <si>
    <t>갑씨＇대이/글르＇ 입＇꼬 갑씨＇다 빨리/가십＇씨다 해도 되＇고 갑씨＇다 해도 되＇고/자앙＇몬님 자＇~아 가치 갑씨＇다</t>
  </si>
  <si>
    <t>장에 볼릴 업써유 나하구 가치 가유/가실래요</t>
  </si>
  <si>
    <t>으르신네 자~에 좀 가치 갑씨다/자~에 좀 갑씨다(장인에게)/저랑 가치 가자 갑씨다 그래구</t>
  </si>
  <si>
    <t>사머그러 갑시따/거기 아무개 갑씨다</t>
  </si>
  <si>
    <t>가십씨다./가요.</t>
  </si>
  <si>
    <t>장에 가치 가십씨다(+장인에게)/가치 갑씨다(+장모에게)</t>
  </si>
  <si>
    <t>이＇부시지요/오＇늘 자＇~아 가치＇ 가시＇지요</t>
  </si>
  <si>
    <t>가치 좀 가실래요/장에 좀 가치 가실래유</t>
  </si>
  <si>
    <t>가세요</t>
  </si>
  <si>
    <t>갑씨다.</t>
  </si>
  <si>
    <t>비가＇ 오나?</t>
  </si>
  <si>
    <t>아무데 가능 길 러 아니? {아무데 가는 길 너 아니?}/오니(얘야, 밖에 비가)</t>
  </si>
  <si>
    <t>너 옥쑤수 딴니?/비가 지끔 오냐?/비가 오느냐/야 바께 지금 비가 오니?</t>
  </si>
  <si>
    <t>비가 오니?</t>
  </si>
  <si>
    <t>오나?</t>
  </si>
  <si>
    <t>비가 오나?</t>
  </si>
  <si>
    <t>사나?/사＇러 가나?/비가＇ 오나＇/그 물거＇느 내앨 살＇라나?/비가＇ 오당＇가 {비가 오던가?}/오능＇가 하능거또/오당＇가?/오다＇나? {오더나?}</t>
  </si>
  <si>
    <t>비가 오나 아노나?(장모가 사위)/가치 가따 올래나? {같이 갔다 오려나? 장모가 사위에게}/사우 어디 가나?/비가 오나? 시방/자네 비가 오나?/여보게 사우 어디 가나</t>
  </si>
  <si>
    <t>옥쑤술 딴?/바께 지금 비가 오너?/옥쑤술 딴너?/완너?/머건너? {밥을 먹었나?}/비가 지금 오너?/바블 머거썬나?</t>
  </si>
  <si>
    <t>오능가?</t>
  </si>
  <si>
    <t>비가 오능가?</t>
  </si>
  <si>
    <t>어＇데 가와? 오＇부~이(+동네 이름) 가와./성＇님 자＇~아 가치 가알＇라오?/비가＇ 오다＇오?/가치＇ 가알＇라오?/오라＇ 하더＇오?/마＇아러 가와?/머＇하러 가오? 이래머 머하러 간다 그래는데</t>
  </si>
  <si>
    <t>오나요?/장보러 가실라우?/형님 비가 와유? 시방/비가 오나요(손위동서에게)</t>
  </si>
  <si>
    <t>으르신네 진지 잡쒀쑤?/오오 아노오? {오오 안 오오?}/모내기 다 끈나쏘?/옥쑤수를 따쏘?/바블 먹쏘?/비가 배께 오오?/잡쒀쏘 하능건 나마닐 보고 그래고</t>
  </si>
  <si>
    <t>거기 이쏘?/비가 와요?</t>
  </si>
  <si>
    <t>비가 오는지요?/와요?/비가 오오?</t>
  </si>
  <si>
    <t>비가 오오?/비가 오나요?</t>
  </si>
  <si>
    <t>가씸＇미까?/비가＇ 오＇고 이씸＇미까? 비가＇ 옴미＇까?/우운＇제 오심＇미까?/한되＇ 얼＇마 합띠＇까?</t>
  </si>
  <si>
    <t>아번님 바께 시방 비가 와유?</t>
  </si>
  <si>
    <t>비가 옴미까?(사위가 장인에게)</t>
  </si>
  <si>
    <t>비가 옴니까?</t>
  </si>
  <si>
    <t>옴니까?</t>
  </si>
  <si>
    <t>비가 옴미까?/비가 오나요?</t>
  </si>
  <si>
    <t>비가 오나요?</t>
  </si>
  <si>
    <t>드세써요?</t>
  </si>
  <si>
    <t>오는지요?(+장모)</t>
  </si>
  <si>
    <t>비가 오나요?(+장모에게)</t>
  </si>
  <si>
    <t>길에서 우연히 만나서, 어디 가는지를 물을 때(가니)</t>
  </si>
  <si>
    <t>어＇대를 가나＇?</t>
  </si>
  <si>
    <t>바벌 어떠케 잘 멍니?/너 지끔 어디 가니?</t>
  </si>
  <si>
    <t>너 지끔 어드루 가느냐?/너 지금 어디루 가니?</t>
  </si>
  <si>
    <t>어디 가느냐?/어디 가니?</t>
  </si>
  <si>
    <t>너는 지금 어디 가나?</t>
  </si>
  <si>
    <t>길에서 우연히 만나서, 어디 가는지를 물을 때(가나)</t>
  </si>
  <si>
    <t>어＇대를 가능＇가?</t>
  </si>
  <si>
    <t>어디 가나?/지금 어디 가세요?(형님에게)</t>
  </si>
  <si>
    <t>어데루 가고 인너?/머건너?/우리지베 아:도 완?/머건? {먹었나?}</t>
  </si>
  <si>
    <t>어디 가나?/얼루 가나?</t>
  </si>
  <si>
    <t>가능가?/어디루 가능가?</t>
  </si>
  <si>
    <t>어두루 가나?/어두루 가느냐?</t>
  </si>
  <si>
    <t>길에서 우연히 만나서, 어디 가는지를 물을 때(가시오)</t>
  </si>
  <si>
    <t>어＇대로 가시＇오?</t>
  </si>
  <si>
    <t>형님 지금 어디 가시나요?/어디 가세요?</t>
  </si>
  <si>
    <t>어데루 가오?</t>
  </si>
  <si>
    <t>가시우?/모자리 다 해쏘?/얼루 가세요?/어디 가세요?</t>
  </si>
  <si>
    <t>어드루 가시오?/어디가요?</t>
  </si>
  <si>
    <t>어두루 가나요?</t>
  </si>
  <si>
    <t>길에서 우연히 만나서, 어디 가는지를 물을 때(가십니까)</t>
  </si>
  <si>
    <t>어＇대로 가심＇미까?</t>
  </si>
  <si>
    <t>어디 가시나유?</t>
  </si>
  <si>
    <t>어디로 가심미까?/감미까?</t>
  </si>
  <si>
    <t>가심니까?</t>
  </si>
  <si>
    <t>가심미까?</t>
  </si>
  <si>
    <t>어두루 가세요?(+사위가 장인에게)</t>
  </si>
  <si>
    <t>길에서 우연히 만나서, 어디 가는지를 물을 때(가세요)</t>
  </si>
  <si>
    <t>어＇대로 가심미까?</t>
  </si>
  <si>
    <t>어디 가세요?</t>
  </si>
  <si>
    <t>장몬님 지금 어디로 가실라 그래유?</t>
  </si>
  <si>
    <t>얼루 가세요?</t>
  </si>
  <si>
    <t>어디루 감니까?</t>
  </si>
  <si>
    <t>어두루 가세요?(+사위가 장모에게)</t>
  </si>
  <si>
    <t>니＇는 참 밥으＇ 잘 멍는＇다</t>
  </si>
  <si>
    <t>오시 너머 찡긴다 {옷이 너무 끼인다}/잘 멍는다/찡긴다 {끼인다}</t>
  </si>
  <si>
    <t>잘 멍는다</t>
  </si>
  <si>
    <t>바블 잘 멍는다</t>
  </si>
  <si>
    <t>실타＇ 난 바＇빠 모오＇까내 가따＇ 오＇개/시이＇장 가네＇/바블 머＇꼬 인네/자아＇시내/자내＇는 참 그 바부＇ 복씨＇리 멍＇내/복씨＇리 자아＇시내/보올＇릴 이＇싸 가내＇</t>
  </si>
  <si>
    <t>자네 밥또 복씨럭께 잘 멍네</t>
  </si>
  <si>
    <t>머건네./잘 자시네./잘 멍네</t>
  </si>
  <si>
    <t>그건 잘 멍네</t>
  </si>
  <si>
    <t>멍네</t>
  </si>
  <si>
    <t>잘 멍네요/바블 잘 멍네</t>
  </si>
  <si>
    <t>자알＇ 먹따＇오/잘 먹따＇오/자알＇ 먹＇쏘.</t>
  </si>
  <si>
    <t>아이 개는 밥뚜 참 잘 먹쑤./식싸 참 잘해시네요</t>
  </si>
  <si>
    <t>먹쏘 잘먹쏘 하능건 밤마리여</t>
  </si>
  <si>
    <t>잘 먹쏘/가보시오.</t>
  </si>
  <si>
    <t>잡쑤쏘</t>
  </si>
  <si>
    <t>잘 먹쏘</t>
  </si>
  <si>
    <t>감미＇다보다 가끼＇~이요/가따＇ 오게＇씀미다/가개＇씀미다/머＇가씀미다/꾸리＇ 참 담미＇다/오＇늘 날씨＇가 참 조오＇씀미다</t>
  </si>
  <si>
    <t>예 저는 밥 잘 먹씸미다</t>
  </si>
  <si>
    <t>진지를 참 잘 드심미다./자:심미다</t>
  </si>
  <si>
    <t>잘 먹씀니다</t>
  </si>
  <si>
    <t>식싸를 잘 하심미다</t>
  </si>
  <si>
    <t>잘 잡쑴미다</t>
  </si>
  <si>
    <t>먹씀＇미다</t>
  </si>
  <si>
    <t>식쌀 잘해시네유</t>
  </si>
  <si>
    <t>하심미다(+장모)</t>
  </si>
  <si>
    <t>바블 잘 잡쑴미다</t>
  </si>
  <si>
    <t>옷이 작다고 말할 때(작다)</t>
  </si>
  <si>
    <t>자악＇따/즈윽＇따</t>
  </si>
  <si>
    <t>너머 즉:따</t>
  </si>
  <si>
    <t>너무 작:따</t>
  </si>
  <si>
    <t>작따/즉:따</t>
  </si>
  <si>
    <t>즉:따./오시 즉따.</t>
  </si>
  <si>
    <t>오시 즈그믄 적따/즉:다그래요</t>
  </si>
  <si>
    <t>옷이 작다고 말할 때(작네)</t>
  </si>
  <si>
    <t>즈응＇내.</t>
  </si>
  <si>
    <t>너머 즈:개/너머 자:개</t>
  </si>
  <si>
    <t>너무 장:네</t>
  </si>
  <si>
    <t>증:네</t>
  </si>
  <si>
    <t>오시 정:네.</t>
  </si>
  <si>
    <t>정:네</t>
  </si>
  <si>
    <t>옷이 작다고 말할 때(작소)</t>
  </si>
  <si>
    <t>자악＇쏘./좀 즈윽＇쏘.</t>
  </si>
  <si>
    <t>아이 너머 오시 즉:쑤/형님 너머 오시 즈:거얘</t>
  </si>
  <si>
    <t>야 너 오시 작:쏘/섀~이리지?</t>
  </si>
  <si>
    <t>*/내소리가 마쏘.</t>
  </si>
  <si>
    <t>적:쏘</t>
  </si>
  <si>
    <t>아라쑤/오시 적:쏘</t>
  </si>
  <si>
    <t>옷이 작다고 말할 때(작으십니다)</t>
  </si>
  <si>
    <t>즈윽＇씀미다</t>
  </si>
  <si>
    <t>즉:씸미다</t>
  </si>
  <si>
    <t>작씀미다</t>
  </si>
  <si>
    <t>즉씸니다</t>
  </si>
  <si>
    <t>적:씸미다(+장모)</t>
  </si>
  <si>
    <t>오시 정:네요</t>
  </si>
  <si>
    <t>옷이 작다고 말할 때(작으세요)</t>
  </si>
  <si>
    <t>너머 찡기네요/오시 너머 찡기시는데유/오시 너머 즈:거얘/장몬님한텐 너머 오시 즈:게요/장몬님한테 너머 오시 즈:거요</t>
  </si>
  <si>
    <t>즈:어유</t>
  </si>
  <si>
    <t>오시 적씸미다</t>
  </si>
  <si>
    <t>아푸＇나?/어＇대 아풍＇가?</t>
  </si>
  <si>
    <t>어디가 아퍼 그라나 왜?</t>
  </si>
  <si>
    <t>아푸냐?/아푸지 안냐?</t>
  </si>
  <si>
    <t>아풍가?</t>
  </si>
  <si>
    <t>아풍가?(+부인에게)/아푸나(+아이에게)</t>
  </si>
  <si>
    <t>여보 어디가 마땅차너?/어디가 아푸나?</t>
  </si>
  <si>
    <t>가바＇야지/머＇꼬 숩째＇/가야＇지</t>
  </si>
  <si>
    <t>너머 크지</t>
  </si>
  <si>
    <t>생이리지?</t>
  </si>
  <si>
    <t>갈꺼지?/벼~워네 꼭 갈꺼지?/갈꺼야?</t>
  </si>
  <si>
    <t>낼: 꼭 병워네 갈꺼지?</t>
  </si>
  <si>
    <t>내＇애리가 니 생이＇리다/우리집 깨애＇다./내 카리＇야/내＇ 카리야/우리집 개애＇야/내 카리＇다 내 카리＇야/하래＇비 카리다 하래＇비 해다/카리＇래요/우리집 깨애＇래 왜/내 카리＇래</t>
  </si>
  <si>
    <t>생이리다</t>
  </si>
  <si>
    <t>내 섀~이리다</t>
  </si>
  <si>
    <t>네 생이리다</t>
  </si>
  <si>
    <t>새~이리다</t>
  </si>
  <si>
    <t>내:른 네 생이리다.</t>
  </si>
  <si>
    <t>니 새~이＇리나?/누＇:해 집 개나?</t>
  </si>
  <si>
    <t>생이린데 아니?</t>
  </si>
  <si>
    <t>섀~이리냐?</t>
  </si>
  <si>
    <t>니 생이리 내이리냐?</t>
  </si>
  <si>
    <t>새~이리나?</t>
  </si>
  <si>
    <t>니 생이리냐?</t>
  </si>
  <si>
    <t>내 카리＇네/이＇사라마 우리집 개앨＇쌔/그근 내＇카릴쌔./새~이＇릴쎄./우리＇ 개애＇내.</t>
  </si>
  <si>
    <t>생이리네/자네 생이리여/내:리 자네 생이린데/생이리얘/자네 낼: 생이릴쎄</t>
  </si>
  <si>
    <t>생시닐쎄/섀~이릴쎄</t>
  </si>
  <si>
    <t>내이리네</t>
  </si>
  <si>
    <t>새~이릴쌔.</t>
  </si>
  <si>
    <t>자네 생이리네./내:리 생이리네.</t>
  </si>
  <si>
    <t>자내＇ 새~이＇링가?</t>
  </si>
  <si>
    <t>생이링가?</t>
  </si>
  <si>
    <t>내일 자네 사우 섀~이리 아닝가?</t>
  </si>
  <si>
    <t>내이링가?</t>
  </si>
  <si>
    <t>내이리 자네 새~이링가?</t>
  </si>
  <si>
    <t>자네 생이리나?(+장인이 사위에게)</t>
  </si>
  <si>
    <t>새~이＇리오./저개＇는 우리개＇요</t>
  </si>
  <si>
    <t>생이린데요</t>
  </si>
  <si>
    <t>생이리오</t>
  </si>
  <si>
    <t>새~이리오.</t>
  </si>
  <si>
    <t>내:리 생이리오.</t>
  </si>
  <si>
    <t>내＇이리 생이＇리오?/새~이＇리지요?(+형님에게)</t>
  </si>
  <si>
    <t>형님 생이리예요?</t>
  </si>
  <si>
    <t>자~인 생시니 내이리 아니요?</t>
  </si>
  <si>
    <t>생이리오?</t>
  </si>
  <si>
    <t>새~이리 아니오?/형님 새~이리오?</t>
  </si>
  <si>
    <t>누가 해쏘?/내:리 생이리나요?</t>
  </si>
  <si>
    <t>이기＇ 카림＇미다/이거＇는 아부＇지 카리래요/ 생시＇님미다.</t>
  </si>
  <si>
    <t>아무갭미다/제 하라버짐미다./생시닌데요.</t>
  </si>
  <si>
    <t>아번님 생시님니다./생이림니다.</t>
  </si>
  <si>
    <t>새~이림미다.</t>
  </si>
  <si>
    <t>아부님 생시님미다.</t>
  </si>
  <si>
    <t>이게 누＇해 카림＇미까?/생시＇니지요?(+장인에게)/생시＇님미까?</t>
  </si>
  <si>
    <t>생시니예요?/생시닝까요?/내:리 아번님 생시닐까요?/내:리 아번님 생시니예요?</t>
  </si>
  <si>
    <t>생시니 아님미까?</t>
  </si>
  <si>
    <t>생이림니까?</t>
  </si>
  <si>
    <t>새~이림미까?</t>
  </si>
  <si>
    <t>생시님미까?</t>
  </si>
  <si>
    <t>생시＇님미다.(+장모에게)</t>
  </si>
  <si>
    <t>생시닌데요.</t>
  </si>
  <si>
    <t>생신가튼데요?</t>
  </si>
  <si>
    <t>생시니지요.</t>
  </si>
  <si>
    <t>장몬님 새~이리조.</t>
  </si>
  <si>
    <t>생시님미다.</t>
  </si>
  <si>
    <t>생시＇니지요?(+장모에게)</t>
  </si>
  <si>
    <t>장모님 생시니조?</t>
  </si>
  <si>
    <t>장모님 새~이림미까?</t>
  </si>
  <si>
    <t>내:리 생시님미까?</t>
  </si>
  <si>
    <t>의문사가 있는 -이다(무엇이냐)</t>
  </si>
  <si>
    <t>머＇이나?/이게 머＇이나 이래머 이게 카리＇잔쏘.</t>
  </si>
  <si>
    <t>그게 뭐:냐?</t>
  </si>
  <si>
    <t>무어시냐?/뭐이냐?/뭐이너?</t>
  </si>
  <si>
    <t>뭐:냐?</t>
  </si>
  <si>
    <t>머이나?</t>
  </si>
  <si>
    <t>의문사가 있는 -이다(무엇인가)</t>
  </si>
  <si>
    <t>그기 머＇잉가?</t>
  </si>
  <si>
    <t>뭥:가?</t>
  </si>
  <si>
    <t>자네 소네 들고 잉게 뭐잉가?</t>
  </si>
  <si>
    <t>머잉가?</t>
  </si>
  <si>
    <t>뭐:나?</t>
  </si>
  <si>
    <t>의문사가 있는 -이다(무엇이오)</t>
  </si>
  <si>
    <t>머＇이오?(+형님에게)</t>
  </si>
  <si>
    <t>뭐:예요?</t>
  </si>
  <si>
    <t>머이오?</t>
  </si>
  <si>
    <t>뭐:나요?/무어싱가요?/당신 어디 가오?</t>
  </si>
  <si>
    <t>의문사가 있는 -이다(무엇입니까)</t>
  </si>
  <si>
    <t>머＇임미까?(+장인에게)</t>
  </si>
  <si>
    <t>소네 들고 기싱게 뭐예요? {손에 들고 계신 것이 무엇이에요?}</t>
  </si>
  <si>
    <t>뭐임미까?/무어심미까?</t>
  </si>
  <si>
    <t>뭠:니까?</t>
  </si>
  <si>
    <t>머임미까?</t>
  </si>
  <si>
    <t>무어심미까?</t>
  </si>
  <si>
    <t>의문사가 있는 -이다(무엇인가요)</t>
  </si>
  <si>
    <t>머＇임미까?(+장모에게)</t>
  </si>
  <si>
    <t>들고 인능게 뭐예요?</t>
  </si>
  <si>
    <t>머임미까? 머이조?</t>
  </si>
  <si>
    <t>뭐:나요?</t>
  </si>
  <si>
    <t>의문사가 있는 -이다(무엇이야)</t>
  </si>
  <si>
    <t>머＇이나?(+부인을 대접하지 않을 때)/머＇잉가?(+부인을 대접할 때)</t>
  </si>
  <si>
    <t>뭥:가?(+남편이 아내에게)</t>
  </si>
  <si>
    <t>머이야?/머잉가?(+남편이 아내에게)/소네 드릉기 머이나?(+남편이 부인에게)</t>
  </si>
  <si>
    <t>의문사가 있는 -이다(무엇이어요)</t>
  </si>
  <si>
    <t>거 머＇어요?(+부인이 남편에게)</t>
  </si>
  <si>
    <t>뭐이요?</t>
  </si>
  <si>
    <t>뭐:요?</t>
  </si>
  <si>
    <t>머이조?(+부인이 남편에게)</t>
  </si>
  <si>
    <t>뭐:시요?</t>
  </si>
  <si>
    <t>감미＇다/차암＇ 조＇와씀미다/마안＇씀미다./차＇가 만＇타오./게엥＇자~이 마안＇타오.</t>
  </si>
  <si>
    <t>굉장이 만:씸미다</t>
  </si>
  <si>
    <t>만:씀미다./복짭함미다.</t>
  </si>
  <si>
    <t>만:씀니다</t>
  </si>
  <si>
    <t>만:씀미다./만:씀미까?</t>
  </si>
  <si>
    <t>만:씸미다 서우레 가믄</t>
  </si>
  <si>
    <t>갑띠＇다/답띠＇다/마안＇씁띠다 하능거슨/꾸루＇ 주능 거 머＇가 보＇~이 마시＇ 참:: 답띠＇다/저 사＇람 어＇제 보니까 집에 갑띠다/소~이＇ 거 팝띠＇까?/소~이＇ 나씁＇띠까?/갑씨＇ 조＇씁띠까?/참:: 조오＇씀띠다</t>
  </si>
  <si>
    <t>마:~이 이씁띠다./마:늡띠다</t>
  </si>
  <si>
    <t>마:늡띠다./만:씁띠다.</t>
  </si>
  <si>
    <t>멍능＇구나</t>
  </si>
  <si>
    <t>너는 밥또 복씨러께 잘 멍넝구나/멍넝구나 {먹는구나}/소는 여물도 잘 멍능군. {소는 여물도 잘 먹는군}</t>
  </si>
  <si>
    <t>머꼬 이꾸나/멍능구나</t>
  </si>
  <si>
    <t>멍넌구나</t>
  </si>
  <si>
    <t>바부 잘 멍능구나./쇠주글 잘 멍능구나.</t>
  </si>
  <si>
    <t>잘 멍능구나</t>
  </si>
  <si>
    <t>팔씹 서＇이더구만./팔씹 다＇서시더구만./아치＇미 시원하더＇구마는/어＇른드리 얘＇:기 안하더구마는./다 돼: 가능＇구만.</t>
  </si>
  <si>
    <t>잘 멍넝구먼 {잘 먹는구먼}</t>
  </si>
  <si>
    <t>멍능구먼</t>
  </si>
  <si>
    <t>쇠주글 잘 멍능구만.</t>
  </si>
  <si>
    <t>바블 잘 멍는군.</t>
  </si>
  <si>
    <t>그근 내＇카릴쌔./개앨＇쎄</t>
  </si>
  <si>
    <t>오램마닐쎄</t>
  </si>
  <si>
    <t>자네 참 오래감마니쎄.</t>
  </si>
  <si>
    <t>가껜네/오래간마니네.</t>
  </si>
  <si>
    <t>사오＇마./팔고＇ 오오＇마./바라＇꼬 이까＇라 오＇마./내가＇ 머＇그마./가＇푸마/내가＇ 등＇으 다아마＇./가아＇마 (+＇갈-으마＇의 결합)/팔러 가아＇마.</t>
  </si>
  <si>
    <t>꼭 가따 가푸께 {꼭 갖다 갚을게}/낼 꼭 가따 가푸마 {내일 꼭 갖다 갚으마}/내가 그 도늘 꼭 가프매 {내가 그 돈을 꼭 갚으마}/가프마</t>
  </si>
  <si>
    <t>도:늘 가푸마 빌렌 도:늘/가푸마.</t>
  </si>
  <si>
    <t>가프마</t>
  </si>
  <si>
    <t>가파 주:마./낼:까지 가파 주:마.</t>
  </si>
  <si>
    <t>가푸마</t>
  </si>
  <si>
    <t>내＇일꺼짐 주끼＇~이/가＇풀깨/가＇풀끼＇~이/가＇풀끼~이/빌＇린도늘 내＇일 가＇품새</t>
  </si>
  <si>
    <t>낼:까지 자네 도늘 가품세/빌렌 도늘 가풀껜</t>
  </si>
  <si>
    <t>가품새.</t>
  </si>
  <si>
    <t>가껜네</t>
  </si>
  <si>
    <t>다＇칠라 조오＇심해라</t>
  </si>
  <si>
    <t>다칠라</t>
  </si>
  <si>
    <t>다칠라 조심해라</t>
  </si>
  <si>
    <t>다칠라 조:심해라.</t>
  </si>
  <si>
    <t>다칠라 거 조:심해라/너머질라</t>
  </si>
  <si>
    <t>머＇꾸사 테레비 바아＇따/바블 다 머＇꼬</t>
  </si>
  <si>
    <t>머꾸서 이제 테레비를 볼라 구래/우리두 머꾸 와써 교회서 {우리도 먹고 왔어 교회에서}</t>
  </si>
  <si>
    <t>머꾸나서 테레비를 보구</t>
  </si>
  <si>
    <t>머꾸 테레비를 봐따</t>
  </si>
  <si>
    <t>바부 머꾸서 테레비 바따. {밥을 먹고서 텔레비전을 봤다.}/바블 머꼬 테레비를 바:따. {밥을 먹고 텔레비전을 봤다.}</t>
  </si>
  <si>
    <t>오슬 이꾸 와따/이꾸선 가따/바블 머꾸나서</t>
  </si>
  <si>
    <t>머＇그미/머＇그민서</t>
  </si>
  <si>
    <t>보머서 바벌 멍네</t>
  </si>
  <si>
    <t>그를 씨면서 {글을 쓰면서}/바블 머그민서 테레비를 본다</t>
  </si>
  <si>
    <t>보문서 멍는다</t>
  </si>
  <si>
    <t>오민서 비를 마저따/바블 머그민서 테레비를 본다. {밥을 먹으면서 텔레비전을 본다.}</t>
  </si>
  <si>
    <t>바블 머그민/머그민서</t>
  </si>
  <si>
    <t>추와＇사 더＇와사/비가＇ 와가주＇고</t>
  </si>
  <si>
    <t>나리 너머 더워서 모돠따</t>
  </si>
  <si>
    <t>배:추를 저려설랑은/뜨더말려설랑은/따드태서 조르미 저절로 온다</t>
  </si>
  <si>
    <t>너머 추워서 바~아네만 이따. {너무 추워서 방안에만 있다.}</t>
  </si>
  <si>
    <t>따시＇니까</t>
  </si>
  <si>
    <t>더우니/더우니까 방으로 드러오나라/이그니까 고갤 수긴다</t>
  </si>
  <si>
    <t>따드타니깐 조:르미 온다</t>
  </si>
  <si>
    <t>뜨시니 조오리미 온다</t>
  </si>
  <si>
    <t>방이 따뜨터니까 자미 온다</t>
  </si>
  <si>
    <t>이이＇리 이＇끼때미네/머＇언 이이＇리길래</t>
  </si>
  <si>
    <t>무슨 이리 이낄래 저러케 사래미 모옌너?</t>
  </si>
  <si>
    <t>무신 이린데 마니 모여따</t>
  </si>
  <si>
    <t>이:리 이써서 이러 모옌나?/무슨 일로 사래미 이러 모예쏘?</t>
  </si>
  <si>
    <t>무신 이린데 모옌냐구</t>
  </si>
  <si>
    <t>오다＇가 비르 마제따</t>
  </si>
  <si>
    <t>질 가다가 나리 구저서 메칠 무건네 {길 가다가 날이 궂어서 며칠 묵었네}/이러케 해먹따가 으뜨케 으더 머거/베:까레 가레 놔따가 뜰잔아 {볏가리에 가려 놨다가 떨잖아}</t>
  </si>
  <si>
    <t>오다가 비를 마자따</t>
  </si>
  <si>
    <t>콩얼 뽀바다가 인제 거기 무꺼서 가따 {콩을 뽑아다가 거기 묶어서 갖다}/오눌 오다가</t>
  </si>
  <si>
    <t>차에 내리더가/여더가 {여기다가}/오더가 비를 마저따</t>
  </si>
  <si>
    <t>지베 오다 비를 만내따/지베 오다가</t>
  </si>
  <si>
    <t>그＇사라므 만＇내거든</t>
  </si>
  <si>
    <t>쩌저꺼덩 머거라 {쪄졌거든 먹어라}/지럴 몰:릉거덩 누구 보고 무러보고 가거라/가 바람 좀 쏘이고 드러와 답따해거덩</t>
  </si>
  <si>
    <t>아무개 만내거덩/뻬가 나오거덩</t>
  </si>
  <si>
    <t>만내거등 저내라</t>
  </si>
  <si>
    <t>만내거든 암부를 내 암부를 꼭 전해라</t>
  </si>
  <si>
    <t>누굴 만내거든 내 암부를 저내 다과</t>
  </si>
  <si>
    <t>바블＇ 먹떠＇래도 쪼끔 머가라</t>
  </si>
  <si>
    <t>내가 그 사라믈 모 뽀더래두 안부를 전해줘</t>
  </si>
  <si>
    <t>바블 먹떠래두 저:께 머거라</t>
  </si>
  <si>
    <t>바블 먹떠래도 쪼끔 머거라</t>
  </si>
  <si>
    <t>먹떠래도 조금씽 머거라/쓰드래도 때리지 마라</t>
  </si>
  <si>
    <t>먹떠래도 쪼끔 머거라</t>
  </si>
  <si>
    <t>바블＇ 머＇글라고 그럼미다</t>
  </si>
  <si>
    <t>내가 머글라구 바벌 찬는데/호:랭이가 날 자바 머글라 그래네./어디 가실라구 나와써요?/부짜불라구 모:까게 하능거지/부짜블라구 해니까 다러나지 {붙잡으려고 하니까 달아나지}</t>
  </si>
  <si>
    <t>농궈 머글라고 마:~이 쌈는다/노눠 머글라고 마:~이 쌈는다/물견 살라문 {물건 사려면}</t>
  </si>
  <si>
    <t>칭구하고 노나머글라고 마니 사따/머글라고 핸다</t>
  </si>
  <si>
    <t>감재를 나눠머글라고 마니 파따. {감자를 나눠 먹으려고 많이 팠다.}</t>
  </si>
  <si>
    <t>얼루 갈라구 {어디로 가려고}/비가 올:라나?</t>
  </si>
  <si>
    <t>요만:하게 도라가도로 {요만하게 돌아가도록}/빠지＇두루/공＇기도로/빠＇아지도로/서로＇ 마알＇과 서로 상호가네 마＇뚜로 그＇개 다:블＇ 해주면서/뻬가 빠지도로</t>
  </si>
  <si>
    <t>난 뻬가 빠지두룩 일만 여태 해써</t>
  </si>
  <si>
    <t>뻬가 아푸두룩 이:를 해따/뻬가 부서지두룩</t>
  </si>
  <si>
    <t>죽뚜루 해따/나리 새두루 이를 해따</t>
  </si>
  <si>
    <t>뻬가 빠지게 빠지도록 일만 해따/죽또록 일만 해따</t>
  </si>
  <si>
    <t>죽뚜룩 일해따/헐쑤룩 점장케/밤새두룩/노풀쑤룩/뻬가 빠지두루 이래따</t>
  </si>
  <si>
    <t>하꾜＇ 일찌기~이 갈＇쑤루 조오＇타/설＇쑤로/일찌기＇~이 갈＇쑤록</t>
  </si>
  <si>
    <t>응 이쓸쑤룩 체:다 보라구</t>
  </si>
  <si>
    <t>올라갈쑤록 고갤 수겨라/절물쑤록</t>
  </si>
  <si>
    <t>노플쑤룩</t>
  </si>
  <si>
    <t>사래미 너푼자리에 안즐쑤록 고개를 수게야 된다. {사람이 높은 자리에 앉을수록 고개를 숙여야 된다.}</t>
  </si>
  <si>
    <t>물 씨드＇탄다/물씨드탄다 머 이러케</t>
  </si>
  <si>
    <t>도:널 그케 물씨더태 {돈을 물쓰듯 해}/물씨더탠다구 {물 쓰듯 한다고}</t>
  </si>
  <si>
    <t>물쓰드탄다 {물쓰듯 한다}/물쓰듣 한다</t>
  </si>
  <si>
    <t>도늘 물씨드탠다/비눌달드시/이빠리 생기드시</t>
  </si>
  <si>
    <t>물씨드탄다/물쓰드 탄다</t>
  </si>
  <si>
    <t>도:늘 물쓰드턴다구/물쓰듣 헌다</t>
  </si>
  <si>
    <t>추꾸＇만 보지 여느＇건 암바</t>
  </si>
  <si>
    <t>테레비만 보지 영화는 암 보네</t>
  </si>
  <si>
    <t>보지 여느건 암본다</t>
  </si>
  <si>
    <t>테레비만 보지 땅건 암바.</t>
  </si>
  <si>
    <t>공부만 하지 이:를 안해</t>
  </si>
  <si>
    <t>오시＇오.</t>
  </si>
  <si>
    <t>이리 좀 오셔/드러오셔 {들어오셔}</t>
  </si>
  <si>
    <t>할머니 이쪼그로 쫌 오세요.</t>
  </si>
  <si>
    <t>오개하능가? 이래좀 와?이래나/일루좀 오시오./오개.</t>
  </si>
  <si>
    <t>오세요</t>
  </si>
  <si>
    <t>다 하세＇씀미까? 해도 되긴되조./하라버지 진＇지 드세씀미까?</t>
  </si>
  <si>
    <t>우째 이러케 오세쏘? {어떻게 이렇게 오셨소?}/모내기 다 하셔써요?/모내기 다 해셔쑤?</t>
  </si>
  <si>
    <t>누굴 보러 오세쏘?/모내기 다 끈나쏘?</t>
  </si>
  <si>
    <t>하셔쑤?/가션니?</t>
  </si>
  <si>
    <t>하서쪼?/모내기 다 하선는지요?</t>
  </si>
  <si>
    <t>모내길 다 해쏘?/하세써요?</t>
  </si>
  <si>
    <t xml:space="preserve"> -는/ㄴ-(웃는다)</t>
  </si>
  <si>
    <t>운:는다 {웃는다}</t>
  </si>
  <si>
    <t>빵끄빵끋 운:넌다</t>
  </si>
  <si>
    <t>잘 운:는다</t>
  </si>
  <si>
    <t>운:는다/잘 운:는다</t>
  </si>
  <si>
    <t>게에＇간다</t>
  </si>
  <si>
    <t>잘 기:댕긴다</t>
  </si>
  <si>
    <t>기어간다/잘 긴다</t>
  </si>
  <si>
    <t>잘 게:간다</t>
  </si>
  <si>
    <t>잘 게:간다/잘 기어간다/겨:간다</t>
  </si>
  <si>
    <t>누니＇ 크다＇</t>
  </si>
  <si>
    <t>내 생이＇리다</t>
  </si>
  <si>
    <t>새~이리다/내 새~이리다</t>
  </si>
  <si>
    <t>니 생일라리다.</t>
  </si>
  <si>
    <t>오＇고 이따/나＇는 지금 바블＇ 머＇꼬 이따</t>
  </si>
  <si>
    <t>비가 오고 이따</t>
  </si>
  <si>
    <t>주룩쭈룩 오고이따</t>
  </si>
  <si>
    <t>소낙삐가 오고이따</t>
  </si>
  <si>
    <t>하라버지 진＇지 드세씀미까?/밤머＇거째?/밤머＇건나?</t>
  </si>
  <si>
    <t>밤 머건니?/머거썬나?/진지 잡쒀쑤?</t>
  </si>
  <si>
    <t>너 어제 바블 머건느냐?/진지 잡쑤셔써요?</t>
  </si>
  <si>
    <t>머건나?/진:지 드서써요?/그도 나와싸요.</t>
  </si>
  <si>
    <t>진지 드센나요?/와따가따/바블 머건나?</t>
  </si>
  <si>
    <t>가따 와때＇따 하는말도 쓰는데</t>
  </si>
  <si>
    <t>*/운제 봐썬냐?</t>
  </si>
  <si>
    <t>마:너써싸요./와써따</t>
  </si>
  <si>
    <t>와써꼬 오래도 와따/금강사늘 가써따</t>
  </si>
  <si>
    <t>잘 먹따＇라/그 자＇~아 간다＇하다라/꾸르＇ 머＇가보~이 마시＇ 참:: 다다＇오.</t>
  </si>
  <si>
    <t>바비 인넌주라라떠~니 누가 다 머거꾸나 {밥이 있는 줄 알았더니 누가 다 먹었구나}/수럴 실컨 머글래떠~이 {술을 실컷 먹으려 했더니}</t>
  </si>
  <si>
    <t>잘: 먹떤데/여무를 잘 먹따라/소가 여무를 잘 먹떠냐?</t>
  </si>
  <si>
    <t>크더라/잘 먹떠라</t>
  </si>
  <si>
    <t>먹떠라</t>
  </si>
  <si>
    <t>여무를 잘 먹떠라.</t>
  </si>
  <si>
    <t>자＇~아 간다＇ 하다＇오?/먹따＇나?/오다＇나/자＇~아 가다＇오?/마시＇ 우＇다타오?/따 머＇가 보~이 마시＇ 어＇떠타오?/안지＇개 하단＇가/꿀 마시＇ 다다＇오?</t>
  </si>
  <si>
    <t>잘 먹떠냐?/누가 와떠냐? {누가 왔더냐?}</t>
  </si>
  <si>
    <t>잘 먹떠나?</t>
  </si>
  <si>
    <t>관형형(만나는)</t>
  </si>
  <si>
    <t>하꾜＇에 가는＇ 사람/만＇내는 칭구다</t>
  </si>
  <si>
    <t>나물 해 멍넝 거 {나물 해 먹는 거}</t>
  </si>
  <si>
    <t>만내는 칭구다/만나는 칭구다</t>
  </si>
  <si>
    <t>날마둥 만내는 칭구다/매일 만내는 칭구다</t>
  </si>
  <si>
    <t>자래는 아:다</t>
  </si>
  <si>
    <t>날마둥 만내는 칭구다</t>
  </si>
  <si>
    <t>관형형(만난)</t>
  </si>
  <si>
    <t>하꾜＇에 간는＇ 사람/어＇제 하꾜＇에 간 사＇람/어＇제 만＇낸 칭구다/음＇식 나망 걸</t>
  </si>
  <si>
    <t>거실러 바든 돈:/누가 중 거까? {누가 준 것일까?}/낭구로 까끙 거/거실러 바던 돈</t>
  </si>
  <si>
    <t>쌀멍거 {쌂은 것}/수ㅖㅇ:건 {쉰 것은}/만난 칭구다</t>
  </si>
  <si>
    <t>만낸 칭구다</t>
  </si>
  <si>
    <t>어:제 만낸 칭구다</t>
  </si>
  <si>
    <t>어제 만낸 칭구다</t>
  </si>
  <si>
    <t>관형형(만났던)</t>
  </si>
  <si>
    <t>만＇내떤 칭구는</t>
  </si>
  <si>
    <t>만나떤 칭구다</t>
  </si>
  <si>
    <t>어:제도 만내떤 칭구다</t>
  </si>
  <si>
    <t>만내떤 칭구/어제도 만내던 칭구다</t>
  </si>
  <si>
    <t>관형형(만날)</t>
  </si>
  <si>
    <t>만＇낼 칭＇구다</t>
  </si>
  <si>
    <t>만낼 칭구다</t>
  </si>
  <si>
    <t>낼:모레 만날 칭구가 이따</t>
  </si>
  <si>
    <t>모레 만낼 칭구다</t>
  </si>
  <si>
    <t>관형형(큰)</t>
  </si>
  <si>
    <t>큰 아＇이다</t>
  </si>
  <si>
    <t>키 크나이다 {키 큰 아이다}/키가 자:근 아이다/컨 아인데 {큰 아이인데}</t>
  </si>
  <si>
    <t>경장이 큰 아이다 {굉장히 큰 아이다}</t>
  </si>
  <si>
    <t>큰 아:다</t>
  </si>
  <si>
    <t>큰 칭구다/큰 애이다</t>
  </si>
  <si>
    <t>관형형(크던)</t>
  </si>
  <si>
    <t>크던＇아이는</t>
  </si>
  <si>
    <t>모뽀덩 거다 {못 보던 것이다}</t>
  </si>
  <si>
    <t>크더나이다 {크던 아이다}</t>
  </si>
  <si>
    <t>크던 아이다</t>
  </si>
  <si>
    <t>크던 아:다</t>
  </si>
  <si>
    <t>키가 크던 애이다</t>
  </si>
  <si>
    <t>관형형(컸던)</t>
  </si>
  <si>
    <t>키가 커썬 아인데</t>
  </si>
  <si>
    <t>경장이 커떤 아이다 {굉장히 컸던 아이다}</t>
  </si>
  <si>
    <t>커떤 아:다</t>
  </si>
  <si>
    <t>키가 커떤 칭구야/키가 커떤 애이다</t>
  </si>
  <si>
    <t>바블 머깨＇따</t>
  </si>
  <si>
    <t>꼭 가야 하게따/놀:러가께찌 머</t>
  </si>
  <si>
    <t>수를 암 마시개따</t>
  </si>
  <si>
    <t>비가 오개따/파:리를 꼭 자깨따 {파리를 꼭 잡겠다.}</t>
  </si>
  <si>
    <t>앙케따는 맹세한다/수란 머께따는</t>
  </si>
  <si>
    <t>머 오＇질 안 할＇따 기＇인차안＇타/가따＇ 오게＇씀미다/비가＇ 쏘＇다 지개＇따/장＇에 가따 오개＇씀미다</t>
  </si>
  <si>
    <t>되:구 가겐네(화장실에)</t>
  </si>
  <si>
    <t>금방 비가 올꺼가타</t>
  </si>
  <si>
    <t>금방 오게따</t>
  </si>
  <si>
    <t>비가 금시 오게따</t>
  </si>
  <si>
    <t>부정(안 먹었어/먹지 않았어)</t>
  </si>
  <si>
    <t>암＇만내써요./암＇만내따/안＇머가싸./마짜안＇는다/바＇~아 찌차안＇쏘?/암마＇신다/마＇시지 아난다/바블＇ 먹짜안＇나?/먹＇찌 아내＇싸해도</t>
  </si>
  <si>
    <t>아직 암 머거따구</t>
  </si>
  <si>
    <t>아~이 머거써./아직 암 머건네./아니 머건네./아~이 머거따/쉬:자너써 {쉬지 않았어}</t>
  </si>
  <si>
    <t>만내지 아너따/안적 암 머거써요/나는 수를 암 멍는다/암 머거써요./암 머거써.</t>
  </si>
  <si>
    <t>암 머거써./나오잔:는다 {나오지 않는다}</t>
  </si>
  <si>
    <t>먹찌 아나따(+소)/안 머거써/바블 안머거써.(+다)</t>
  </si>
  <si>
    <t>부정(안 좋다/좋지 않다)</t>
  </si>
  <si>
    <t>안존 나리＇야 {안 좋은 날이야}/깁쨘코 {깊지 않고}/시원차＇내/안 조은 날씨＇다/조오차＇는 날씨＇다</t>
  </si>
  <si>
    <t>아이 조:차는데요/얼구리 조:차내 {얼굴이 좋지 않아}</t>
  </si>
  <si>
    <t>날씨가 오늘 조:차너./날씨가 오느른 조:찬네.</t>
  </si>
  <si>
    <t>조:칠 안타</t>
  </si>
  <si>
    <t>말찌 안타/조:찬타/인사~이 조:찬네</t>
  </si>
  <si>
    <t>날씨가 안존네.</t>
  </si>
  <si>
    <t>부정(안 깨끗하다/깨끗하지 않다/깨끗 안 하다)</t>
  </si>
  <si>
    <t>앙깨끄타＇다하능거/깨끄타＇지 안＇타 하능거</t>
  </si>
  <si>
    <t>깨끄치앙쿠 기저부나다./깨끄창:쿠</t>
  </si>
  <si>
    <t>깨끄칠 안타/깨끄태질 안타</t>
  </si>
  <si>
    <t>깨끄찬:타/깨끄치안타</t>
  </si>
  <si>
    <t>앙깨끋 해</t>
  </si>
  <si>
    <t>부정(장가 안 갔다/안 장가갔다/장가가지 않았다)</t>
  </si>
  <si>
    <t>앙가따 말이 더 자주 마아＇~이 쓰이조./그래이까 으 자앙＇가를 앙가따</t>
  </si>
  <si>
    <t>안 드려따구(장가를)/장가 암 보내따고 그래지아너</t>
  </si>
  <si>
    <t>장:가 앙 간네/아직 장갈 앙간네./앙 가따</t>
  </si>
  <si>
    <t>앙가써</t>
  </si>
  <si>
    <t>장개 앙가따</t>
  </si>
  <si>
    <t>아직 앙까써./장:가 앙가따구래지요/장:가를 앙가써.</t>
  </si>
  <si>
    <t>부정(안 만나 보았다/만나 보지 않았다/만나 안 보았다)</t>
  </si>
  <si>
    <t>암만＇내바따</t>
  </si>
  <si>
    <t>안 봐써요</t>
  </si>
  <si>
    <t>난 아주 암 바써. {난 아직 안 봤어.}</t>
  </si>
  <si>
    <t>암만내바써</t>
  </si>
  <si>
    <t>안만내써요./아직 암만내봐따</t>
  </si>
  <si>
    <t>부정(먹지도 않고)</t>
  </si>
  <si>
    <t>만내자＇내따/먹짜앙＇코/저즐 먹짱코 잠만＇ 잔다</t>
  </si>
  <si>
    <t>먹짱:쿠 잠만 자네</t>
  </si>
  <si>
    <t>먹찌두 앙쿠 잠만 잔다</t>
  </si>
  <si>
    <t>먹찌도 앙코 잠만 잔다/먹또 앙코 잠만 잔다</t>
  </si>
  <si>
    <t>먹찌두 앙쿠 잠잔다</t>
  </si>
  <si>
    <t>40706-1</t>
  </si>
  <si>
    <t>부정(먹도 않고)</t>
  </si>
  <si>
    <t>부정(못 마신다/마시지 못한다)</t>
  </si>
  <si>
    <t>시＇과 모옴＇ 머글래라 {시어 못 먹을 것 같다.}/수＇르 잘 안 모옴＇머가/암＇만내써요 모옴＇만내써요</t>
  </si>
  <si>
    <t>모 뽜따구 {못 봤다고}/몸 만내따구래지/아징 난 몸 만내봐써 {아직 난 못 만나봤어}/아징 몸 머거따 그래/아징 모 뜨려따 그럼(장가를) {아직 못 들였다 그러면}/그저넨 잘 머건는데 이젠 몸: 머거</t>
  </si>
  <si>
    <t>몸: 멍는다.</t>
  </si>
  <si>
    <t>보지 모태따</t>
  </si>
  <si>
    <t>몸마신다</t>
  </si>
  <si>
    <t>몸:마신다/몸:마신다구</t>
  </si>
  <si>
    <t>부정(맞잖소/안 맞소)</t>
  </si>
  <si>
    <t>내＇마리 틀＇리자＇내째?/내 마아＇리 마＇째?</t>
  </si>
  <si>
    <t>마잔는지 암 마잔는지/내 마리 마짠:쏘?/암 마쏘?</t>
  </si>
  <si>
    <t>내마리 마짠:쏘? {내 말이 맞이 않아요?}</t>
  </si>
  <si>
    <t>내마리 마짠쏘?</t>
  </si>
  <si>
    <t>살리다</t>
  </si>
  <si>
    <t>살＇린다(+신)/살＇레라(+신)/살＇린다가 마＇제요(+신)/살＇군다가 마제요(+구)</t>
  </si>
  <si>
    <t>살려주니까(+소)/살려준다구(+소)/살린다 그래지/살군다 그래지(/무레 빠징 거 살궈노니까(+다)/살궈놔따구</t>
  </si>
  <si>
    <t>살리고 이따/살례따</t>
  </si>
  <si>
    <t>살귄다/살려야지(+여)/빨리 살꾸ㅕ얘지/살린대능거또(+여)</t>
  </si>
  <si>
    <t>살레줘:따</t>
  </si>
  <si>
    <t>살례 살레라/살린다</t>
  </si>
  <si>
    <t>늘리다</t>
  </si>
  <si>
    <t>늘＇구＇가라 {늘리거라}</t>
  </si>
  <si>
    <t>늘군다구/늘궈야 하는데 학상 쑤가 왜 이러케 즈:거</t>
  </si>
  <si>
    <t>늘궈야 댄다/늘쿠고 이따/늘구고 이따</t>
  </si>
  <si>
    <t>늘긴다/늘궈 이블래머는(+여)/늘킨다</t>
  </si>
  <si>
    <t>늘군다</t>
  </si>
  <si>
    <t>늘귀구이따/늘궤라</t>
  </si>
  <si>
    <t>말리다1</t>
  </si>
  <si>
    <t>좀 말루＇딴지 머/말루＇운다(+고추를)/말라＇아라/쌍 마르게르/말루＇우니</t>
  </si>
  <si>
    <t>말린다(고추를)/겨울 소메기 말려다 가려 논는데 {겨울 소먹이 말려다 가려 놓는데}/꼬추럴 말리넝 거/꼬추가 마:~이 말런네/말리는데</t>
  </si>
  <si>
    <t>말려야 된다/말례야 된다/말리고 이따</t>
  </si>
  <si>
    <t>바짱 말려가주구선/빨리 말린다</t>
  </si>
  <si>
    <t>말린다(+옷)</t>
  </si>
  <si>
    <t>말레라/말린다</t>
  </si>
  <si>
    <t>말리다2</t>
  </si>
  <si>
    <t>말＇린다/말＇레라</t>
  </si>
  <si>
    <t>싸우믄 말리고 흥정은 부치고/말린다구(싸움을)/말려줘야지(싸움을)/말린다 구래지/말리넝 거(싸움)</t>
  </si>
  <si>
    <t>말례야 된다/말린다(싸움)/말레야된다(+싸움을)</t>
  </si>
  <si>
    <t>말린다/뜨더말려설랑은</t>
  </si>
  <si>
    <t>말린다(+싸움)</t>
  </si>
  <si>
    <t>싸:믈 말레라/말린다</t>
  </si>
  <si>
    <t>얼리다</t>
  </si>
  <si>
    <t>얼＇구니(+구)/얼＇과라/늘과＇아라/얼＇구고(+구)/얼＇과따/얼＇리고(+신)</t>
  </si>
  <si>
    <t>얼군다구/얼궈 얼군다</t>
  </si>
  <si>
    <t>얼쿼야/얼구고 이따/얼궈야</t>
  </si>
  <si>
    <t>얼군다</t>
  </si>
  <si>
    <t>얼귄다/얼궤라</t>
  </si>
  <si>
    <t>녹이다</t>
  </si>
  <si>
    <t>노＇긴다/노＇게라</t>
  </si>
  <si>
    <t>어르믈 노겨야 먹찌/노긴다구</t>
  </si>
  <si>
    <t>뇌긴다/뇌게야 된다</t>
  </si>
  <si>
    <t>노긴다/뇌기지 말구(+여)</t>
  </si>
  <si>
    <t>뇌긴다/뇌게가주고 {녹여가지고}</t>
  </si>
  <si>
    <t>노킨다/노케라</t>
  </si>
  <si>
    <t>신기다</t>
  </si>
  <si>
    <t>싱＇게라/싱＇기고/싱＇게따</t>
  </si>
  <si>
    <t>똑빠루 싱케 주지/싱케준다구/바루 싱케 주지</t>
  </si>
  <si>
    <t>강:제로 싱키고 이따/싱케야</t>
  </si>
  <si>
    <t>빨리 싱킨다 싱켜/싱겨가주(+여)</t>
  </si>
  <si>
    <t>싱킨다</t>
  </si>
  <si>
    <t>신발 싱케라/시늘 싱키구/신케라</t>
  </si>
  <si>
    <t>보이다</t>
  </si>
  <si>
    <t>보케＇ 주＇~이/보케＇에라/보케＇ 좌</t>
  </si>
  <si>
    <t>잘 보이니?/보인다구/뵈키니? {보이니?}/머리카랑 베킨다 꼭꼭 수머라/자람 베키네 {잘 안 보이네}</t>
  </si>
  <si>
    <t>보예야/보이고 이따</t>
  </si>
  <si>
    <t>암 보이더라/암 보인다/잘 보인다/보이니까/자람보이지</t>
  </si>
  <si>
    <t>보게줘라. {보여줘라.}/잘보인다</t>
  </si>
  <si>
    <t>잘 보인다/어레 보인다/잘 보예서</t>
  </si>
  <si>
    <t>알리다</t>
  </si>
  <si>
    <t>알구차＇ 좌라＇/알구촤＇ 좌라＇/알구차＇ 준다＇</t>
  </si>
  <si>
    <t>알구느라구/알군다구(+다)/알려 준다/알궈준다구/알리넝 거(+소)</t>
  </si>
  <si>
    <t>알궈주구이따/알궈야/알구고 이따</t>
  </si>
  <si>
    <t>알린다/알켜 달라/알려준다</t>
  </si>
  <si>
    <t>알군다</t>
  </si>
  <si>
    <t>알린다/알레라/알리기도</t>
  </si>
  <si>
    <t>입히다</t>
  </si>
  <si>
    <t>이＇페 좌라＇/이＇페라</t>
  </si>
  <si>
    <t>억찌루 이페얘지/이펴 줘야지/잔떼 이피능 거/강:제루 이피지</t>
  </si>
  <si>
    <t>이페야 된다/강제로 이핀다</t>
  </si>
  <si>
    <t>강제로 이핀다</t>
  </si>
  <si>
    <t>이핀다</t>
  </si>
  <si>
    <t>이핀다/이페라</t>
  </si>
  <si>
    <t>앉히다</t>
  </si>
  <si>
    <t>안촤＇따/안촤＇아따/안촤＇라</t>
  </si>
  <si>
    <t>안친다 구래 {앉힌다 그래}/오주멀 이러케 안처 누키지/안치킨다구/그냥 안치케 노치 {그냥 앉혀 놓지}/안치키지 {앉히지}</t>
  </si>
  <si>
    <t>안치고 이따/안처야</t>
  </si>
  <si>
    <t>안친다</t>
  </si>
  <si>
    <t>안췬다</t>
  </si>
  <si>
    <t>안치케라/안치구/안체라</t>
  </si>
  <si>
    <t>벗기다</t>
  </si>
  <si>
    <t>뻬＇낀다/뻬＇끼고/뻬＇께라</t>
  </si>
  <si>
    <t>오설 베껴야겐네/베껴야지/강:제루 베낀다/오 뻬끼능 거 보느라구 {옷 벗기는 거 보느라고}</t>
  </si>
  <si>
    <t>베낀다고 하지/베끼문/버끼고</t>
  </si>
  <si>
    <t>베낀다</t>
  </si>
  <si>
    <t>오슬 삐께라 {옷을 벗겨라}/강제로 삐낀다</t>
  </si>
  <si>
    <t>베낀다/베껴라</t>
  </si>
  <si>
    <t>웃기다</t>
  </si>
  <si>
    <t>우＇낀다/우＇껴라</t>
  </si>
  <si>
    <t>우낀다/우끼넝 거/아이 너머 우껴 사라미 죽껜네</t>
  </si>
  <si>
    <t>우:끼고 이따/우:께야 된다/우:낀다</t>
  </si>
  <si>
    <t>우낀다</t>
  </si>
  <si>
    <t>우끼지 마라</t>
  </si>
  <si>
    <t>우께라/우낀다</t>
  </si>
  <si>
    <t>썩히다</t>
  </si>
  <si>
    <t>쎄＇긴다/쎄＇기고 이＇따/쎄＇게라(거름을 썩게-)</t>
  </si>
  <si>
    <t>써키구 이따/써켜야/쎄게야 된다/쎼기고 이따/쎼기지.</t>
  </si>
  <si>
    <t>쎄겨서</t>
  </si>
  <si>
    <t>쎄기자너/써긴다</t>
  </si>
  <si>
    <t>쎄케라/쎄킨다</t>
  </si>
  <si>
    <t>숨기다</t>
  </si>
  <si>
    <t>숨＇긴다/숨＇게라/숨＇기고 이＇따</t>
  </si>
  <si>
    <t>숭게야 된다/숭게선 안된다/숭긴다</t>
  </si>
  <si>
    <t>숭긴다</t>
  </si>
  <si>
    <t>숭겨라/숨기기도 헌다</t>
  </si>
  <si>
    <t>굶기다</t>
  </si>
  <si>
    <t>궁＇게라</t>
  </si>
  <si>
    <t>궁긴다능 게 마찌 머/귕긴다구두 해구 궁긴다구두 해구/굼긴다구</t>
  </si>
  <si>
    <t>궁긴다/궁게선 안된다</t>
  </si>
  <si>
    <t>궁기지 마러</t>
  </si>
  <si>
    <t>궁긴다</t>
  </si>
  <si>
    <t>궁긴다/궁게라</t>
  </si>
  <si>
    <t>깨우다</t>
  </si>
  <si>
    <t>자믈＇ 깨＇와라/깨＇우고/자믈＇ 깨＇꽈라/깨＇꾼다</t>
  </si>
  <si>
    <t>깨우넝 거(잠을)/왜 이러케 흔드러 깨워 가만 놔두지</t>
  </si>
  <si>
    <t>깨워선 안된다/깨운다</t>
  </si>
  <si>
    <t>깨워 깨운다</t>
  </si>
  <si>
    <t>깨운다</t>
  </si>
  <si>
    <t>깨워라/깨운다</t>
  </si>
  <si>
    <t>돋우다</t>
  </si>
  <si>
    <t>도꾸＇운다/부＇애르 도꾸＇꼬/도꽈＇아라/부＇애르 도꾸＇우니</t>
  </si>
  <si>
    <t>심질 도꿔라/심질 도꾸라구</t>
  </si>
  <si>
    <t>도꾸고 이따/도꿔야 된다</t>
  </si>
  <si>
    <t>심지를 도꿔라</t>
  </si>
  <si>
    <t>심지르 도꾼다</t>
  </si>
  <si>
    <t>심지를 도꾸구이따/심지를 도까라</t>
  </si>
  <si>
    <t>잡히다</t>
  </si>
  <si>
    <t>우리지＇브 재＇피고/재＇페따/자페＇에따/재피＇며는/경＇차란태 자피＇인다/재피케＇에다</t>
  </si>
  <si>
    <t>자펴 가</t>
  </si>
  <si>
    <t>자피고 이따/자펴따</t>
  </si>
  <si>
    <t>재핀다</t>
  </si>
  <si>
    <t>재핀다/재페따</t>
  </si>
  <si>
    <t>깎이다</t>
  </si>
  <si>
    <t>까끼＇이니/까께＇에따</t>
  </si>
  <si>
    <t>깨껴따 그래구</t>
  </si>
  <si>
    <t>까께따/까끼고 이따</t>
  </si>
  <si>
    <t>마니 까껴따</t>
  </si>
  <si>
    <t>까께따</t>
  </si>
  <si>
    <t>깨끼구/깨께따</t>
  </si>
  <si>
    <t>끼이다</t>
  </si>
  <si>
    <t>찌게＇에따/찌기＇이고 이따</t>
  </si>
  <si>
    <t>찌여따구/문트메 손꾸라기 찌연네/찌여서</t>
  </si>
  <si>
    <t>찡기고 이따/찡게서 아푸다/찡기케따</t>
  </si>
  <si>
    <t>찌어따</t>
  </si>
  <si>
    <t>찌에따/찌:고/찌에서 아푸다</t>
  </si>
  <si>
    <t>찡:걸 쩨:따/찌어따</t>
  </si>
  <si>
    <t>떼이다</t>
  </si>
  <si>
    <t>떼케＇에따/떼키＇이고/떼키＇이니</t>
  </si>
  <si>
    <t>떼여따구/떼:따 그래구</t>
  </si>
  <si>
    <t>삐키고 이따/삐케선 안된다/삐킨다</t>
  </si>
  <si>
    <t>떼켜따</t>
  </si>
  <si>
    <t>띠케따</t>
  </si>
  <si>
    <t>띠키구/띠케따</t>
  </si>
  <si>
    <t>채이다</t>
  </si>
  <si>
    <t>차키＇이고/차키＇이니/차케＇에따(차이다)</t>
  </si>
  <si>
    <t>채켜 씨러지자너</t>
  </si>
  <si>
    <t>채케따/채키고 이따</t>
  </si>
  <si>
    <t>채여서</t>
  </si>
  <si>
    <t>채케따 {차이었다}</t>
  </si>
  <si>
    <t>채키구/채케따</t>
  </si>
  <si>
    <t>닫히다</t>
  </si>
  <si>
    <t>다께＇에따/다끼＇인다/다낃＇꼬</t>
  </si>
  <si>
    <t>시게 부러서 무니 대끼네 {세게 불어서 문이 닫히네}</t>
  </si>
  <si>
    <t>다킨다/다키고 이따/다디킨다</t>
  </si>
  <si>
    <t>다처따/바라미 부러서 다처따</t>
  </si>
  <si>
    <t>다께따</t>
  </si>
  <si>
    <t>확 대끼구/대께따</t>
  </si>
  <si>
    <t>들리다</t>
  </si>
  <si>
    <t>늑때＇ 우름소리가 들끼＇인다/들리＇인다</t>
  </si>
  <si>
    <t>안 들린다구래구</t>
  </si>
  <si>
    <t>들례서 시끄럽따/들린다</t>
  </si>
  <si>
    <t>잘 귀로 들린다/들린다구</t>
  </si>
  <si>
    <t>들린다</t>
  </si>
  <si>
    <t>잘 들린다</t>
  </si>
  <si>
    <t>업히다</t>
  </si>
  <si>
    <t>어페＇에따</t>
  </si>
  <si>
    <t>엄마 등에 어펴서 놀:래네/그럼 세:개 어페간다 그래</t>
  </si>
  <si>
    <t>어핀다/어페야 된다</t>
  </si>
  <si>
    <t>어핀다</t>
  </si>
  <si>
    <t>에페따</t>
  </si>
  <si>
    <t>에페따/에페서 조:타</t>
  </si>
  <si>
    <t>바뀌다</t>
  </si>
  <si>
    <t>바꾸케＇에따</t>
  </si>
  <si>
    <t>바껴 {바뀌어}/바꾸ㅕ:따/배껴따 구래/배껴시너따구</t>
  </si>
  <si>
    <t>자리가 바꾸케따/바꾸키고 이따/바꿔저따</t>
  </si>
  <si>
    <t>바꿰따/바꾸ㅕ:따</t>
  </si>
  <si>
    <t>바꾸케:따/바꿰:따</t>
  </si>
  <si>
    <t>바뀌케따/바뀌키구</t>
  </si>
  <si>
    <t>씹히다</t>
  </si>
  <si>
    <t>씨피＇이니/도오＇리 씨페＇에따/씨페＇에따(모래가)</t>
  </si>
  <si>
    <t>멩게가 씨핀다구(모래보다 작은 돌멩이)</t>
  </si>
  <si>
    <t>씨핀다/씨페서 아푸다</t>
  </si>
  <si>
    <t>도:리 씨핀다</t>
  </si>
  <si>
    <t>씨피고/씨페:따</t>
  </si>
  <si>
    <t>씨피기두 허구/씨핀다</t>
  </si>
  <si>
    <t>얹히다</t>
  </si>
  <si>
    <t>언체＇에따/지부＇~에 언체＇에따</t>
  </si>
  <si>
    <t>언처따구</t>
  </si>
  <si>
    <t>언체따/언체서 울렁거린다/언치구</t>
  </si>
  <si>
    <t>언처따</t>
  </si>
  <si>
    <t>언체:따/언치고</t>
  </si>
  <si>
    <t>언치구/언체따</t>
  </si>
  <si>
    <t>찍히다</t>
  </si>
  <si>
    <t>찌게＇에따/찌케＇에따</t>
  </si>
  <si>
    <t>찌켜따</t>
  </si>
  <si>
    <t>찌키고/찌케따</t>
  </si>
  <si>
    <t>발뜽을 찌켜따</t>
  </si>
  <si>
    <t>찌키구/찌케따</t>
  </si>
  <si>
    <t>눌리다</t>
  </si>
  <si>
    <t>누울＇레라/누울＇리고/누울＇린다/흑떨＇미에 눌리케＇에따/누울＇리다라/눌리킨＇다/누울＇레따</t>
  </si>
  <si>
    <t>눌:리키넝 거/눌:리켄네/눌:리킨다 구래</t>
  </si>
  <si>
    <t>눌리키고 이따/눌리케따</t>
  </si>
  <si>
    <t>눌리케따/눌:려다</t>
  </si>
  <si>
    <t>눌리케따</t>
  </si>
  <si>
    <t>실리다</t>
  </si>
  <si>
    <t>실레＇에따</t>
  </si>
  <si>
    <t>실려간다구</t>
  </si>
  <si>
    <t>실리고 가따/실려서 간다</t>
  </si>
  <si>
    <t>빨리 실려가따</t>
  </si>
  <si>
    <t>실려:서</t>
  </si>
  <si>
    <t>실리케가따/실리키구</t>
  </si>
  <si>
    <t>끊기다</t>
  </si>
  <si>
    <t>끙케＇에따</t>
  </si>
  <si>
    <t>딱 끙켠네</t>
  </si>
  <si>
    <t>끙케서 걱쩡된다/끙키고 이따</t>
  </si>
  <si>
    <t>끙케따</t>
  </si>
  <si>
    <t>끙케따/끙키고</t>
  </si>
  <si>
    <t>끄니키구/끈케따/끈니케서</t>
  </si>
  <si>
    <t>긁히다</t>
  </si>
  <si>
    <t>끌키＇인다</t>
  </si>
  <si>
    <t>가사낭게를 걸킨다구 {걸린다구}/걸케 며:{걸려}/가시에 글킹 거</t>
  </si>
  <si>
    <t>글키고 이따/글케따</t>
  </si>
  <si>
    <t>글케따</t>
  </si>
  <si>
    <t>끌키고/끌케:따</t>
  </si>
  <si>
    <t>글키구/글케따</t>
  </si>
  <si>
    <t>싶다(싶은)</t>
  </si>
  <si>
    <t>바＇꼬 수와＇사/바＇꼬 수워＇따/수푸＇니/머＇꼬 시픙게 머＇이나/자아＇시고 시픙＇기 머＇이요</t>
  </si>
  <si>
    <t>뭘 젤: 가꼬 시푸냐?/넌 젤: 머이 가꼬 시푸냐? 이러케 무찌 {넌 제일 무엇이 갖고 싶냐? 이렇게 묻지}/넌 머이가 젤: 머꼬 시푸냐? 이래 {넌 무엇이 제일 먹고 싶냐? 이래}/아이 난 저 근네 주고 시픈데</t>
  </si>
  <si>
    <t>시픙기 뭐이냐?/반:짤러서 메평만 팔고숩따/제일 바꼬 수풍기 뭐이냐?/수퍼두 모깐다 {싶어도 못 간다}</t>
  </si>
  <si>
    <t>바꼬 시풍게 뭐:냐?</t>
  </si>
  <si>
    <t>이거또 바꼬 시꼬 저거또 바꼬 시꼬/멀:바꼬 수워요?/시풍거이 머이나?/멀:바꼬 시퍼요?</t>
  </si>
  <si>
    <t>시풍게 뭐:나?/너머꼬시픈대로 시:큰 머거라</t>
  </si>
  <si>
    <t>싶다(싶더니)</t>
  </si>
  <si>
    <t>수푸＇다라/시푸＇다라/바＇꼬 수푸＇다라/바＇꼬 시푸＇다라/머＇꼬 숩째＇/숩따＇라/바＇꼬 숩따＇</t>
  </si>
  <si>
    <t>물거늘 내가 저 사람 주고 십짜너</t>
  </si>
  <si>
    <t>지베 가고 십따(+소)/바꼬 십따/지베 가고 숩따(+다)/바꼬 수퍼 하는 느미야</t>
  </si>
  <si>
    <t>뭐:가 바꼬 시푸냐?</t>
  </si>
  <si>
    <t>새~일때 멀:바꼬 심나?/생시네 멀: 바꼬 십씀미까?/멀: 바꼬 십씸미까?</t>
  </si>
  <si>
    <t>뭐:가 바꾸 시푸나?</t>
  </si>
  <si>
    <t>보다(보세요)</t>
  </si>
  <si>
    <t>이＇바 보＇까요?</t>
  </si>
  <si>
    <t>이버봐요/이거 오시 만나 이버봐요 이래지 {이거 옷이 맞나 입어봐요 이러지}</t>
  </si>
  <si>
    <t>이버보고 십따</t>
  </si>
  <si>
    <t>이버보세요</t>
  </si>
  <si>
    <t>이버보서요</t>
  </si>
  <si>
    <t>함번 이버보세요</t>
  </si>
  <si>
    <t>버리다(버렸네)</t>
  </si>
  <si>
    <t>치＇워삐레＇쓰니/이＇자삐레따 {잊어버렸다}/역뿌＇러 고마 해애＇뿌레따 {일부러 그만 해 버렸다.}/다아＇ 치＇워삐레따</t>
  </si>
  <si>
    <t>벼 버리구 마런네 {베어 버리고 말았네}/재 보게 낭구럴 토부루 다 케뻐련네 토부루. {쟤 나무를 톱으로 켜버렸네 톱으로}/난 만날 드러도 이저버리네/찌저내비리게찌.</t>
  </si>
  <si>
    <t>머거 버려따/아주 해뻐레/마:를 아주 해뻐리지.</t>
  </si>
  <si>
    <t>이저뿌리고 와따(+물건을 잃다)/짤라뻐려따/다 머거버려따</t>
  </si>
  <si>
    <t>망 내비리고 이래 {막 내버리고}/다 떠글 머거버려찌?/내버려따./잘모타먼 내:비리고하는데</t>
  </si>
  <si>
    <t>내:뻐려라/머거뻐레씨니까/쥐가 다 머거버레따구</t>
  </si>
  <si>
    <t>대다(댄다)</t>
  </si>
  <si>
    <t>뿌꾸대＇애고 이따/우＇러 대＇앤다/우＇러 대＇애사/우＇러 대＇애고 이＇따/끌＇가 대＇앤다 끌른다</t>
  </si>
  <si>
    <t>죙일 우러대네</t>
  </si>
  <si>
    <t>우러 대:고 이따/우러 대:서 시끄럽따 우러</t>
  </si>
  <si>
    <t>우러대더라</t>
  </si>
  <si>
    <t>우러댄다/우러댄:다</t>
  </si>
  <si>
    <t>하루죙일 우러댄:다하믄 시끼럽따</t>
  </si>
  <si>
    <t>비가＇ 올＇라나부다/잠드란＇나부다</t>
  </si>
  <si>
    <t>올라나 보다</t>
  </si>
  <si>
    <t>올래능거 가따</t>
  </si>
  <si>
    <t>올라나보다/마니 올라능가보다</t>
  </si>
  <si>
    <t>올:라나부다</t>
  </si>
  <si>
    <t>비가 인제 오나＇부다</t>
  </si>
  <si>
    <t>오나 봐라</t>
  </si>
  <si>
    <t>자능가 보다</t>
  </si>
  <si>
    <t>자나보다</t>
  </si>
  <si>
    <t>자나부다</t>
  </si>
  <si>
    <t>추웅＇가부다</t>
  </si>
  <si>
    <t>추웅가 부다/자네 시장해떵 가배/추우를 마니 타능가 부다 이래구 {추위를 많이 타는가 보다 이러고}/아이 이거 춥따고 어디로 가능가봬 {아이 춥다고 어디로 가는 가봐}</t>
  </si>
  <si>
    <t>추웅가 보다./자능가 보다</t>
  </si>
  <si>
    <t>추웅가보다</t>
  </si>
  <si>
    <t>자능가보다/추웅가보다/드릉가보다 {잠이 든가보다}</t>
  </si>
  <si>
    <t>비가 올라능가부다/자능가부다/추웅가부다/바까치 굉장~이 추웅가부다</t>
  </si>
  <si>
    <t>실컷</t>
  </si>
  <si>
    <t>시큰＇ 머＇가따/실컨＇ 머＇가라</t>
  </si>
  <si>
    <t>실컨 머거라</t>
  </si>
  <si>
    <t>실:큰 머거라/배불리 머거라 시큰</t>
  </si>
  <si>
    <t>실큰 머거라</t>
  </si>
  <si>
    <t>머꼬시픈만치 시큰 머거라</t>
  </si>
  <si>
    <t>실큰 머거라/너머꼬시픈대로 시:큰 머거라</t>
  </si>
  <si>
    <t>많이</t>
  </si>
  <si>
    <t>가아＇리 마＇:~이 모예＇따라/마:~이 시＇굽찌요?</t>
  </si>
  <si>
    <t>아이 비가 마:~이 내리는데/풍깝 주능 게 마이 씨지/항꺼버네 마:~이 멍는다 그래/이우제 놀러 간다 쏘리 마:~이 하지</t>
  </si>
  <si>
    <t>마:~이 머그니 배가 부루다.</t>
  </si>
  <si>
    <t>마:니 머거서</t>
  </si>
  <si>
    <t>수를 마:니 머그믄</t>
  </si>
  <si>
    <t>배가 고푸니까 바블 마:니 머거라/마:니 먹찌 마라라</t>
  </si>
  <si>
    <t>너무</t>
  </si>
  <si>
    <t>하:두＇ 바＇빠서/아＇아드리 너무＇ 분주＇를 너무 처서 그만/너무＇ 과＇하게 머가따</t>
  </si>
  <si>
    <t>교통이 너머 복짜패/오시 너머 찡기는데/수:미 너머 차다/너머 넙꾸 {너무 높고}</t>
  </si>
  <si>
    <t>너머 아쉬워서/너머 머그문/나리 너머 더워서 모돠따</t>
  </si>
  <si>
    <t>너무서러워서/너무 주물르지 마러</t>
  </si>
  <si>
    <t>너머 바뿌다/수를 너머 마:니 머그믄</t>
  </si>
  <si>
    <t>너머 먹찌 마라/에누릴 너머 줜네요</t>
  </si>
  <si>
    <t>조금</t>
  </si>
  <si>
    <t>쪼끔＇ 머가따/좀 말루＇딴지 머/쪼끔＇ 해애＇쓰며는</t>
  </si>
  <si>
    <t>자:따릉 거 쬐끔씩 {잣다른 것 조금씩}/쪼꿈 머거라/돈:두 쬐끔 쓰구/쪼꾸미라 그래 쪼꿈/나두 조끔 들 커씸 조켄네 {나도 조금 덜 컸으면 좋겠네}</t>
  </si>
  <si>
    <t>쪼끔 멍는다</t>
  </si>
  <si>
    <t>쪼꿈 무끄먼 더디지. {조금 묶으면 더디지}/쪼꿈 붜:라</t>
  </si>
  <si>
    <t>먹뙤 쬐끔 머거라. {먹되 조금 먹어라.}/조금 머거도 수리 취앤다/쪼금 해노:니 {조금 해 놓으니}/조금 머거라</t>
  </si>
  <si>
    <t>쪼꿈 머거라/먹떠래도 쪼끔 머거라/쪼꿈 메겨라</t>
  </si>
  <si>
    <t>자주</t>
  </si>
  <si>
    <t>자＇주 간다＇</t>
  </si>
  <si>
    <t>승:을 자주 내/난 건: 자주는 안 머거도 항꺼버네 마:~이 머거/자주 암 머거 이래구</t>
  </si>
  <si>
    <t>재주 간다</t>
  </si>
  <si>
    <t>자주 간다</t>
  </si>
  <si>
    <t>자주 마신다/화장시레 자주 간다</t>
  </si>
  <si>
    <t>빨리</t>
  </si>
  <si>
    <t>빨＇리 타아＇라</t>
  </si>
  <si>
    <t>빨리 뚜ㅕ:가라구/생각뻐다 빨리 오네</t>
  </si>
  <si>
    <t>날래 와따/빨리 와따</t>
  </si>
  <si>
    <t>빨리 가치 먹짜/빨리 머거라/빨리 머꼬 빨리 가라</t>
  </si>
  <si>
    <t>빨리 끈내따/날래 중는다고/빨리 꺼꺼라/빨리 오너라/날래 떠러지지도 앙코</t>
  </si>
  <si>
    <t>빨리 와따</t>
  </si>
  <si>
    <t>얼른</t>
  </si>
  <si>
    <t>얼른＇ 치＇와라/빠르＇단 얘애＇기 얼릉＇이거든뇨./얼찐＇/얼른＇ 타라＇/바브＇ 얼릉 자아＇꼬/얼찐＇ 오나＇라 하능거꽈</t>
  </si>
  <si>
    <t>딴사람 머끼저네 넌 얼릉 빨리 머거라/저 이럴 새로 얼렁 시자걸 해얘지 {저 일을 얼른 시작해야지}</t>
  </si>
  <si>
    <t>얼른 머거라</t>
  </si>
  <si>
    <t>요ㅣ워라 얼찐/얼릉 머거라</t>
  </si>
  <si>
    <t>얼르 바브 먹짜/얼른 머거야지/지부로 얼른와라</t>
  </si>
  <si>
    <t>바블 얼린 머거라</t>
  </si>
  <si>
    <t>기어코</t>
  </si>
  <si>
    <t>기어＇코/기어＇코 헤＇에진다</t>
  </si>
  <si>
    <t>그여코 가네/그여코 가네 재 가지 말래떠니 이래</t>
  </si>
  <si>
    <t>그여코 가서 주거따</t>
  </si>
  <si>
    <t>기여코 가따</t>
  </si>
  <si>
    <t>기어쿠 가서 다체꾸나</t>
  </si>
  <si>
    <t>가끔</t>
  </si>
  <si>
    <t>가끔＇ 술마신다</t>
  </si>
  <si>
    <t>가:끔 멍는 걸 자주 멍는다 그래/가:끄모구 {가끔 오고}</t>
  </si>
  <si>
    <t>수를 가끔 멍는다</t>
  </si>
  <si>
    <t>가끔 멍는다</t>
  </si>
  <si>
    <t>가끔 마신다</t>
  </si>
  <si>
    <t>먼저</t>
  </si>
  <si>
    <t>쌀부텀＇ 먼저 가주 오나라/아＇파사 먼지＇ 갈깨＇</t>
  </si>
  <si>
    <t>응 너 먼저 가</t>
  </si>
  <si>
    <t>먼저 머거라/그 이:자 먼정 가꾸 원중은 천처니 가퍼라 {그 이자 먼저 갚고 원금은 천천히 갚아라}/먼점</t>
  </si>
  <si>
    <t>먼저 가라</t>
  </si>
  <si>
    <t>먼저 지베 가라</t>
  </si>
  <si>
    <t>먼저 가거라</t>
  </si>
  <si>
    <t>나중에</t>
  </si>
  <si>
    <t>이 고오＇께 다＇듬능거 내애＇주에/32227-0-2 꾸게대＇애노머 그거 내애＇주 씨나?</t>
  </si>
  <si>
    <t>그래 이제 야:중에 칼루 이러케 오려가주구서 빼먼 쏙:: 빠지자너/주인네가 야:중에 와 달:래던지</t>
  </si>
  <si>
    <t>야:중에 얘기하자문 아:주/얘:중 가꾸 {나중 갚고}</t>
  </si>
  <si>
    <t>야:중에 준다/야:중에 인제 그거 한 보룸이따가 {나중에 그거 한 보름 있다가}/야:중 먹찌 말구</t>
  </si>
  <si>
    <t>얭:중 준다/얭:중 감는다</t>
  </si>
  <si>
    <t>이:자는 내:중 주게따/내:중 준다</t>
  </si>
  <si>
    <t>가득</t>
  </si>
  <si>
    <t>무리＇ 가::뜩＇ 그 토＇~에 드라＇따/가::뜩 드라＇따</t>
  </si>
  <si>
    <t>가뜩 찬는데 넘넝구나 {가득 찼는데 넘는구나}</t>
  </si>
  <si>
    <t>가뜩 채워라</t>
  </si>
  <si>
    <t>가뜩 채워따</t>
  </si>
  <si>
    <t>한통 가뜩 채워따</t>
  </si>
  <si>
    <t>그대루 가뜩 채워따</t>
  </si>
  <si>
    <t>몽땅</t>
  </si>
  <si>
    <t>마카＇ 가주가따/젬＇부 가주 오나라.</t>
  </si>
  <si>
    <t>아이 몽땅 다 비어따구두 해구</t>
  </si>
  <si>
    <t>오부대~이 내가 사따/몽땅 머거라 아~하나?/말컹 사따</t>
  </si>
  <si>
    <t>몽탕 가주와라</t>
  </si>
  <si>
    <t>물겨느 몽땅 가주와라/몽땅 베:따/몽땅 굴:뚜구로 안나가요.</t>
  </si>
  <si>
    <t>몽땅 파러라/몽땅 비라능게</t>
  </si>
  <si>
    <t>모조리</t>
  </si>
  <si>
    <t>모지＇리 베＇에가따 모지＇리</t>
  </si>
  <si>
    <t>마::캉 다 비어뻐련네 말짱/재보게 낭구를 말캉 다 비어뻐련네 이래지/말짱 다 비어뻐련네/아이 몽조리 다 비어 치원네 이래구 {모조리 다 베어 치웠네 이러고}/이러케 선넝거럴 다: 비먼 몽조리 다 비어</t>
  </si>
  <si>
    <t>다: 머거라/모조리 빈다</t>
  </si>
  <si>
    <t>몽지리</t>
  </si>
  <si>
    <t>모지리 베:따/싹 베:따</t>
  </si>
  <si>
    <t>모지리 다/모지리 비라구두</t>
  </si>
  <si>
    <t>혼자</t>
  </si>
  <si>
    <t>혼＇재/자＇아하고 가치＇ 가지마알＇고 혼＇자 오나＇라</t>
  </si>
  <si>
    <t>나 혼자 해도 실컨 해</t>
  </si>
  <si>
    <t>나 혼저더라</t>
  </si>
  <si>
    <t>나 혼자만 이따/다가고 나마 혼자 이따</t>
  </si>
  <si>
    <t>혼저 건 지거리능기지/혼자 나머따/혼저 주~얼주~얼</t>
  </si>
  <si>
    <t>이거 헌자가주 {이거 혼자 가지고}/헌자 나머따</t>
  </si>
  <si>
    <t>항상</t>
  </si>
  <si>
    <t>항상＇ 항사＇~이 느을＇</t>
  </si>
  <si>
    <t>항상 바뿌다</t>
  </si>
  <si>
    <t>항상 이리 바뿌다</t>
  </si>
  <si>
    <t>항시 바뿌다</t>
  </si>
  <si>
    <t>똑똑히</t>
  </si>
  <si>
    <t>썬는지 모썬는지 똑띠＇기 바아＇따/또또＇키 보인다</t>
  </si>
  <si>
    <t>그쎄 버니니 머이가 되는지 아러야 똑떼기 가르처주지 {글쎄 본인이 무엇이 되는지 알아야 똑똑히 가르쳐주지}/내:보기나 똑또기 인나 머</t>
  </si>
  <si>
    <t>똑또하게 보이구</t>
  </si>
  <si>
    <t>똑떼기 써라/나두 근데 똑떼기는 몰루는데 {나도 똑똑히는 모르는데}</t>
  </si>
  <si>
    <t>똑떼기 바:라</t>
  </si>
  <si>
    <t>똑띠기 봐:라</t>
  </si>
  <si>
    <t>겨우</t>
  </si>
  <si>
    <t>제::와＇ 차마＇따</t>
  </si>
  <si>
    <t>제::워 차먼네/딸뀌기가 나오능 걸 제워 차먼네 {딸꾹질이 나오는 것을 겨우 참았네}</t>
  </si>
  <si>
    <t>제:워 차머따/제:우 차머따/겨:우 차머따</t>
  </si>
  <si>
    <t>제워 참는다</t>
  </si>
  <si>
    <t>제:워 차머따</t>
  </si>
  <si>
    <t>늘</t>
  </si>
  <si>
    <t>항상＇ 항사＇~이 느을＇/느을＇ 바뿌＇다</t>
  </si>
  <si>
    <t>장꾸러기야 늘: 느짜믈 자지.</t>
  </si>
  <si>
    <t>늘 그저 잠만 잔다</t>
  </si>
  <si>
    <t>느:리라능기 인제 줄창/넌 밤만 머꼬 줄차 일:만 하나?/늘 아푸다</t>
  </si>
  <si>
    <t>늘: 바뿌다</t>
  </si>
  <si>
    <t>저절로</t>
  </si>
  <si>
    <t>제절＇로 하＇푸물</t>
  </si>
  <si>
    <t>제절로 열린다 이래/제절로 하푸미 나오지</t>
  </si>
  <si>
    <t>절로 난다/저절로 난다</t>
  </si>
  <si>
    <t>저절로 난다</t>
  </si>
  <si>
    <t>제절로 오능게 새:미지</t>
  </si>
  <si>
    <t>조:려우믄 하푸미 절루 난다</t>
  </si>
  <si>
    <t>자꾸</t>
  </si>
  <si>
    <t>자꾸＇ 자부＇릅따</t>
  </si>
  <si>
    <t>자꾸 머거떠니 화장시레 {/자꾸 졸:자너/딸뀌기가 자꾸 나자너 {딸꾹질이 자꾸 나잖아}/모르넝 거 왜 자꾸 그러케 문:니?/하나둘씩 오먼 하이 자꾸 오네</t>
  </si>
  <si>
    <t>자꾸 난다</t>
  </si>
  <si>
    <t>우리지베 자꾸 온다/저절로 나온다 조:름 하푸미/하품만 자꾸나온다</t>
  </si>
  <si>
    <t>설마</t>
  </si>
  <si>
    <t>설마＇/설마＇가 사아＇람 잠는＇다</t>
  </si>
  <si>
    <t>설마 날 저러케 소여씨까 이래</t>
  </si>
  <si>
    <t>설:마 나를 소겨쓰까?</t>
  </si>
  <si>
    <t>설마 그칭구가 나를</t>
  </si>
  <si>
    <t>설마 그 칭구가 나:를</t>
  </si>
  <si>
    <t>하마터면</t>
  </si>
  <si>
    <t>하마＇트면 오늘 크닐날뻔(+제보자는 표준어라고 생각함.)</t>
  </si>
  <si>
    <t>함버터럼/함버터럼 나 차에 칠:뻔해써 {하마터면 나 차에 치일 뻔했어}</t>
  </si>
  <si>
    <t>내가 함버타라문 차에 칠:뻔 해따</t>
  </si>
  <si>
    <t>함부테라믄</t>
  </si>
  <si>
    <t>하마트라믄 칠:뻔해따</t>
  </si>
  <si>
    <t>함바터람 사고날뻔해:따/함바터라문</t>
  </si>
  <si>
    <t>함께</t>
  </si>
  <si>
    <t>함목＇에/함모＇게 가따 와따</t>
  </si>
  <si>
    <t>함께 간다</t>
  </si>
  <si>
    <t>항께 놀러가자</t>
  </si>
  <si>
    <t>다 합꿰 광광을 가자/우리 다 하께 광광을 가자</t>
  </si>
  <si>
    <t>함께 가따</t>
  </si>
  <si>
    <t>걸핏하면</t>
  </si>
  <si>
    <t>걸피타＇면</t>
  </si>
  <si>
    <t>걸피태먼 씅을 잘 래 {걸핏하면 성을 잘 내}</t>
  </si>
  <si>
    <t>그사라믄 나만 보문 얼피타문 화:를 랜다</t>
  </si>
  <si>
    <t>걸삐태먼</t>
  </si>
  <si>
    <t>툭딱하믄 승:질 랜다/걸푸타먼 승:질랜다/32237-0-1 툭딱하먼 트지블 잠는다</t>
  </si>
  <si>
    <t>걸피타믄 성낸다</t>
  </si>
  <si>
    <t>공연히</t>
  </si>
  <si>
    <t>괘애＇~이 트집 짬는다</t>
  </si>
  <si>
    <t>괘:니 하푸미 이벌 불리키지 {괜히 하품이 입을 불리지}/괘:니 트집 짭짜너</t>
  </si>
  <si>
    <t>거 괘:니 승을 랜다/고여니 화:를 랜다/고여니 나만 보믄 고여니 트지블 잠는다</t>
  </si>
  <si>
    <t>괘:니 트지블 잠는다</t>
  </si>
  <si>
    <t>괘:니 트집짬는다/고여니 트집 짬는다</t>
  </si>
  <si>
    <t>괘:니 트집 짬는다</t>
  </si>
  <si>
    <t>그냥</t>
  </si>
  <si>
    <t>그냥 오능거슨</t>
  </si>
  <si>
    <t>기냥 조:뻐리구 말구 {그냥 줘 버리고 말고}/기냥 와 그냥/그냥 무체나 머꼬</t>
  </si>
  <si>
    <t>거냥 와따/기양 차머따/거양 와따</t>
  </si>
  <si>
    <t>저사라만테도 그냥 으:꾸 {저 사람한테도 그냥 얻고}/안사구 그냥 와따</t>
  </si>
  <si>
    <t>빈소느로 거양 나와따/고 기양 그러케 든는다니 {고 그냥 그렇게 듣는다니까}/기양 내비둬</t>
  </si>
  <si>
    <t>기냥 다와따</t>
  </si>
  <si>
    <t>매우</t>
  </si>
  <si>
    <t>매애＇우 바뿌다.</t>
  </si>
  <si>
    <t>매:우 시:다</t>
  </si>
  <si>
    <t>매:우 시더라</t>
  </si>
  <si>
    <t>히미 굉자~이 시:다/매우 시:다</t>
  </si>
  <si>
    <t>무척 시:다</t>
  </si>
  <si>
    <t>곧장</t>
  </si>
  <si>
    <t>이＇양 해애＇라</t>
  </si>
  <si>
    <t>고짱 오라구두 해구 {곧장 오라고도 하구}</t>
  </si>
  <si>
    <t>고짱 와라</t>
  </si>
  <si>
    <t>즉창와라/고짱 와라 지부로/고빠로 와라</t>
  </si>
  <si>
    <t>고창 오거라/고창 와라</t>
  </si>
  <si>
    <t>벌써</t>
  </si>
  <si>
    <t>하＇매 끈나따＇/벌써＇/벌쌔＇/하＇마</t>
  </si>
  <si>
    <t>그러케 하마 끄치 난네/끄치 하마 나꾸나/하유 잰 하마 따루 시네 이래/하마 댕게완니? {벌써 다녀왔니?}</t>
  </si>
  <si>
    <t>하마 끈낸너 자네?/벌써 끈나따</t>
  </si>
  <si>
    <t>벌써 끈날 거신데/하마 끈나따</t>
  </si>
  <si>
    <t>하마 저나기야 {벌써 저녁이야}/하머 끈낸나?/그이를 벌써 끈낸나?</t>
  </si>
  <si>
    <t>하마 끈난나?/벌써 그이를 다 끈낸나?</t>
  </si>
  <si>
    <t>가장</t>
  </si>
  <si>
    <t>가＇장 발근 비일＇(+소)/제엘＇ 발＇근 별(+다)</t>
  </si>
  <si>
    <t>가장:: 발끼도</t>
  </si>
  <si>
    <t>가장 질:다</t>
  </si>
  <si>
    <t>가장 박따구</t>
  </si>
  <si>
    <t>가만히</t>
  </si>
  <si>
    <t>가마~＇이 이＇싸라.</t>
  </si>
  <si>
    <t>가마 이써라</t>
  </si>
  <si>
    <t>가마니 이써라</t>
  </si>
  <si>
    <t>가마니 이써라.</t>
  </si>
  <si>
    <t>미리</t>
  </si>
  <si>
    <t>미＇리 피＇해라</t>
  </si>
  <si>
    <t>미리 마거 치우라구</t>
  </si>
  <si>
    <t>미리 대:비해라</t>
  </si>
  <si>
    <t>미리 해라는 거또/홍수나기 저네 미리 막짜</t>
  </si>
  <si>
    <t>미리 대:비하자</t>
  </si>
  <si>
    <t>미리미리 줌:비해라</t>
  </si>
  <si>
    <t>이따금</t>
  </si>
  <si>
    <t>이따＇음 이따＇암/이따＇금 온다/이따＇암 멍는단 얘애＇긴</t>
  </si>
  <si>
    <t>이따금씩 온다구</t>
  </si>
  <si>
    <t>이따감씩 칭구가/이따감씩 오기도 하구</t>
  </si>
  <si>
    <t>이따금 온다(+조?)</t>
  </si>
  <si>
    <t>이떠금 마신다</t>
  </si>
  <si>
    <t>이따금씩 온다</t>
  </si>
  <si>
    <t>관용구(여보)</t>
  </si>
  <si>
    <t>영＇서기 아부＇지요./여보＇(+아내가 남편에게)/여보＇란 얘기 마~이 씀미＇다./남＇편이 여자＇를 부를 때는 누구 어머＇~이요 아나＇고 애 이＇름만 부루게 되지요./마찬가지 여보＇(+남편이 아내에게)</t>
  </si>
  <si>
    <t>여보(아내가 남편에게)/자네라구래지(+남편이 아내에게)</t>
  </si>
  <si>
    <t>여보/오눌 수고해써/아무개 아빠(+자식이 있을 때)/여보시오 지갑 떠러저쏘./아무개 아버지 여보시요?(+아내가 남편을 부를 때)</t>
  </si>
  <si>
    <t>여보(+남편이 아내를 부를 때)/여보(+아내가 남편을 부를 때)</t>
  </si>
  <si>
    <t>당신 어디 가오?/당신(+남편이 아내를 부를 때)/여보</t>
  </si>
  <si>
    <t>관용구(여보세요)</t>
  </si>
  <si>
    <t>또 모르는 사람 가트면 여보 이래지요./여보시＇오하등가 머 여보세＇요하등가(+손윗사람에게)/여보세＇요 하면 상대바~이 머라고/어＇이 머 여보＇개 하등가(+손아랫사람에게)/여보세＇요 해가주고</t>
  </si>
  <si>
    <t>＇아저씨＇라구 불르구 ＇아주머~이＇라구 불르구 그래</t>
  </si>
  <si>
    <t>여보(+남자일 때)/아저씨(+아저씨일 때)/아줌마(+아줌마일 때)</t>
  </si>
  <si>
    <t>아주머~이라고 불러야지(+아주머니일 경우)/여보시요 여보시요(+나이가 많은 남자일 때)/할머~이라고 부루던지(+할머니일 경우)/야 야(+어린 사람일 경우)/여보여보(+나이가 어리거나 비슷한 남자일 경우)</t>
  </si>
  <si>
    <t>할머니 할머니(+할머니일 때)/아저씨 아저씨(+아저씨일 때)/여보 여보(+비슷한 또래를 부를 때, +남자)/아주머~이 아주머~이(+아주머니일 때)</t>
  </si>
  <si>
    <t>관용구(들어가세요)</t>
  </si>
  <si>
    <t>저 끈씀미다/펴＇니 게에＇세요</t>
  </si>
  <si>
    <t>즌:화를 해주셔서 고맙씸미다</t>
  </si>
  <si>
    <t>안녕이 게세요/안녕이 게세요.</t>
  </si>
  <si>
    <t>형님 펴니 게시오.</t>
  </si>
  <si>
    <t>잘 기세요(+나이 많은 사람에게)/잘 이써라(+나이 어린 사람에게)</t>
  </si>
  <si>
    <t>관용구(수고하세요)</t>
  </si>
  <si>
    <t>수우＇고 해애＇쏘./수우＇고 해앤＇내 수우＇고 해애＇싸요./수우＇구 해애＇쏘./수우＇고 해앤＇내.</t>
  </si>
  <si>
    <t>안녀~이 가세요/고상 마:~이 해셔따구</t>
  </si>
  <si>
    <t>오늘 혼나써/잘 가/안녕이들 가십씨오.</t>
  </si>
  <si>
    <t>고상 마:너쏘. 잘 가시오./잘 가시오.(+어른일 때)/잘 가개.(+친구간에 헤어질 때)</t>
  </si>
  <si>
    <t>수:고해따구/수고들 마니 허세씀미다</t>
  </si>
  <si>
    <t>관용구(오랜만에 만난 친구 사이의 인사말)</t>
  </si>
  <si>
    <t>오래칸마＇~이다/참 니 오래칸마＇~이다/야 참 니 오래칸마＇~이다</t>
  </si>
  <si>
    <t>만내서 방거웨 이래구/칭구 오래감마니얘 이래지/오래감마니라구</t>
  </si>
  <si>
    <t>야 오래간마니다/잘들 이써쏘?(+아들의 친구인 경우)/오래간마네 만내씸니다(+여자들끼리)/여길 어떠케 오셔씀니까?(+남편의 친구인 경우)</t>
  </si>
  <si>
    <t>오래감마~이다/오래감마~이쎄./오래감마니쎄.</t>
  </si>
  <si>
    <t>참 오래간마니네.</t>
  </si>
  <si>
    <t>관용구(아침 출근길에 마주친 동네 어른에게 하는 인사말)</t>
  </si>
  <si>
    <t>알＇령하심＇미까/안＇녀하심＇미까 하고 인사하고는 고마/안＇녀하시오 안＇녀하심＇미까</t>
  </si>
  <si>
    <t>안녕하세요?</t>
  </si>
  <si>
    <t>아니 여그 오셔써요?(+남편의 친구가 온 경우)/아니 어드로 가십니까?(+동네 어른에게 인사할 때)/아저씨 나오셔써요/아이구 여그 오셔씁니까?(+시아버지 친구분이 온 경우)</t>
  </si>
  <si>
    <t>안녀~하세요?/안녀~하심미까?/어드루 가십미까?</t>
  </si>
  <si>
    <t>진지 잡수센나요?</t>
  </si>
  <si>
    <t>관용구(오랜만에 찾아 뵌 어른에게 큰절을 올리면서 하는 말)</t>
  </si>
  <si>
    <t>그동＇안 별고＇가 업＇써씀미까 별고＇ 별 이＇상한 이른 업＇싼느냐/그동＇안 별고＇가 업＇싸씀미까</t>
  </si>
  <si>
    <t>＇이러케 느께 만내 뵈어서 죄송시럽씸미다＇ 이래구 저래지 {이렇게 늦게 만나 뵈어서 죄송스럽습니다. 이러고 절 하지}</t>
  </si>
  <si>
    <t>안녀~하심미까?/그동안 안녀하서씸미까?</t>
  </si>
  <si>
    <t>겅:강하심미까? 하구</t>
  </si>
  <si>
    <t>관용구(여기 있습니다(물건을 사고 돈을 주면서 하는 말))</t>
  </si>
  <si>
    <t>아＇쏘 여＇기쏘/아＇쏘 여기 아＇쏘 바＇드란 얘기래요 내가＇ 주＇~이까 바＇드란 얘기가 아＇쏘</t>
  </si>
  <si>
    <t>여기씸미다 {여기 있습니다}</t>
  </si>
  <si>
    <t>여기써요 돈</t>
  </si>
  <si>
    <t>물견깝 바드시오.</t>
  </si>
  <si>
    <t>거시름똔 여기씸미다/거시름똔 여기따</t>
  </si>
  <si>
    <t>관용구(예(질문에 대한 긍정의 대답))</t>
  </si>
  <si>
    <t>야 하고 할머＇~이도 야 이래고 인제 아버＇지도 엄마도 혀＇~이라든가 형수도 야/야:: 이래미 떡뽀따＇리 들고 얼른＇ 가따주＇고/근데 어머＇~이 거튼 사람들이 얘기할 때는 예 예 보다가 야 얘기를 더 마＇~이 쓰거든뇨/예 마씀＇미다 마씸＇미다/야 얘기를 마＇~이 쓰지요(친근할 때 예 보다 야 를 많이 쓴다)/선생＇님인대는 예/대＇답 예, 하지요/야 하민서 대답하미</t>
  </si>
  <si>
    <t>예 잘햄미다 {예, 잘합니다}</t>
  </si>
  <si>
    <t>예, 여기 사라요/네 감니다</t>
  </si>
  <si>
    <t>네 파림미다. {네, 파리입니다.}/네 해야지</t>
  </si>
  <si>
    <t>예</t>
  </si>
  <si>
    <t>관용구(아니(질문에 대한 부정의 대답))</t>
  </si>
  <si>
    <t>아~이＇야/아~이＇래요 아~인＇데요/이게 아~인＇대요 아니래요</t>
  </si>
  <si>
    <t>아~이 안 다처써요 {아니 안 다쳤어요}/아~이 공부모태요 {아니, 공부못해요}</t>
  </si>
  <si>
    <t>아님니다</t>
  </si>
  <si>
    <t>아니오 네</t>
  </si>
  <si>
    <t>아니오</t>
  </si>
  <si>
    <t>관용구(아무렇지도 않다)</t>
  </si>
  <si>
    <t>아무치＇도 아~해</t>
  </si>
  <si>
    <t>아무러치도 아내요 {아무렇지도 않아요}</t>
  </si>
  <si>
    <t>아무러치도 안타</t>
  </si>
  <si>
    <t>아무치도 아내/아물치도 아내</t>
  </si>
  <si>
    <t>아무러치도 아나</t>
  </si>
  <si>
    <t>관용구(내버려 둬)</t>
  </si>
  <si>
    <t>그냥 처내＇삐레 돠/처내＇피레 놔 돠/내피레 놔 돠도 되고 처내＇피레 놔 돠도 되고/처내＇페 놔 돠</t>
  </si>
  <si>
    <t>어 내비레 둬 왜 창과니야</t>
  </si>
  <si>
    <t>내삐려 둬라</t>
  </si>
  <si>
    <t>기양 내비둬</t>
  </si>
  <si>
    <t>내뻐레 둬</t>
  </si>
  <si>
    <t>관용구(개나 소나)</t>
  </si>
  <si>
    <t>뙤＇나 개나 다아＇ 차르 모올＇고 댕긴다.</t>
  </si>
  <si>
    <t>도:니 이씨나 업씨나/요즈메는 이씨나 업씨나 차한대씨 다몰고 댕긴다</t>
  </si>
  <si>
    <t>속담(밑 빠진 독에 물 붓기)</t>
  </si>
  <si>
    <t>미꾸영＇ 빠진 도＇게 물분＇는 시기다/미빠진＇ 도게 물부＇끼다 이런 얘긴데</t>
  </si>
  <si>
    <t>미빠진 도게 물 퍼다부끼라 그래 {밑빠진 독에 물 퍼다붓기}</t>
  </si>
  <si>
    <t>미빠진 도게 물부끼다</t>
  </si>
  <si>
    <t>미빠진 도게 물부끼</t>
  </si>
  <si>
    <t>시루에 물부끼/깨진도게 물부끼</t>
  </si>
  <si>
    <t>속담(바늘 도둑이 소 도둑 된다)</t>
  </si>
  <si>
    <t>바＇늘 도도기 쇠외＇도독 된다</t>
  </si>
  <si>
    <t>좀또도기 소도독 뙨다구 {좀도둑이 소도둑 된다}</t>
  </si>
  <si>
    <t>바눌 도독이 소도도기 된다</t>
  </si>
  <si>
    <t>바눌 도도기 쇠도독 된다그래요</t>
  </si>
  <si>
    <t>바눌도두기 소도둑 뙨다</t>
  </si>
  <si>
    <t>속담(아니 땐 굴뚝에 연기 나랴)</t>
  </si>
  <si>
    <t>때＇앤 꿀뚜＇게 영＇개 나지 안 땐＇ 꿀뚜＇게 영＇개 나나?</t>
  </si>
  <si>
    <t>안 땐 굴뚜에 영기 나오까/안 땐 굴뚜게 영기 나까</t>
  </si>
  <si>
    <t>아니난 굴뚜게 영기나나?</t>
  </si>
  <si>
    <t>안땐 굴뚜게 옝:기날까?</t>
  </si>
  <si>
    <t>아니땐 굴:뚜게서 영기 나겐나/부란땐 굴:무게서 영기가 나겐냐구</t>
  </si>
  <si>
    <r>
      <t>닳-(抏</t>
    </r>
    <r>
      <rPr>
        <sz val="9"/>
        <color theme="1"/>
        <rFont val="맑은 고딕"/>
        <family val="3"/>
        <charset val="129"/>
        <scheme val="minor"/>
      </rPr>
      <t>, 연필 심이~)</t>
    </r>
  </si>
  <si>
    <r>
      <t>귀찮-(嘓</t>
    </r>
    <r>
      <rPr>
        <sz val="9"/>
        <color theme="1"/>
        <rFont val="맑은 고딕"/>
        <family val="3"/>
        <charset val="129"/>
        <scheme val="minor"/>
      </rPr>
      <t>)</t>
    </r>
  </si>
  <si>
    <r>
      <t>데우-(焐</t>
    </r>
    <r>
      <rPr>
        <sz val="9"/>
        <color theme="1"/>
        <rFont val="맑은 고딕"/>
        <family val="3"/>
        <charset val="129"/>
        <scheme val="minor"/>
      </rPr>
      <t>)</t>
    </r>
  </si>
  <si>
    <r>
      <t>곯-(毈</t>
    </r>
    <r>
      <rPr>
        <sz val="9"/>
        <color theme="1"/>
        <rFont val="맑은 고딕"/>
        <family val="3"/>
        <charset val="129"/>
        <scheme val="minor"/>
      </rPr>
      <t>, 달걀이 ~)</t>
    </r>
  </si>
  <si>
    <r>
      <t>쏘-(蜇</t>
    </r>
    <r>
      <rPr>
        <sz val="9"/>
        <color theme="1"/>
        <rFont val="맑은 고딕"/>
        <family val="3"/>
        <charset val="129"/>
        <scheme val="minor"/>
      </rPr>
      <t>, 벌이 ~)</t>
    </r>
  </si>
  <si>
    <r>
      <t>만지-(揗</t>
    </r>
    <r>
      <rPr>
        <sz val="9"/>
        <color theme="1"/>
        <rFont val="맑은 고딕"/>
        <family val="3"/>
        <charset val="129"/>
        <scheme val="minor"/>
      </rPr>
      <t>)</t>
    </r>
  </si>
  <si>
    <r>
      <t>쬐:-(矖</t>
    </r>
    <r>
      <rPr>
        <sz val="9"/>
        <color theme="1"/>
        <rFont val="맑은 고딕"/>
        <family val="3"/>
        <charset val="129"/>
        <scheme val="minor"/>
      </rPr>
      <t>)</t>
    </r>
  </si>
  <si>
    <t>-도(키도, 얼굴도)</t>
  </si>
  <si>
    <t>-마다(날마다)</t>
  </si>
  <si>
    <t>-부터(오늘부터)</t>
  </si>
  <si>
    <t>-까지(내일까지)</t>
  </si>
  <si>
    <t>-조차(물조차)</t>
  </si>
  <si>
    <t>-조차(비할라)</t>
  </si>
  <si>
    <t>-이야/야(말이야)</t>
  </si>
  <si>
    <t>-을랑(소릴랑)</t>
  </si>
  <si>
    <t>-이라도(부자라도)</t>
  </si>
  <si>
    <t>-밖에(너밖에)</t>
  </si>
  <si>
    <t>-가지고(싸가지고)</t>
  </si>
  <si>
    <t>-고(간접인용조사)(오라고)</t>
  </si>
  <si>
    <t>-요(높임)(알았어요)</t>
  </si>
  <si>
    <t>-요(높임)(했지요)</t>
  </si>
  <si>
    <t>-아라(앉아라)</t>
  </si>
  <si>
    <t>-게(앉게)</t>
  </si>
  <si>
    <t>-으오(앉으시오)</t>
  </si>
  <si>
    <t>-으십시오(앉으십시오)</t>
  </si>
  <si>
    <t>-세요(앉으세요)</t>
  </si>
  <si>
    <t>-자(가자)</t>
  </si>
  <si>
    <t>-세(가세)</t>
  </si>
  <si>
    <t>-으오(가오)</t>
  </si>
  <si>
    <t>-십시다(가십시다)</t>
  </si>
  <si>
    <t>-세요(가세요)</t>
  </si>
  <si>
    <t>-니(오니)</t>
  </si>
  <si>
    <t>-나(오나)</t>
  </si>
  <si>
    <t>-오(오오)</t>
  </si>
  <si>
    <t>-습니까(옵니까)</t>
  </si>
  <si>
    <t>-나요(오나요)</t>
  </si>
  <si>
    <t>-는다(먹는다)</t>
  </si>
  <si>
    <t>-네(먹네)</t>
  </si>
  <si>
    <t>-오(먹소)</t>
  </si>
  <si>
    <t>-습니다(먹습니다)</t>
  </si>
  <si>
    <t>-네요(먹네요)</t>
  </si>
  <si>
    <t>-아(아파)</t>
  </si>
  <si>
    <t>-지(거지)</t>
  </si>
  <si>
    <t>-이다(생일이다)</t>
  </si>
  <si>
    <t>-이니(생일이니)</t>
  </si>
  <si>
    <t>-이네(생일이네/생일일세)</t>
  </si>
  <si>
    <t>-인가(생일인가)</t>
  </si>
  <si>
    <t>-이오(생일이오)</t>
  </si>
  <si>
    <t>-이오(생일이오?)</t>
  </si>
  <si>
    <t>-입니다(생신이십니다)</t>
  </si>
  <si>
    <t>-입니까(생신이십니까)</t>
  </si>
  <si>
    <t>-이시지요(생신이시지요)</t>
  </si>
  <si>
    <t>-이시지요(생신이시지요?)</t>
  </si>
  <si>
    <t>-습니다(많습니다)</t>
  </si>
  <si>
    <t>-습디다(많습디다)</t>
  </si>
  <si>
    <t>-는구나/구나(먹는구나)</t>
  </si>
  <si>
    <t>-는구먼/구먼(먹는구먼)</t>
  </si>
  <si>
    <t>-일세(오랜만일세)</t>
  </si>
  <si>
    <t>-으마(갚으마)</t>
  </si>
  <si>
    <t>-음세(갚음세)</t>
  </si>
  <si>
    <t>-을라(다칠라)</t>
  </si>
  <si>
    <t>-고/-고서(먹고서)</t>
  </si>
  <si>
    <t>-으면서(보면서)</t>
  </si>
  <si>
    <t>-어/-어서</t>
  </si>
  <si>
    <t>-으니/-으니까</t>
  </si>
  <si>
    <t>-관데</t>
  </si>
  <si>
    <t>-다가</t>
  </si>
  <si>
    <t>-거든</t>
  </si>
  <si>
    <t>-더라도</t>
  </si>
  <si>
    <t>-으려고</t>
  </si>
  <si>
    <t>-도록</t>
  </si>
  <si>
    <t>-을수록</t>
  </si>
  <si>
    <t>-듯이</t>
  </si>
  <si>
    <t>-지</t>
  </si>
  <si>
    <t>-셔(오셔)</t>
  </si>
  <si>
    <t>-셨소(하셨소)</t>
  </si>
  <si>
    <t>-는/ㄴ-(기어간다)</t>
  </si>
  <si>
    <t>-는/ㄴ-(크다)</t>
  </si>
  <si>
    <t>-는/ㄴ-(생일이다)</t>
  </si>
  <si>
    <t>-고 있-(오고 있다)</t>
  </si>
  <si>
    <t>-았/었-(먹었니/잡수셨습니까)</t>
  </si>
  <si>
    <t>-았었(왔었다)</t>
  </si>
  <si>
    <t>-더-(먹더라)</t>
  </si>
  <si>
    <t>-더-(먹더냐)</t>
  </si>
  <si>
    <t>-겠-(않겠다)</t>
  </si>
  <si>
    <t>-겠-(오겠다)</t>
  </si>
  <si>
    <t>-나/는가 보다(오려나 보다)</t>
  </si>
  <si>
    <t>-나/는가 보다(자나 보다)</t>
  </si>
  <si>
    <t>-나/는가 보다(추운가 보다)</t>
  </si>
  <si>
    <t>-이/가</t>
  </si>
  <si>
    <t>-보다</t>
  </si>
  <si>
    <t>-을/를</t>
  </si>
  <si>
    <t>-고</t>
  </si>
  <si>
    <t>-더라</t>
  </si>
  <si>
    <t>-으니까</t>
  </si>
  <si>
    <t>-아/어(-았/었다)</t>
  </si>
  <si>
    <t>-에(서)</t>
  </si>
  <si>
    <t>-으로</t>
  </si>
  <si>
    <t>-도</t>
  </si>
  <si>
    <t>-이</t>
  </si>
  <si>
    <t>-을</t>
  </si>
  <si>
    <t>-에</t>
  </si>
  <si>
    <t>-어라</t>
  </si>
  <si>
    <t>-에서</t>
  </si>
  <si>
    <t>-어서</t>
  </si>
  <si>
    <t>-어야</t>
  </si>
  <si>
    <t>-는</t>
  </si>
  <si>
    <t>-아서</t>
  </si>
  <si>
    <t>-를</t>
  </si>
  <si>
    <t xml:space="preserve"> 제 1 편 어휘</t>
    <phoneticPr fontId="18" type="noConversion"/>
  </si>
  <si>
    <t>5. 자료</t>
    <phoneticPr fontId="18" type="noConversion"/>
  </si>
  <si>
    <t xml:space="preserve"> 제 2 편 음운</t>
    <phoneticPr fontId="18" type="noConversion"/>
  </si>
  <si>
    <t xml:space="preserve"> 제 3 편 문법</t>
    <phoneticPr fontId="18" type="noConversion"/>
  </si>
  <si>
    <t>-이/가(무엇이)</t>
    <phoneticPr fontId="18" type="noConversion"/>
  </si>
  <si>
    <t>-을/를(어디를)</t>
    <phoneticPr fontId="18" type="noConversion"/>
  </si>
  <si>
    <t>-을/를(무엇을)</t>
    <phoneticPr fontId="18" type="noConversion"/>
  </si>
  <si>
    <t>-에게/게(사람에게)</t>
    <phoneticPr fontId="18" type="noConversion"/>
  </si>
  <si>
    <t>-보고/더러(누구더러)</t>
    <phoneticPr fontId="18" type="noConversion"/>
  </si>
  <si>
    <t>-보고/더러(누구보고)</t>
    <phoneticPr fontId="18" type="noConversion"/>
  </si>
  <si>
    <t>-에(집에)</t>
    <phoneticPr fontId="18" type="noConversion"/>
  </si>
  <si>
    <t>-에(나중에)</t>
    <phoneticPr fontId="18" type="noConversion"/>
  </si>
  <si>
    <t>-에서(큰집에서)</t>
    <phoneticPr fontId="18" type="noConversion"/>
  </si>
  <si>
    <t>-에서(서울에서)</t>
    <phoneticPr fontId="18" type="noConversion"/>
  </si>
  <si>
    <t>-으로(찹쌀로)</t>
    <phoneticPr fontId="18" type="noConversion"/>
  </si>
  <si>
    <t>-으로(짚으로)</t>
    <phoneticPr fontId="18" type="noConversion"/>
  </si>
  <si>
    <t>-으로(새끼로)</t>
    <phoneticPr fontId="18" type="noConversion"/>
  </si>
  <si>
    <t>-으로(어디로)</t>
    <phoneticPr fontId="18" type="noConversion"/>
  </si>
  <si>
    <t>-와/과(수박과 참외)</t>
    <phoneticPr fontId="18" type="noConversion"/>
  </si>
  <si>
    <t>-와/과(나와)</t>
    <phoneticPr fontId="18" type="noConversion"/>
  </si>
  <si>
    <t>-보다(형보다)</t>
    <phoneticPr fontId="18" type="noConversion"/>
  </si>
  <si>
    <t>-처럼(돼지처럼)</t>
    <phoneticPr fontId="18" type="noConversion"/>
  </si>
  <si>
    <t>-만큼(너만큼)</t>
    <phoneticPr fontId="18" type="noConversion"/>
  </si>
  <si>
    <t>-만큼(먹을 만큼만)</t>
    <phoneticPr fontId="18" type="noConversion"/>
  </si>
  <si>
    <t>-아/야(복남아)</t>
    <phoneticPr fontId="18" type="noConversion"/>
  </si>
  <si>
    <t>-아/야(복남이)</t>
    <phoneticPr fontId="18" type="noConversion"/>
  </si>
  <si>
    <t>-아/야(영수야)</t>
    <phoneticPr fontId="18" type="noConversion"/>
  </si>
  <si>
    <t>-아/야(누님)</t>
    <phoneticPr fontId="18" type="noConversion"/>
  </si>
  <si>
    <t>-이랑(술이랑 고기랑)</t>
    <phoneticPr fontId="18" type="noConversion"/>
  </si>
  <si>
    <t>-커녕(만 원은커녕)</t>
    <phoneticPr fontId="18" type="noConversion"/>
  </si>
  <si>
    <t>-은/는(술은, 담배는)</t>
    <phoneticPr fontId="18" type="noConversion"/>
  </si>
  <si>
    <t>-만(딸만)</t>
    <phoneticPr fontId="18" type="noConversion"/>
  </si>
  <si>
    <r>
      <t>닳-(</t>
    </r>
    <r>
      <rPr>
        <b/>
        <sz val="9"/>
        <color theme="1"/>
        <rFont val="맑은 고딕"/>
        <family val="2"/>
        <charset val="129"/>
      </rPr>
      <t>抏</t>
    </r>
    <r>
      <rPr>
        <b/>
        <sz val="9"/>
        <color theme="1"/>
        <rFont val="굴림체"/>
        <family val="3"/>
        <charset val="129"/>
      </rPr>
      <t>, 연필 심이~)</t>
    </r>
  </si>
  <si>
    <r>
      <t>귀찮-(</t>
    </r>
    <r>
      <rPr>
        <b/>
        <sz val="9"/>
        <color theme="1"/>
        <rFont val="맑은 고딕"/>
        <family val="2"/>
        <charset val="129"/>
      </rPr>
      <t>嘓</t>
    </r>
    <r>
      <rPr>
        <b/>
        <sz val="9"/>
        <color theme="1"/>
        <rFont val="굴림체"/>
        <family val="3"/>
        <charset val="129"/>
      </rPr>
      <t>)</t>
    </r>
  </si>
  <si>
    <r>
      <t>데우-(</t>
    </r>
    <r>
      <rPr>
        <b/>
        <sz val="9"/>
        <color theme="1"/>
        <rFont val="맑은 고딕"/>
        <family val="2"/>
        <charset val="129"/>
      </rPr>
      <t>焐</t>
    </r>
    <r>
      <rPr>
        <b/>
        <sz val="9"/>
        <color theme="1"/>
        <rFont val="굴림체"/>
        <family val="3"/>
        <charset val="129"/>
      </rPr>
      <t>)</t>
    </r>
  </si>
  <si>
    <r>
      <t>곯-(</t>
    </r>
    <r>
      <rPr>
        <b/>
        <sz val="9"/>
        <color theme="1"/>
        <rFont val="맑은 고딕"/>
        <family val="2"/>
        <charset val="129"/>
      </rPr>
      <t>毈</t>
    </r>
    <r>
      <rPr>
        <b/>
        <sz val="9"/>
        <color theme="1"/>
        <rFont val="굴림체"/>
        <family val="3"/>
        <charset val="129"/>
      </rPr>
      <t>, 달걀이 ~)</t>
    </r>
  </si>
  <si>
    <r>
      <t>쏘-(</t>
    </r>
    <r>
      <rPr>
        <b/>
        <sz val="9"/>
        <color theme="1"/>
        <rFont val="맑은 고딕"/>
        <family val="2"/>
        <charset val="129"/>
      </rPr>
      <t>蜇</t>
    </r>
    <r>
      <rPr>
        <b/>
        <sz val="9"/>
        <color theme="1"/>
        <rFont val="굴림체"/>
        <family val="3"/>
        <charset val="129"/>
      </rPr>
      <t>, 벌이 ~)</t>
    </r>
  </si>
  <si>
    <r>
      <t>만지-(</t>
    </r>
    <r>
      <rPr>
        <b/>
        <sz val="9"/>
        <color theme="1"/>
        <rFont val="맑은 고딕"/>
        <family val="2"/>
        <charset val="129"/>
      </rPr>
      <t>揗</t>
    </r>
    <r>
      <rPr>
        <b/>
        <sz val="9"/>
        <color theme="1"/>
        <rFont val="굴림체"/>
        <family val="3"/>
        <charset val="129"/>
      </rPr>
      <t>)</t>
    </r>
  </si>
  <si>
    <r>
      <t>쬐:-(</t>
    </r>
    <r>
      <rPr>
        <b/>
        <sz val="9"/>
        <color theme="1"/>
        <rFont val="맑은 고딕"/>
        <family val="2"/>
        <charset val="129"/>
      </rPr>
      <t>矖</t>
    </r>
    <r>
      <rPr>
        <b/>
        <sz val="9"/>
        <color theme="1"/>
        <rFont val="굴림체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</si>
</sst>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  <font>
      <b/>
      <sz val="9"/>
      <color theme="1"/>
      <name val="굴림체"/>
      <family val="3"/>
      <charset val="129"/>
    </font>
    <font>
      <b/>
      <sz val="13"/>
      <color theme="1"/>
      <name val="굴림체"/>
      <family val="3"/>
      <charset val="129"/>
    </font>
    <font>
      <b/>
      <sz val="9"/>
      <color theme="1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1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49" fontId="22" fillId="0" borderId="0" xfId="0" applyNumberFormat="1" applyFont="1" applyAlignment="1">
      <alignment vertical="top" wrapText="1"/>
    </xf>
    <xf numFmtId="0" fontId="21" fillId="0" borderId="11" xfId="0" applyFont="1" applyBorder="1" applyAlignment="1">
      <alignment horizontal="left" vertical="top" wrapText="1"/>
    </xf>
    <xf numFmtId="0" fontId="22" fillId="0" borderId="12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1" fillId="0" borderId="13" xfId="0" applyFont="1" applyBorder="1" applyAlignment="1">
      <alignment vertical="top" wrapText="1"/>
    </xf>
    <xf numFmtId="0" fontId="21" fillId="0" borderId="14" xfId="0" applyFont="1" applyBorder="1" applyAlignment="1">
      <alignment horizontal="left" vertical="top" wrapText="1"/>
    </xf>
    <xf numFmtId="0" fontId="22" fillId="0" borderId="15" xfId="0" applyFont="1" applyBorder="1" applyAlignment="1">
      <alignment vertical="top" wrapText="1"/>
    </xf>
    <xf numFmtId="0" fontId="21" fillId="0" borderId="15" xfId="0" applyFont="1" applyBorder="1" applyAlignment="1">
      <alignment vertical="top" wrapText="1"/>
    </xf>
    <xf numFmtId="0" fontId="21" fillId="0" borderId="16" xfId="0" applyFont="1" applyBorder="1" applyAlignment="1">
      <alignment vertical="top" wrapText="1"/>
    </xf>
    <xf numFmtId="0" fontId="21" fillId="0" borderId="17" xfId="0" applyFont="1" applyBorder="1" applyAlignment="1">
      <alignment horizontal="left" vertical="top" wrapText="1"/>
    </xf>
    <xf numFmtId="0" fontId="22" fillId="0" borderId="18" xfId="0" applyFont="1" applyBorder="1" applyAlignment="1">
      <alignment vertical="top" wrapText="1"/>
    </xf>
    <xf numFmtId="0" fontId="21" fillId="0" borderId="18" xfId="0" applyFont="1" applyBorder="1" applyAlignment="1">
      <alignment vertical="top" wrapText="1"/>
    </xf>
    <xf numFmtId="0" fontId="21" fillId="0" borderId="19" xfId="0" applyFont="1" applyBorder="1" applyAlignment="1">
      <alignment vertical="top" wrapText="1"/>
    </xf>
    <xf numFmtId="49" fontId="22" fillId="0" borderId="12" xfId="0" applyNumberFormat="1" applyFont="1" applyBorder="1" applyAlignment="1">
      <alignment vertical="top" wrapText="1"/>
    </xf>
    <xf numFmtId="49" fontId="22" fillId="0" borderId="15" xfId="0" applyNumberFormat="1" applyFont="1" applyBorder="1" applyAlignment="1">
      <alignment vertical="top" wrapText="1"/>
    </xf>
    <xf numFmtId="49" fontId="22" fillId="0" borderId="18" xfId="0" applyNumberFormat="1" applyFont="1" applyBorder="1" applyAlignment="1">
      <alignment vertical="top" wrapText="1"/>
    </xf>
    <xf numFmtId="0" fontId="23" fillId="0" borderId="10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10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left" vertical="top" wrapText="1"/>
    </xf>
    <xf numFmtId="49" fontId="22" fillId="0" borderId="21" xfId="0" applyNumberFormat="1" applyFont="1" applyBorder="1" applyAlignment="1">
      <alignment vertical="top" wrapText="1"/>
    </xf>
    <xf numFmtId="0" fontId="22" fillId="0" borderId="21" xfId="0" applyFont="1" applyBorder="1" applyAlignment="1">
      <alignment vertical="top" wrapText="1"/>
    </xf>
    <xf numFmtId="0" fontId="22" fillId="0" borderId="22" xfId="0" applyFont="1" applyBorder="1" applyAlignment="1">
      <alignment vertical="top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1"/>
  <sheetViews>
    <sheetView tabSelected="1" workbookViewId="0">
      <selection activeCell="A3" sqref="A3:H3"/>
    </sheetView>
  </sheetViews>
  <sheetFormatPr defaultRowHeight="11.25" x14ac:dyDescent="0.3"/>
  <cols>
    <col min="1" max="1" width="7.625" style="3" customWidth="1"/>
    <col min="2" max="2" width="10.625" style="4" customWidth="1"/>
    <col min="3" max="8" width="14.625" style="3" customWidth="1"/>
    <col min="9" max="16384" width="9" style="3"/>
  </cols>
  <sheetData>
    <row r="1" spans="1:8" s="5" customFormat="1" ht="16.5" x14ac:dyDescent="0.3">
      <c r="A1" s="25" t="s">
        <v>19735</v>
      </c>
      <c r="B1" s="25"/>
      <c r="C1" s="25"/>
      <c r="D1" s="25"/>
      <c r="E1" s="25"/>
      <c r="F1" s="25"/>
      <c r="G1" s="25"/>
      <c r="H1" s="25"/>
    </row>
    <row r="2" spans="1:8" s="5" customFormat="1" ht="17.25" thickBot="1" x14ac:dyDescent="0.35">
      <c r="A2" s="24" t="s">
        <v>19734</v>
      </c>
      <c r="B2" s="24"/>
      <c r="C2" s="24"/>
      <c r="D2" s="24"/>
      <c r="E2" s="24"/>
      <c r="F2" s="24"/>
      <c r="G2" s="24"/>
      <c r="H2" s="24"/>
    </row>
    <row r="3" spans="1:8" s="4" customFormat="1" ht="12" thickBot="1" x14ac:dyDescent="0.35">
      <c r="A3" s="27" t="s">
        <v>0</v>
      </c>
      <c r="B3" s="28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30" t="s">
        <v>7</v>
      </c>
    </row>
    <row r="4" spans="1:8" ht="33.75" x14ac:dyDescent="0.3">
      <c r="A4" s="9">
        <v>20101</v>
      </c>
      <c r="B4" s="10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2" t="s">
        <v>14</v>
      </c>
    </row>
    <row r="5" spans="1:8" ht="33.75" x14ac:dyDescent="0.3">
      <c r="A5" s="13">
        <v>20102</v>
      </c>
      <c r="B5" s="14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 t="s">
        <v>20</v>
      </c>
      <c r="H5" s="16" t="s">
        <v>21</v>
      </c>
    </row>
    <row r="6" spans="1:8" ht="22.5" x14ac:dyDescent="0.3">
      <c r="A6" s="13">
        <v>20103</v>
      </c>
      <c r="B6" s="14" t="s">
        <v>22</v>
      </c>
      <c r="C6" s="15" t="s">
        <v>23</v>
      </c>
      <c r="D6" s="15" t="s">
        <v>24</v>
      </c>
      <c r="E6" s="15" t="s">
        <v>25</v>
      </c>
      <c r="F6" s="15" t="s">
        <v>24</v>
      </c>
      <c r="G6" s="15" t="s">
        <v>26</v>
      </c>
      <c r="H6" s="16" t="s">
        <v>27</v>
      </c>
    </row>
    <row r="7" spans="1:8" ht="22.5" x14ac:dyDescent="0.3">
      <c r="A7" s="13">
        <v>20104</v>
      </c>
      <c r="B7" s="14" t="s">
        <v>28</v>
      </c>
      <c r="C7" s="15" t="s">
        <v>29</v>
      </c>
      <c r="D7" s="15" t="s">
        <v>30</v>
      </c>
      <c r="E7" s="15" t="s">
        <v>31</v>
      </c>
      <c r="F7" s="15" t="s">
        <v>32</v>
      </c>
      <c r="G7" s="15" t="s">
        <v>33</v>
      </c>
      <c r="H7" s="16" t="s">
        <v>34</v>
      </c>
    </row>
    <row r="8" spans="1:8" ht="67.5" x14ac:dyDescent="0.3">
      <c r="A8" s="13">
        <v>20105</v>
      </c>
      <c r="B8" s="14" t="s">
        <v>35</v>
      </c>
      <c r="C8" s="15" t="s">
        <v>36</v>
      </c>
      <c r="D8" s="15" t="s">
        <v>37</v>
      </c>
      <c r="E8" s="15" t="s">
        <v>38</v>
      </c>
      <c r="F8" s="15" t="s">
        <v>39</v>
      </c>
      <c r="G8" s="15" t="s">
        <v>40</v>
      </c>
      <c r="H8" s="16" t="s">
        <v>41</v>
      </c>
    </row>
    <row r="9" spans="1:8" ht="101.25" x14ac:dyDescent="0.3">
      <c r="A9" s="13">
        <v>20106</v>
      </c>
      <c r="B9" s="14" t="s">
        <v>42</v>
      </c>
      <c r="C9" s="15" t="s">
        <v>43</v>
      </c>
      <c r="D9" s="15" t="s">
        <v>44</v>
      </c>
      <c r="E9" s="15" t="s">
        <v>45</v>
      </c>
      <c r="F9" s="15" t="s">
        <v>46</v>
      </c>
      <c r="G9" s="15" t="s">
        <v>47</v>
      </c>
      <c r="H9" s="16" t="s">
        <v>48</v>
      </c>
    </row>
    <row r="10" spans="1:8" ht="90" x14ac:dyDescent="0.3">
      <c r="A10" s="13">
        <v>20107</v>
      </c>
      <c r="B10" s="14" t="s">
        <v>49</v>
      </c>
      <c r="C10" s="15" t="s">
        <v>50</v>
      </c>
      <c r="D10" s="15" t="s">
        <v>51</v>
      </c>
      <c r="E10" s="15" t="s">
        <v>52</v>
      </c>
      <c r="F10" s="15" t="s">
        <v>53</v>
      </c>
      <c r="G10" s="15" t="s">
        <v>54</v>
      </c>
      <c r="H10" s="16" t="s">
        <v>55</v>
      </c>
    </row>
    <row r="11" spans="1:8" ht="45" x14ac:dyDescent="0.3">
      <c r="A11" s="13">
        <v>20108</v>
      </c>
      <c r="B11" s="14" t="s">
        <v>56</v>
      </c>
      <c r="C11" s="15" t="s">
        <v>57</v>
      </c>
      <c r="D11" s="15" t="s">
        <v>57</v>
      </c>
      <c r="E11" s="15" t="s">
        <v>58</v>
      </c>
      <c r="F11" s="15" t="s">
        <v>59</v>
      </c>
      <c r="G11" s="15" t="s">
        <v>57</v>
      </c>
      <c r="H11" s="16" t="s">
        <v>60</v>
      </c>
    </row>
    <row r="12" spans="1:8" ht="33.75" x14ac:dyDescent="0.3">
      <c r="A12" s="13" t="s">
        <v>61</v>
      </c>
      <c r="B12" s="14" t="s">
        <v>19724</v>
      </c>
      <c r="C12" s="15" t="s">
        <v>57</v>
      </c>
      <c r="D12" s="15" t="s">
        <v>57</v>
      </c>
      <c r="E12" s="15" t="s">
        <v>62</v>
      </c>
      <c r="F12" s="15" t="s">
        <v>63</v>
      </c>
      <c r="G12" s="15" t="s">
        <v>57</v>
      </c>
      <c r="H12" s="16" t="s">
        <v>64</v>
      </c>
    </row>
    <row r="13" spans="1:8" ht="67.5" x14ac:dyDescent="0.3">
      <c r="A13" s="13">
        <v>20109</v>
      </c>
      <c r="B13" s="14" t="s">
        <v>65</v>
      </c>
      <c r="C13" s="15" t="s">
        <v>66</v>
      </c>
      <c r="D13" s="15"/>
      <c r="E13" s="15" t="s">
        <v>67</v>
      </c>
      <c r="F13" s="15" t="s">
        <v>68</v>
      </c>
      <c r="G13" s="15" t="s">
        <v>69</v>
      </c>
      <c r="H13" s="16" t="s">
        <v>70</v>
      </c>
    </row>
    <row r="14" spans="1:8" ht="33.75" x14ac:dyDescent="0.3">
      <c r="A14" s="13">
        <v>20110</v>
      </c>
      <c r="B14" s="14" t="s">
        <v>71</v>
      </c>
      <c r="C14" s="15" t="s">
        <v>72</v>
      </c>
      <c r="D14" s="15" t="s">
        <v>73</v>
      </c>
      <c r="E14" s="15" t="s">
        <v>74</v>
      </c>
      <c r="F14" s="15" t="s">
        <v>75</v>
      </c>
      <c r="G14" s="15" t="s">
        <v>76</v>
      </c>
      <c r="H14" s="16" t="s">
        <v>77</v>
      </c>
    </row>
    <row r="15" spans="1:8" ht="22.5" x14ac:dyDescent="0.3">
      <c r="A15" s="13">
        <v>20111</v>
      </c>
      <c r="B15" s="14" t="s">
        <v>78</v>
      </c>
      <c r="C15" s="15" t="s">
        <v>57</v>
      </c>
      <c r="D15" s="15" t="s">
        <v>79</v>
      </c>
      <c r="E15" s="15" t="s">
        <v>80</v>
      </c>
      <c r="F15" s="15" t="s">
        <v>81</v>
      </c>
      <c r="G15" s="15" t="s">
        <v>78</v>
      </c>
      <c r="H15" s="16" t="s">
        <v>82</v>
      </c>
    </row>
    <row r="16" spans="1:8" ht="45" x14ac:dyDescent="0.3">
      <c r="A16" s="13">
        <v>20112</v>
      </c>
      <c r="B16" s="14" t="s">
        <v>83</v>
      </c>
      <c r="C16" s="15" t="s">
        <v>84</v>
      </c>
      <c r="D16" s="15" t="s">
        <v>85</v>
      </c>
      <c r="E16" s="15" t="s">
        <v>86</v>
      </c>
      <c r="F16" s="15" t="s">
        <v>87</v>
      </c>
      <c r="G16" s="15" t="s">
        <v>88</v>
      </c>
      <c r="H16" s="16" t="s">
        <v>83</v>
      </c>
    </row>
    <row r="17" spans="1:8" ht="45" x14ac:dyDescent="0.3">
      <c r="A17" s="13">
        <v>20113</v>
      </c>
      <c r="B17" s="14" t="s">
        <v>89</v>
      </c>
      <c r="C17" s="15" t="s">
        <v>90</v>
      </c>
      <c r="D17" s="15" t="s">
        <v>91</v>
      </c>
      <c r="E17" s="15" t="s">
        <v>92</v>
      </c>
      <c r="F17" s="15" t="s">
        <v>93</v>
      </c>
      <c r="G17" s="15" t="s">
        <v>94</v>
      </c>
      <c r="H17" s="16" t="s">
        <v>95</v>
      </c>
    </row>
    <row r="18" spans="1:8" ht="33.75" x14ac:dyDescent="0.3">
      <c r="A18" s="13">
        <v>20114</v>
      </c>
      <c r="B18" s="14" t="s">
        <v>96</v>
      </c>
      <c r="C18" s="15" t="s">
        <v>97</v>
      </c>
      <c r="D18" s="15" t="s">
        <v>98</v>
      </c>
      <c r="E18" s="15" t="s">
        <v>57</v>
      </c>
      <c r="F18" s="15" t="s">
        <v>99</v>
      </c>
      <c r="G18" s="15" t="s">
        <v>100</v>
      </c>
      <c r="H18" s="16" t="s">
        <v>101</v>
      </c>
    </row>
    <row r="19" spans="1:8" ht="56.25" x14ac:dyDescent="0.3">
      <c r="A19" s="13" t="s">
        <v>102</v>
      </c>
      <c r="B19" s="14" t="s">
        <v>103</v>
      </c>
      <c r="C19" s="15" t="s">
        <v>104</v>
      </c>
      <c r="D19" s="15"/>
      <c r="E19" s="15" t="s">
        <v>105</v>
      </c>
      <c r="F19" s="15" t="s">
        <v>57</v>
      </c>
      <c r="G19" s="15" t="s">
        <v>106</v>
      </c>
      <c r="H19" s="16" t="s">
        <v>107</v>
      </c>
    </row>
    <row r="20" spans="1:8" ht="33.75" x14ac:dyDescent="0.3">
      <c r="A20" s="13" t="s">
        <v>108</v>
      </c>
      <c r="B20" s="14" t="s">
        <v>109</v>
      </c>
      <c r="C20" s="15" t="s">
        <v>110</v>
      </c>
      <c r="D20" s="15" t="s">
        <v>111</v>
      </c>
      <c r="E20" s="15" t="s">
        <v>57</v>
      </c>
      <c r="F20" s="15" t="s">
        <v>57</v>
      </c>
      <c r="G20" s="15" t="s">
        <v>57</v>
      </c>
      <c r="H20" s="16" t="s">
        <v>112</v>
      </c>
    </row>
    <row r="21" spans="1:8" ht="33.75" x14ac:dyDescent="0.3">
      <c r="A21" s="13" t="s">
        <v>113</v>
      </c>
      <c r="B21" s="14" t="s">
        <v>114</v>
      </c>
      <c r="C21" s="15" t="s">
        <v>115</v>
      </c>
      <c r="D21" s="15"/>
      <c r="E21" s="15" t="s">
        <v>116</v>
      </c>
      <c r="F21" s="15" t="s">
        <v>57</v>
      </c>
      <c r="G21" s="15" t="s">
        <v>117</v>
      </c>
      <c r="H21" s="16" t="s">
        <v>118</v>
      </c>
    </row>
    <row r="22" spans="1:8" ht="45" x14ac:dyDescent="0.3">
      <c r="A22" s="13" t="s">
        <v>119</v>
      </c>
      <c r="B22" s="14" t="s">
        <v>120</v>
      </c>
      <c r="C22" s="15" t="s">
        <v>57</v>
      </c>
      <c r="D22" s="15"/>
      <c r="E22" s="15" t="s">
        <v>57</v>
      </c>
      <c r="F22" s="15" t="s">
        <v>57</v>
      </c>
      <c r="G22" s="15" t="s">
        <v>121</v>
      </c>
      <c r="H22" s="16" t="s">
        <v>122</v>
      </c>
    </row>
    <row r="23" spans="1:8" ht="22.5" x14ac:dyDescent="0.3">
      <c r="A23" s="13" t="s">
        <v>123</v>
      </c>
      <c r="B23" s="14" t="s">
        <v>124</v>
      </c>
      <c r="C23" s="15" t="s">
        <v>57</v>
      </c>
      <c r="D23" s="15"/>
      <c r="E23" s="15" t="s">
        <v>57</v>
      </c>
      <c r="F23" s="15" t="s">
        <v>57</v>
      </c>
      <c r="G23" s="15" t="s">
        <v>57</v>
      </c>
      <c r="H23" s="16" t="s">
        <v>57</v>
      </c>
    </row>
    <row r="24" spans="1:8" ht="33.75" x14ac:dyDescent="0.3">
      <c r="A24" s="13">
        <v>20115</v>
      </c>
      <c r="B24" s="14" t="s">
        <v>125</v>
      </c>
      <c r="C24" s="15" t="s">
        <v>126</v>
      </c>
      <c r="D24" s="15" t="s">
        <v>127</v>
      </c>
      <c r="E24" s="15" t="s">
        <v>128</v>
      </c>
      <c r="F24" s="15" t="s">
        <v>129</v>
      </c>
      <c r="G24" s="15" t="s">
        <v>130</v>
      </c>
      <c r="H24" s="16" t="s">
        <v>131</v>
      </c>
    </row>
    <row r="25" spans="1:8" ht="67.5" x14ac:dyDescent="0.3">
      <c r="A25" s="13">
        <v>20116</v>
      </c>
      <c r="B25" s="14" t="s">
        <v>132</v>
      </c>
      <c r="C25" s="15" t="s">
        <v>133</v>
      </c>
      <c r="D25" s="15" t="s">
        <v>134</v>
      </c>
      <c r="E25" s="15" t="s">
        <v>135</v>
      </c>
      <c r="F25" s="15" t="s">
        <v>136</v>
      </c>
      <c r="G25" s="15" t="s">
        <v>137</v>
      </c>
      <c r="H25" s="16" t="s">
        <v>138</v>
      </c>
    </row>
    <row r="26" spans="1:8" ht="33.75" x14ac:dyDescent="0.3">
      <c r="A26" s="13">
        <v>20117</v>
      </c>
      <c r="B26" s="14" t="s">
        <v>139</v>
      </c>
      <c r="C26" s="15" t="s">
        <v>140</v>
      </c>
      <c r="D26" s="15" t="s">
        <v>141</v>
      </c>
      <c r="E26" s="15" t="s">
        <v>142</v>
      </c>
      <c r="F26" s="15" t="s">
        <v>143</v>
      </c>
      <c r="G26" s="15" t="s">
        <v>144</v>
      </c>
      <c r="H26" s="16" t="s">
        <v>145</v>
      </c>
    </row>
    <row r="27" spans="1:8" ht="67.5" x14ac:dyDescent="0.3">
      <c r="A27" s="13">
        <v>20118</v>
      </c>
      <c r="B27" s="14" t="s">
        <v>146</v>
      </c>
      <c r="C27" s="15" t="s">
        <v>147</v>
      </c>
      <c r="D27" s="15" t="s">
        <v>148</v>
      </c>
      <c r="E27" s="15" t="s">
        <v>149</v>
      </c>
      <c r="F27" s="15" t="s">
        <v>150</v>
      </c>
      <c r="G27" s="15" t="s">
        <v>151</v>
      </c>
      <c r="H27" s="16" t="s">
        <v>152</v>
      </c>
    </row>
    <row r="28" spans="1:8" ht="78.75" x14ac:dyDescent="0.3">
      <c r="A28" s="13">
        <v>20119</v>
      </c>
      <c r="B28" s="14" t="s">
        <v>153</v>
      </c>
      <c r="C28" s="15" t="s">
        <v>154</v>
      </c>
      <c r="D28" s="15" t="s">
        <v>155</v>
      </c>
      <c r="E28" s="15" t="s">
        <v>156</v>
      </c>
      <c r="F28" s="15" t="s">
        <v>157</v>
      </c>
      <c r="G28" s="15" t="s">
        <v>158</v>
      </c>
      <c r="H28" s="16" t="s">
        <v>159</v>
      </c>
    </row>
    <row r="29" spans="1:8" ht="22.5" x14ac:dyDescent="0.3">
      <c r="A29" s="13">
        <v>20120</v>
      </c>
      <c r="B29" s="14" t="s">
        <v>160</v>
      </c>
      <c r="C29" s="15" t="s">
        <v>161</v>
      </c>
      <c r="D29" s="15" t="s">
        <v>162</v>
      </c>
      <c r="E29" s="15" t="s">
        <v>163</v>
      </c>
      <c r="F29" s="15" t="s">
        <v>164</v>
      </c>
      <c r="G29" s="15" t="s">
        <v>165</v>
      </c>
      <c r="H29" s="16" t="s">
        <v>166</v>
      </c>
    </row>
    <row r="30" spans="1:8" ht="22.5" x14ac:dyDescent="0.3">
      <c r="A30" s="13">
        <v>20121</v>
      </c>
      <c r="B30" s="14" t="s">
        <v>167</v>
      </c>
      <c r="C30" s="15" t="s">
        <v>168</v>
      </c>
      <c r="D30" s="15" t="s">
        <v>169</v>
      </c>
      <c r="E30" s="15" t="s">
        <v>170</v>
      </c>
      <c r="F30" s="15" t="s">
        <v>171</v>
      </c>
      <c r="G30" s="15" t="s">
        <v>172</v>
      </c>
      <c r="H30" s="16" t="s">
        <v>173</v>
      </c>
    </row>
    <row r="31" spans="1:8" ht="33.75" x14ac:dyDescent="0.3">
      <c r="A31" s="13">
        <v>20122</v>
      </c>
      <c r="B31" s="14" t="s">
        <v>174</v>
      </c>
      <c r="C31" s="15" t="s">
        <v>175</v>
      </c>
      <c r="D31" s="15" t="s">
        <v>176</v>
      </c>
      <c r="E31" s="15" t="s">
        <v>177</v>
      </c>
      <c r="F31" s="15" t="s">
        <v>178</v>
      </c>
      <c r="G31" s="15" t="s">
        <v>179</v>
      </c>
      <c r="H31" s="16" t="s">
        <v>180</v>
      </c>
    </row>
    <row r="32" spans="1:8" ht="33.75" x14ac:dyDescent="0.3">
      <c r="A32" s="13">
        <v>20123</v>
      </c>
      <c r="B32" s="14" t="s">
        <v>181</v>
      </c>
      <c r="C32" s="15" t="s">
        <v>182</v>
      </c>
      <c r="D32" s="15" t="s">
        <v>183</v>
      </c>
      <c r="E32" s="15" t="s">
        <v>184</v>
      </c>
      <c r="F32" s="15" t="s">
        <v>185</v>
      </c>
      <c r="G32" s="15" t="s">
        <v>186</v>
      </c>
      <c r="H32" s="16" t="s">
        <v>187</v>
      </c>
    </row>
    <row r="33" spans="1:8" ht="45" x14ac:dyDescent="0.3">
      <c r="A33" s="13" t="s">
        <v>188</v>
      </c>
      <c r="B33" s="14" t="s">
        <v>189</v>
      </c>
      <c r="C33" s="15" t="s">
        <v>190</v>
      </c>
      <c r="D33" s="15" t="s">
        <v>191</v>
      </c>
      <c r="E33" s="15" t="s">
        <v>192</v>
      </c>
      <c r="F33" s="15" t="s">
        <v>193</v>
      </c>
      <c r="G33" s="15" t="s">
        <v>194</v>
      </c>
      <c r="H33" s="16" t="s">
        <v>195</v>
      </c>
    </row>
    <row r="34" spans="1:8" ht="33.75" x14ac:dyDescent="0.3">
      <c r="A34" s="13" t="s">
        <v>196</v>
      </c>
      <c r="B34" s="14" t="s">
        <v>197</v>
      </c>
      <c r="C34" s="15" t="s">
        <v>198</v>
      </c>
      <c r="D34" s="15" t="s">
        <v>199</v>
      </c>
      <c r="E34" s="15" t="s">
        <v>200</v>
      </c>
      <c r="F34" s="15" t="s">
        <v>201</v>
      </c>
      <c r="G34" s="15" t="s">
        <v>202</v>
      </c>
      <c r="H34" s="16" t="s">
        <v>203</v>
      </c>
    </row>
    <row r="35" spans="1:8" ht="45" x14ac:dyDescent="0.3">
      <c r="A35" s="13">
        <v>20124</v>
      </c>
      <c r="B35" s="14" t="s">
        <v>204</v>
      </c>
      <c r="C35" s="15" t="s">
        <v>205</v>
      </c>
      <c r="D35" s="15" t="s">
        <v>206</v>
      </c>
      <c r="E35" s="15" t="s">
        <v>207</v>
      </c>
      <c r="F35" s="15" t="s">
        <v>208</v>
      </c>
      <c r="G35" s="15" t="s">
        <v>206</v>
      </c>
      <c r="H35" s="16" t="s">
        <v>206</v>
      </c>
    </row>
    <row r="36" spans="1:8" ht="56.25" x14ac:dyDescent="0.3">
      <c r="A36" s="13" t="s">
        <v>209</v>
      </c>
      <c r="B36" s="14" t="s">
        <v>210</v>
      </c>
      <c r="C36" s="15" t="s">
        <v>211</v>
      </c>
      <c r="D36" s="15" t="s">
        <v>212</v>
      </c>
      <c r="E36" s="15" t="s">
        <v>57</v>
      </c>
      <c r="F36" s="15" t="s">
        <v>213</v>
      </c>
      <c r="G36" s="15" t="s">
        <v>214</v>
      </c>
      <c r="H36" s="16" t="s">
        <v>215</v>
      </c>
    </row>
    <row r="37" spans="1:8" ht="67.5" x14ac:dyDescent="0.3">
      <c r="A37" s="13">
        <v>20125</v>
      </c>
      <c r="B37" s="14" t="s">
        <v>216</v>
      </c>
      <c r="C37" s="15" t="s">
        <v>217</v>
      </c>
      <c r="D37" s="15" t="s">
        <v>218</v>
      </c>
      <c r="E37" s="15" t="s">
        <v>219</v>
      </c>
      <c r="F37" s="15" t="s">
        <v>220</v>
      </c>
      <c r="G37" s="15" t="s">
        <v>221</v>
      </c>
      <c r="H37" s="16" t="s">
        <v>222</v>
      </c>
    </row>
    <row r="38" spans="1:8" ht="33.75" x14ac:dyDescent="0.3">
      <c r="A38" s="13">
        <v>20126</v>
      </c>
      <c r="B38" s="14" t="s">
        <v>223</v>
      </c>
      <c r="C38" s="15" t="s">
        <v>224</v>
      </c>
      <c r="D38" s="15" t="s">
        <v>219</v>
      </c>
      <c r="E38" s="15" t="s">
        <v>225</v>
      </c>
      <c r="F38" s="15"/>
      <c r="G38" s="15" t="s">
        <v>226</v>
      </c>
      <c r="H38" s="16" t="s">
        <v>227</v>
      </c>
    </row>
    <row r="39" spans="1:8" ht="56.25" x14ac:dyDescent="0.3">
      <c r="A39" s="13">
        <v>20127</v>
      </c>
      <c r="B39" s="14" t="s">
        <v>228</v>
      </c>
      <c r="C39" s="15" t="s">
        <v>229</v>
      </c>
      <c r="D39" s="15" t="s">
        <v>230</v>
      </c>
      <c r="E39" s="15" t="s">
        <v>231</v>
      </c>
      <c r="F39" s="15" t="s">
        <v>232</v>
      </c>
      <c r="G39" s="15" t="s">
        <v>233</v>
      </c>
      <c r="H39" s="16" t="s">
        <v>234</v>
      </c>
    </row>
    <row r="40" spans="1:8" ht="33.75" x14ac:dyDescent="0.3">
      <c r="A40" s="13">
        <v>20128</v>
      </c>
      <c r="B40" s="14" t="s">
        <v>235</v>
      </c>
      <c r="C40" s="15" t="s">
        <v>236</v>
      </c>
      <c r="D40" s="15"/>
      <c r="E40" s="15" t="s">
        <v>237</v>
      </c>
      <c r="F40" s="15" t="s">
        <v>238</v>
      </c>
      <c r="G40" s="15" t="s">
        <v>239</v>
      </c>
      <c r="H40" s="16" t="s">
        <v>57</v>
      </c>
    </row>
    <row r="41" spans="1:8" ht="45" x14ac:dyDescent="0.3">
      <c r="A41" s="13" t="s">
        <v>240</v>
      </c>
      <c r="B41" s="14" t="s">
        <v>241</v>
      </c>
      <c r="C41" s="15" t="s">
        <v>242</v>
      </c>
      <c r="D41" s="15"/>
      <c r="E41" s="15" t="s">
        <v>243</v>
      </c>
      <c r="F41" s="15" t="s">
        <v>244</v>
      </c>
      <c r="G41" s="15" t="s">
        <v>245</v>
      </c>
      <c r="H41" s="16" t="s">
        <v>246</v>
      </c>
    </row>
    <row r="42" spans="1:8" ht="56.25" x14ac:dyDescent="0.3">
      <c r="A42" s="13" t="s">
        <v>247</v>
      </c>
      <c r="B42" s="14" t="s">
        <v>248</v>
      </c>
      <c r="C42" s="15" t="s">
        <v>249</v>
      </c>
      <c r="D42" s="15"/>
      <c r="E42" s="15" t="s">
        <v>57</v>
      </c>
      <c r="F42" s="15" t="s">
        <v>250</v>
      </c>
      <c r="G42" s="15" t="s">
        <v>57</v>
      </c>
      <c r="H42" s="16" t="s">
        <v>251</v>
      </c>
    </row>
    <row r="43" spans="1:8" ht="33.75" x14ac:dyDescent="0.3">
      <c r="A43" s="13">
        <v>20129</v>
      </c>
      <c r="B43" s="14" t="s">
        <v>252</v>
      </c>
      <c r="C43" s="15" t="s">
        <v>253</v>
      </c>
      <c r="D43" s="15" t="s">
        <v>254</v>
      </c>
      <c r="E43" s="15" t="s">
        <v>255</v>
      </c>
      <c r="F43" s="15" t="s">
        <v>256</v>
      </c>
      <c r="G43" s="15" t="s">
        <v>257</v>
      </c>
      <c r="H43" s="16" t="s">
        <v>258</v>
      </c>
    </row>
    <row r="44" spans="1:8" ht="22.5" x14ac:dyDescent="0.3">
      <c r="A44" s="13" t="s">
        <v>259</v>
      </c>
      <c r="B44" s="14" t="s">
        <v>260</v>
      </c>
      <c r="C44" s="15" t="s">
        <v>261</v>
      </c>
      <c r="D44" s="15" t="s">
        <v>57</v>
      </c>
      <c r="E44" s="15"/>
      <c r="F44" s="15" t="s">
        <v>262</v>
      </c>
      <c r="G44" s="15" t="s">
        <v>263</v>
      </c>
      <c r="H44" s="16" t="s">
        <v>264</v>
      </c>
    </row>
    <row r="45" spans="1:8" ht="33.75" x14ac:dyDescent="0.3">
      <c r="A45" s="13" t="s">
        <v>265</v>
      </c>
      <c r="B45" s="14" t="s">
        <v>266</v>
      </c>
      <c r="C45" s="15" t="s">
        <v>267</v>
      </c>
      <c r="D45" s="15" t="s">
        <v>268</v>
      </c>
      <c r="E45" s="15" t="s">
        <v>269</v>
      </c>
      <c r="F45" s="15" t="s">
        <v>270</v>
      </c>
      <c r="G45" s="15" t="s">
        <v>271</v>
      </c>
      <c r="H45" s="16" t="s">
        <v>266</v>
      </c>
    </row>
    <row r="46" spans="1:8" x14ac:dyDescent="0.3">
      <c r="A46" s="13">
        <v>20130</v>
      </c>
      <c r="B46" s="14" t="s">
        <v>272</v>
      </c>
      <c r="C46" s="15" t="s">
        <v>273</v>
      </c>
      <c r="D46" s="15" t="s">
        <v>274</v>
      </c>
      <c r="E46" s="15" t="s">
        <v>272</v>
      </c>
      <c r="F46" s="15" t="s">
        <v>275</v>
      </c>
      <c r="G46" s="15" t="s">
        <v>276</v>
      </c>
      <c r="H46" s="16" t="s">
        <v>274</v>
      </c>
    </row>
    <row r="47" spans="1:8" ht="22.5" x14ac:dyDescent="0.3">
      <c r="A47" s="13">
        <v>20131</v>
      </c>
      <c r="B47" s="14" t="s">
        <v>277</v>
      </c>
      <c r="C47" s="15" t="s">
        <v>278</v>
      </c>
      <c r="D47" s="15" t="s">
        <v>279</v>
      </c>
      <c r="E47" s="15" t="s">
        <v>280</v>
      </c>
      <c r="F47" s="15" t="s">
        <v>281</v>
      </c>
      <c r="G47" s="15" t="s">
        <v>282</v>
      </c>
      <c r="H47" s="16" t="s">
        <v>280</v>
      </c>
    </row>
    <row r="48" spans="1:8" ht="67.5" x14ac:dyDescent="0.3">
      <c r="A48" s="13">
        <v>20132</v>
      </c>
      <c r="B48" s="14" t="s">
        <v>283</v>
      </c>
      <c r="C48" s="15" t="s">
        <v>284</v>
      </c>
      <c r="D48" s="15" t="s">
        <v>285</v>
      </c>
      <c r="E48" s="15" t="s">
        <v>286</v>
      </c>
      <c r="F48" s="15" t="s">
        <v>287</v>
      </c>
      <c r="G48" s="15" t="s">
        <v>283</v>
      </c>
      <c r="H48" s="16" t="s">
        <v>288</v>
      </c>
    </row>
    <row r="49" spans="1:8" ht="45" x14ac:dyDescent="0.3">
      <c r="A49" s="13">
        <v>20133</v>
      </c>
      <c r="B49" s="14" t="s">
        <v>289</v>
      </c>
      <c r="C49" s="15" t="s">
        <v>57</v>
      </c>
      <c r="D49" s="15" t="s">
        <v>290</v>
      </c>
      <c r="E49" s="15" t="s">
        <v>291</v>
      </c>
      <c r="F49" s="15" t="s">
        <v>292</v>
      </c>
      <c r="G49" s="15" t="s">
        <v>57</v>
      </c>
      <c r="H49" s="16" t="s">
        <v>293</v>
      </c>
    </row>
    <row r="50" spans="1:8" ht="56.25" x14ac:dyDescent="0.3">
      <c r="A50" s="13">
        <v>20134</v>
      </c>
      <c r="B50" s="14" t="s">
        <v>294</v>
      </c>
      <c r="C50" s="15" t="s">
        <v>295</v>
      </c>
      <c r="D50" s="15" t="s">
        <v>296</v>
      </c>
      <c r="E50" s="15" t="s">
        <v>297</v>
      </c>
      <c r="F50" s="15" t="s">
        <v>298</v>
      </c>
      <c r="G50" s="15" t="s">
        <v>294</v>
      </c>
      <c r="H50" s="16" t="s">
        <v>299</v>
      </c>
    </row>
    <row r="51" spans="1:8" ht="78.75" x14ac:dyDescent="0.3">
      <c r="A51" s="13">
        <v>20201</v>
      </c>
      <c r="B51" s="14" t="s">
        <v>300</v>
      </c>
      <c r="C51" s="15" t="s">
        <v>301</v>
      </c>
      <c r="D51" s="15" t="s">
        <v>302</v>
      </c>
      <c r="E51" s="15" t="s">
        <v>303</v>
      </c>
      <c r="F51" s="15" t="s">
        <v>304</v>
      </c>
      <c r="G51" s="15" t="s">
        <v>305</v>
      </c>
      <c r="H51" s="16" t="s">
        <v>306</v>
      </c>
    </row>
    <row r="52" spans="1:8" ht="45" x14ac:dyDescent="0.3">
      <c r="A52" s="13">
        <v>20202</v>
      </c>
      <c r="B52" s="14" t="s">
        <v>307</v>
      </c>
      <c r="C52" s="15" t="s">
        <v>308</v>
      </c>
      <c r="D52" s="15" t="s">
        <v>309</v>
      </c>
      <c r="E52" s="15" t="s">
        <v>310</v>
      </c>
      <c r="F52" s="15" t="s">
        <v>311</v>
      </c>
      <c r="G52" s="15" t="s">
        <v>312</v>
      </c>
      <c r="H52" s="16" t="s">
        <v>313</v>
      </c>
    </row>
    <row r="53" spans="1:8" ht="45" x14ac:dyDescent="0.3">
      <c r="A53" s="13" t="s">
        <v>314</v>
      </c>
      <c r="B53" s="14" t="s">
        <v>307</v>
      </c>
      <c r="C53" s="15" t="s">
        <v>315</v>
      </c>
      <c r="D53" s="15" t="s">
        <v>316</v>
      </c>
      <c r="E53" s="15" t="s">
        <v>317</v>
      </c>
      <c r="F53" s="15"/>
      <c r="G53" s="15" t="s">
        <v>318</v>
      </c>
      <c r="H53" s="16" t="s">
        <v>319</v>
      </c>
    </row>
    <row r="54" spans="1:8" ht="56.25" x14ac:dyDescent="0.3">
      <c r="A54" s="13" t="s">
        <v>320</v>
      </c>
      <c r="B54" s="14" t="s">
        <v>307</v>
      </c>
      <c r="C54" s="15" t="s">
        <v>57</v>
      </c>
      <c r="D54" s="15" t="s">
        <v>57</v>
      </c>
      <c r="E54" s="15"/>
      <c r="F54" s="15" t="s">
        <v>321</v>
      </c>
      <c r="G54" s="15" t="s">
        <v>57</v>
      </c>
      <c r="H54" s="16" t="s">
        <v>322</v>
      </c>
    </row>
    <row r="55" spans="1:8" ht="67.5" x14ac:dyDescent="0.3">
      <c r="A55" s="13" t="s">
        <v>323</v>
      </c>
      <c r="B55" s="14" t="s">
        <v>307</v>
      </c>
      <c r="C55" s="15" t="s">
        <v>324</v>
      </c>
      <c r="D55" s="15" t="s">
        <v>325</v>
      </c>
      <c r="E55" s="15"/>
      <c r="F55" s="15" t="s">
        <v>326</v>
      </c>
      <c r="G55" s="15" t="s">
        <v>57</v>
      </c>
      <c r="H55" s="16" t="s">
        <v>327</v>
      </c>
    </row>
    <row r="56" spans="1:8" ht="33.75" x14ac:dyDescent="0.3">
      <c r="A56" s="13">
        <v>20203</v>
      </c>
      <c r="B56" s="14" t="s">
        <v>328</v>
      </c>
      <c r="C56" s="15" t="s">
        <v>329</v>
      </c>
      <c r="D56" s="15" t="s">
        <v>330</v>
      </c>
      <c r="E56" s="15" t="s">
        <v>331</v>
      </c>
      <c r="F56" s="15" t="s">
        <v>332</v>
      </c>
      <c r="G56" s="15" t="s">
        <v>333</v>
      </c>
      <c r="H56" s="16" t="s">
        <v>334</v>
      </c>
    </row>
    <row r="57" spans="1:8" ht="45" x14ac:dyDescent="0.3">
      <c r="A57" s="13">
        <v>20204</v>
      </c>
      <c r="B57" s="14" t="s">
        <v>335</v>
      </c>
      <c r="C57" s="15" t="s">
        <v>336</v>
      </c>
      <c r="D57" s="15" t="s">
        <v>337</v>
      </c>
      <c r="E57" s="15" t="s">
        <v>338</v>
      </c>
      <c r="F57" s="15" t="s">
        <v>339</v>
      </c>
      <c r="G57" s="15" t="s">
        <v>340</v>
      </c>
      <c r="H57" s="16" t="s">
        <v>341</v>
      </c>
    </row>
    <row r="58" spans="1:8" ht="22.5" x14ac:dyDescent="0.3">
      <c r="A58" s="13">
        <v>20205</v>
      </c>
      <c r="B58" s="14" t="s">
        <v>342</v>
      </c>
      <c r="C58" s="15" t="s">
        <v>343</v>
      </c>
      <c r="D58" s="15" t="s">
        <v>344</v>
      </c>
      <c r="E58" s="15" t="s">
        <v>345</v>
      </c>
      <c r="F58" s="15" t="s">
        <v>346</v>
      </c>
      <c r="G58" s="15" t="s">
        <v>347</v>
      </c>
      <c r="H58" s="16" t="s">
        <v>348</v>
      </c>
    </row>
    <row r="59" spans="1:8" ht="45" x14ac:dyDescent="0.3">
      <c r="A59" s="13">
        <v>20206</v>
      </c>
      <c r="B59" s="14" t="s">
        <v>349</v>
      </c>
      <c r="C59" s="15" t="s">
        <v>57</v>
      </c>
      <c r="D59" s="15" t="s">
        <v>350</v>
      </c>
      <c r="E59" s="15" t="s">
        <v>351</v>
      </c>
      <c r="F59" s="15" t="s">
        <v>352</v>
      </c>
      <c r="G59" s="15" t="s">
        <v>353</v>
      </c>
      <c r="H59" s="16" t="s">
        <v>354</v>
      </c>
    </row>
    <row r="60" spans="1:8" ht="45" x14ac:dyDescent="0.3">
      <c r="A60" s="13">
        <v>20207</v>
      </c>
      <c r="B60" s="14" t="s">
        <v>355</v>
      </c>
      <c r="C60" s="15" t="s">
        <v>356</v>
      </c>
      <c r="D60" s="15" t="s">
        <v>357</v>
      </c>
      <c r="E60" s="15" t="s">
        <v>358</v>
      </c>
      <c r="F60" s="15" t="s">
        <v>359</v>
      </c>
      <c r="G60" s="15" t="s">
        <v>360</v>
      </c>
      <c r="H60" s="16" t="s">
        <v>361</v>
      </c>
    </row>
    <row r="61" spans="1:8" ht="45" x14ac:dyDescent="0.3">
      <c r="A61" s="13">
        <v>20208</v>
      </c>
      <c r="B61" s="14" t="s">
        <v>362</v>
      </c>
      <c r="C61" s="15" t="s">
        <v>363</v>
      </c>
      <c r="D61" s="15" t="s">
        <v>364</v>
      </c>
      <c r="E61" s="15" t="s">
        <v>365</v>
      </c>
      <c r="F61" s="15" t="s">
        <v>366</v>
      </c>
      <c r="G61" s="15" t="s">
        <v>367</v>
      </c>
      <c r="H61" s="16" t="s">
        <v>368</v>
      </c>
    </row>
    <row r="62" spans="1:8" ht="90" x14ac:dyDescent="0.3">
      <c r="A62" s="13" t="s">
        <v>369</v>
      </c>
      <c r="B62" s="14" t="s">
        <v>370</v>
      </c>
      <c r="C62" s="15" t="s">
        <v>57</v>
      </c>
      <c r="D62" s="15" t="s">
        <v>371</v>
      </c>
      <c r="E62" s="15"/>
      <c r="F62" s="15" t="s">
        <v>372</v>
      </c>
      <c r="G62" s="15" t="s">
        <v>373</v>
      </c>
      <c r="H62" s="16" t="s">
        <v>374</v>
      </c>
    </row>
    <row r="63" spans="1:8" ht="22.5" x14ac:dyDescent="0.3">
      <c r="A63" s="13">
        <v>20209</v>
      </c>
      <c r="B63" s="14" t="s">
        <v>375</v>
      </c>
      <c r="C63" s="15" t="s">
        <v>376</v>
      </c>
      <c r="D63" s="15" t="s">
        <v>377</v>
      </c>
      <c r="E63" s="15" t="s">
        <v>378</v>
      </c>
      <c r="F63" s="15" t="s">
        <v>379</v>
      </c>
      <c r="G63" s="15" t="s">
        <v>380</v>
      </c>
      <c r="H63" s="16" t="s">
        <v>381</v>
      </c>
    </row>
    <row r="64" spans="1:8" ht="33.75" x14ac:dyDescent="0.3">
      <c r="A64" s="13" t="s">
        <v>382</v>
      </c>
      <c r="B64" s="14" t="s">
        <v>383</v>
      </c>
      <c r="C64" s="15" t="s">
        <v>384</v>
      </c>
      <c r="D64" s="15" t="s">
        <v>385</v>
      </c>
      <c r="E64" s="15" t="s">
        <v>386</v>
      </c>
      <c r="F64" s="15" t="s">
        <v>387</v>
      </c>
      <c r="G64" s="15" t="s">
        <v>388</v>
      </c>
      <c r="H64" s="16" t="s">
        <v>386</v>
      </c>
    </row>
    <row r="65" spans="1:8" ht="22.5" x14ac:dyDescent="0.3">
      <c r="A65" s="13" t="s">
        <v>389</v>
      </c>
      <c r="B65" s="14" t="s">
        <v>390</v>
      </c>
      <c r="C65" s="15" t="s">
        <v>391</v>
      </c>
      <c r="D65" s="15"/>
      <c r="E65" s="15" t="s">
        <v>392</v>
      </c>
      <c r="F65" s="15" t="s">
        <v>393</v>
      </c>
      <c r="G65" s="15" t="s">
        <v>394</v>
      </c>
      <c r="H65" s="16" t="s">
        <v>395</v>
      </c>
    </row>
    <row r="66" spans="1:8" ht="22.5" x14ac:dyDescent="0.3">
      <c r="A66" s="13">
        <v>20210</v>
      </c>
      <c r="B66" s="14" t="s">
        <v>396</v>
      </c>
      <c r="C66" s="15" t="s">
        <v>397</v>
      </c>
      <c r="D66" s="15" t="s">
        <v>398</v>
      </c>
      <c r="E66" s="15" t="s">
        <v>399</v>
      </c>
      <c r="F66" s="15" t="s">
        <v>400</v>
      </c>
      <c r="G66" s="15" t="s">
        <v>401</v>
      </c>
      <c r="H66" s="16" t="s">
        <v>396</v>
      </c>
    </row>
    <row r="67" spans="1:8" ht="22.5" x14ac:dyDescent="0.3">
      <c r="A67" s="13" t="s">
        <v>402</v>
      </c>
      <c r="B67" s="14" t="s">
        <v>403</v>
      </c>
      <c r="C67" s="15" t="s">
        <v>404</v>
      </c>
      <c r="D67" s="15" t="s">
        <v>405</v>
      </c>
      <c r="E67" s="15" t="s">
        <v>406</v>
      </c>
      <c r="F67" s="15" t="s">
        <v>407</v>
      </c>
      <c r="G67" s="15" t="s">
        <v>408</v>
      </c>
      <c r="H67" s="16" t="s">
        <v>406</v>
      </c>
    </row>
    <row r="68" spans="1:8" ht="33.75" x14ac:dyDescent="0.3">
      <c r="A68" s="13" t="s">
        <v>409</v>
      </c>
      <c r="B68" s="14" t="s">
        <v>410</v>
      </c>
      <c r="C68" s="15" t="s">
        <v>411</v>
      </c>
      <c r="D68" s="15" t="s">
        <v>412</v>
      </c>
      <c r="E68" s="15" t="s">
        <v>413</v>
      </c>
      <c r="F68" s="15" t="s">
        <v>414</v>
      </c>
      <c r="G68" s="15" t="s">
        <v>415</v>
      </c>
      <c r="H68" s="16" t="s">
        <v>413</v>
      </c>
    </row>
    <row r="69" spans="1:8" ht="45" x14ac:dyDescent="0.3">
      <c r="A69" s="13" t="s">
        <v>416</v>
      </c>
      <c r="B69" s="14" t="s">
        <v>417</v>
      </c>
      <c r="C69" s="15" t="s">
        <v>418</v>
      </c>
      <c r="D69" s="15" t="s">
        <v>419</v>
      </c>
      <c r="E69" s="15" t="s">
        <v>420</v>
      </c>
      <c r="F69" s="15" t="s">
        <v>421</v>
      </c>
      <c r="G69" s="15" t="s">
        <v>422</v>
      </c>
      <c r="H69" s="16" t="s">
        <v>57</v>
      </c>
    </row>
    <row r="70" spans="1:8" ht="22.5" x14ac:dyDescent="0.3">
      <c r="A70" s="13">
        <v>20211</v>
      </c>
      <c r="B70" s="14" t="s">
        <v>423</v>
      </c>
      <c r="C70" s="15" t="s">
        <v>424</v>
      </c>
      <c r="D70" s="15" t="s">
        <v>425</v>
      </c>
      <c r="E70" s="15" t="s">
        <v>426</v>
      </c>
      <c r="F70" s="15" t="s">
        <v>425</v>
      </c>
      <c r="G70" s="15" t="s">
        <v>425</v>
      </c>
      <c r="H70" s="16" t="s">
        <v>427</v>
      </c>
    </row>
    <row r="71" spans="1:8" ht="22.5" x14ac:dyDescent="0.3">
      <c r="A71" s="13" t="s">
        <v>428</v>
      </c>
      <c r="B71" s="14" t="s">
        <v>19725</v>
      </c>
      <c r="C71" s="15" t="s">
        <v>429</v>
      </c>
      <c r="D71" s="15" t="s">
        <v>430</v>
      </c>
      <c r="E71" s="15" t="s">
        <v>431</v>
      </c>
      <c r="F71" s="15" t="s">
        <v>432</v>
      </c>
      <c r="G71" s="15" t="s">
        <v>433</v>
      </c>
      <c r="H71" s="16" t="s">
        <v>434</v>
      </c>
    </row>
    <row r="72" spans="1:8" ht="45" x14ac:dyDescent="0.3">
      <c r="A72" s="13" t="s">
        <v>435</v>
      </c>
      <c r="B72" s="14" t="s">
        <v>19726</v>
      </c>
      <c r="C72" s="15" t="s">
        <v>436</v>
      </c>
      <c r="D72" s="15" t="s">
        <v>437</v>
      </c>
      <c r="E72" s="15" t="s">
        <v>438</v>
      </c>
      <c r="F72" s="15" t="s">
        <v>439</v>
      </c>
      <c r="G72" s="15" t="s">
        <v>440</v>
      </c>
      <c r="H72" s="16" t="s">
        <v>441</v>
      </c>
    </row>
    <row r="73" spans="1:8" ht="22.5" x14ac:dyDescent="0.3">
      <c r="A73" s="13">
        <v>20212</v>
      </c>
      <c r="B73" s="14" t="s">
        <v>442</v>
      </c>
      <c r="C73" s="15" t="s">
        <v>443</v>
      </c>
      <c r="D73" s="15" t="s">
        <v>444</v>
      </c>
      <c r="E73" s="15" t="s">
        <v>445</v>
      </c>
      <c r="F73" s="15" t="s">
        <v>446</v>
      </c>
      <c r="G73" s="15" t="s">
        <v>447</v>
      </c>
      <c r="H73" s="16" t="s">
        <v>448</v>
      </c>
    </row>
    <row r="74" spans="1:8" ht="33.75" x14ac:dyDescent="0.3">
      <c r="A74" s="13">
        <v>20213</v>
      </c>
      <c r="B74" s="14" t="s">
        <v>449</v>
      </c>
      <c r="C74" s="15" t="s">
        <v>450</v>
      </c>
      <c r="D74" s="15" t="s">
        <v>451</v>
      </c>
      <c r="E74" s="15" t="s">
        <v>452</v>
      </c>
      <c r="F74" s="15" t="s">
        <v>453</v>
      </c>
      <c r="G74" s="15" t="s">
        <v>454</v>
      </c>
      <c r="H74" s="16" t="s">
        <v>453</v>
      </c>
    </row>
    <row r="75" spans="1:8" ht="56.25" x14ac:dyDescent="0.3">
      <c r="A75" s="13">
        <v>20214</v>
      </c>
      <c r="B75" s="14" t="s">
        <v>455</v>
      </c>
      <c r="C75" s="15" t="s">
        <v>456</v>
      </c>
      <c r="D75" s="15" t="s">
        <v>457</v>
      </c>
      <c r="E75" s="15" t="s">
        <v>458</v>
      </c>
      <c r="F75" s="15" t="s">
        <v>459</v>
      </c>
      <c r="G75" s="15" t="s">
        <v>460</v>
      </c>
      <c r="H75" s="16" t="s">
        <v>461</v>
      </c>
    </row>
    <row r="76" spans="1:8" ht="67.5" x14ac:dyDescent="0.3">
      <c r="A76" s="13">
        <v>20215</v>
      </c>
      <c r="B76" s="14" t="s">
        <v>462</v>
      </c>
      <c r="C76" s="15" t="s">
        <v>463</v>
      </c>
      <c r="D76" s="15" t="s">
        <v>464</v>
      </c>
      <c r="E76" s="15" t="s">
        <v>465</v>
      </c>
      <c r="F76" s="15" t="s">
        <v>466</v>
      </c>
      <c r="G76" s="15" t="s">
        <v>467</v>
      </c>
      <c r="H76" s="16" t="s">
        <v>468</v>
      </c>
    </row>
    <row r="77" spans="1:8" ht="33.75" x14ac:dyDescent="0.3">
      <c r="A77" s="13">
        <v>20216</v>
      </c>
      <c r="B77" s="14" t="s">
        <v>469</v>
      </c>
      <c r="C77" s="15" t="s">
        <v>470</v>
      </c>
      <c r="D77" s="15" t="s">
        <v>471</v>
      </c>
      <c r="E77" s="15" t="s">
        <v>472</v>
      </c>
      <c r="F77" s="15" t="s">
        <v>473</v>
      </c>
      <c r="G77" s="15" t="s">
        <v>473</v>
      </c>
      <c r="H77" s="16" t="s">
        <v>474</v>
      </c>
    </row>
    <row r="78" spans="1:8" ht="22.5" x14ac:dyDescent="0.3">
      <c r="A78" s="13">
        <v>20217</v>
      </c>
      <c r="B78" s="14" t="s">
        <v>475</v>
      </c>
      <c r="C78" s="15" t="s">
        <v>476</v>
      </c>
      <c r="D78" s="15" t="s">
        <v>477</v>
      </c>
      <c r="E78" s="15" t="s">
        <v>478</v>
      </c>
      <c r="F78" s="15" t="s">
        <v>479</v>
      </c>
      <c r="G78" s="15" t="s">
        <v>480</v>
      </c>
      <c r="H78" s="16" t="s">
        <v>481</v>
      </c>
    </row>
    <row r="79" spans="1:8" ht="22.5" x14ac:dyDescent="0.3">
      <c r="A79" s="13">
        <v>20218</v>
      </c>
      <c r="B79" s="14" t="s">
        <v>482</v>
      </c>
      <c r="C79" s="15" t="s">
        <v>483</v>
      </c>
      <c r="D79" s="15" t="s">
        <v>482</v>
      </c>
      <c r="E79" s="15" t="s">
        <v>484</v>
      </c>
      <c r="F79" s="15" t="s">
        <v>485</v>
      </c>
      <c r="G79" s="15" t="s">
        <v>486</v>
      </c>
      <c r="H79" s="16" t="s">
        <v>487</v>
      </c>
    </row>
    <row r="80" spans="1:8" ht="22.5" x14ac:dyDescent="0.3">
      <c r="A80" s="13">
        <v>20219</v>
      </c>
      <c r="B80" s="14" t="s">
        <v>488</v>
      </c>
      <c r="C80" s="15" t="s">
        <v>489</v>
      </c>
      <c r="D80" s="15" t="s">
        <v>490</v>
      </c>
      <c r="E80" s="15" t="s">
        <v>491</v>
      </c>
      <c r="F80" s="15" t="s">
        <v>492</v>
      </c>
      <c r="G80" s="15" t="s">
        <v>493</v>
      </c>
      <c r="H80" s="16" t="s">
        <v>494</v>
      </c>
    </row>
    <row r="81" spans="1:8" ht="112.5" x14ac:dyDescent="0.3">
      <c r="A81" s="13">
        <v>20220</v>
      </c>
      <c r="B81" s="14" t="s">
        <v>495</v>
      </c>
      <c r="C81" s="15" t="s">
        <v>496</v>
      </c>
      <c r="D81" s="15" t="s">
        <v>497</v>
      </c>
      <c r="E81" s="15" t="s">
        <v>498</v>
      </c>
      <c r="F81" s="15" t="s">
        <v>499</v>
      </c>
      <c r="G81" s="15" t="s">
        <v>500</v>
      </c>
      <c r="H81" s="16" t="s">
        <v>495</v>
      </c>
    </row>
    <row r="82" spans="1:8" ht="33.75" x14ac:dyDescent="0.3">
      <c r="A82" s="13">
        <v>20221</v>
      </c>
      <c r="B82" s="14" t="s">
        <v>501</v>
      </c>
      <c r="C82" s="15" t="s">
        <v>502</v>
      </c>
      <c r="D82" s="15" t="s">
        <v>503</v>
      </c>
      <c r="E82" s="15" t="s">
        <v>504</v>
      </c>
      <c r="F82" s="15" t="s">
        <v>505</v>
      </c>
      <c r="G82" s="15" t="s">
        <v>506</v>
      </c>
      <c r="H82" s="16" t="s">
        <v>507</v>
      </c>
    </row>
    <row r="83" spans="1:8" ht="56.25" x14ac:dyDescent="0.3">
      <c r="A83" s="13" t="s">
        <v>508</v>
      </c>
      <c r="B83" s="14" t="s">
        <v>19725</v>
      </c>
      <c r="C83" s="15" t="s">
        <v>509</v>
      </c>
      <c r="D83" s="15" t="s">
        <v>510</v>
      </c>
      <c r="E83" s="15" t="s">
        <v>511</v>
      </c>
      <c r="F83" s="15" t="s">
        <v>512</v>
      </c>
      <c r="G83" s="15" t="s">
        <v>513</v>
      </c>
      <c r="H83" s="16" t="s">
        <v>514</v>
      </c>
    </row>
    <row r="84" spans="1:8" ht="67.5" x14ac:dyDescent="0.3">
      <c r="A84" s="13">
        <v>20222</v>
      </c>
      <c r="B84" s="14" t="s">
        <v>515</v>
      </c>
      <c r="C84" s="15" t="s">
        <v>516</v>
      </c>
      <c r="D84" s="15" t="s">
        <v>516</v>
      </c>
      <c r="E84" s="15" t="s">
        <v>516</v>
      </c>
      <c r="F84" s="15" t="s">
        <v>517</v>
      </c>
      <c r="G84" s="15" t="s">
        <v>518</v>
      </c>
      <c r="H84" s="16" t="s">
        <v>519</v>
      </c>
    </row>
    <row r="85" spans="1:8" ht="45" x14ac:dyDescent="0.3">
      <c r="A85" s="13">
        <v>20223</v>
      </c>
      <c r="B85" s="14" t="s">
        <v>520</v>
      </c>
      <c r="C85" s="15" t="s">
        <v>521</v>
      </c>
      <c r="D85" s="15" t="s">
        <v>522</v>
      </c>
      <c r="E85" s="15" t="s">
        <v>523</v>
      </c>
      <c r="F85" s="15" t="s">
        <v>524</v>
      </c>
      <c r="G85" s="15" t="s">
        <v>525</v>
      </c>
      <c r="H85" s="16" t="s">
        <v>526</v>
      </c>
    </row>
    <row r="86" spans="1:8" ht="78.75" x14ac:dyDescent="0.3">
      <c r="A86" s="13" t="s">
        <v>527</v>
      </c>
      <c r="B86" s="14" t="s">
        <v>19722</v>
      </c>
      <c r="C86" s="15" t="s">
        <v>528</v>
      </c>
      <c r="D86" s="15" t="s">
        <v>529</v>
      </c>
      <c r="E86" s="15" t="s">
        <v>530</v>
      </c>
      <c r="F86" s="15" t="s">
        <v>531</v>
      </c>
      <c r="G86" s="15" t="s">
        <v>532</v>
      </c>
      <c r="H86" s="16" t="s">
        <v>533</v>
      </c>
    </row>
    <row r="87" spans="1:8" ht="22.5" x14ac:dyDescent="0.3">
      <c r="A87" s="13">
        <v>20301</v>
      </c>
      <c r="B87" s="14" t="s">
        <v>534</v>
      </c>
      <c r="C87" s="15" t="s">
        <v>535</v>
      </c>
      <c r="D87" s="15" t="s">
        <v>536</v>
      </c>
      <c r="E87" s="15" t="s">
        <v>537</v>
      </c>
      <c r="F87" s="15" t="s">
        <v>538</v>
      </c>
      <c r="G87" s="15" t="s">
        <v>539</v>
      </c>
      <c r="H87" s="16" t="s">
        <v>540</v>
      </c>
    </row>
    <row r="88" spans="1:8" ht="22.5" x14ac:dyDescent="0.3">
      <c r="A88" s="13">
        <v>20302</v>
      </c>
      <c r="B88" s="14" t="s">
        <v>541</v>
      </c>
      <c r="C88" s="15" t="s">
        <v>542</v>
      </c>
      <c r="D88" s="15" t="s">
        <v>543</v>
      </c>
      <c r="E88" s="15" t="s">
        <v>544</v>
      </c>
      <c r="F88" s="15" t="s">
        <v>545</v>
      </c>
      <c r="G88" s="15" t="s">
        <v>546</v>
      </c>
      <c r="H88" s="16" t="s">
        <v>544</v>
      </c>
    </row>
    <row r="89" spans="1:8" ht="33.75" x14ac:dyDescent="0.3">
      <c r="A89" s="13">
        <v>20303</v>
      </c>
      <c r="B89" s="14" t="s">
        <v>547</v>
      </c>
      <c r="C89" s="15" t="s">
        <v>548</v>
      </c>
      <c r="D89" s="15" t="s">
        <v>549</v>
      </c>
      <c r="E89" s="15" t="s">
        <v>550</v>
      </c>
      <c r="F89" s="15" t="s">
        <v>551</v>
      </c>
      <c r="G89" s="15" t="s">
        <v>552</v>
      </c>
      <c r="H89" s="16" t="s">
        <v>553</v>
      </c>
    </row>
    <row r="90" spans="1:8" ht="33.75" x14ac:dyDescent="0.3">
      <c r="A90" s="13">
        <v>20304</v>
      </c>
      <c r="B90" s="14" t="s">
        <v>554</v>
      </c>
      <c r="C90" s="15" t="s">
        <v>555</v>
      </c>
      <c r="D90" s="15" t="s">
        <v>556</v>
      </c>
      <c r="E90" s="15" t="s">
        <v>557</v>
      </c>
      <c r="F90" s="15" t="s">
        <v>558</v>
      </c>
      <c r="G90" s="15" t="s">
        <v>559</v>
      </c>
      <c r="H90" s="16" t="s">
        <v>560</v>
      </c>
    </row>
    <row r="91" spans="1:8" x14ac:dyDescent="0.3">
      <c r="A91" s="13">
        <v>20305</v>
      </c>
      <c r="B91" s="14" t="s">
        <v>561</v>
      </c>
      <c r="C91" s="15" t="s">
        <v>562</v>
      </c>
      <c r="D91" s="15" t="s">
        <v>563</v>
      </c>
      <c r="E91" s="15" t="s">
        <v>564</v>
      </c>
      <c r="F91" s="15" t="s">
        <v>565</v>
      </c>
      <c r="G91" s="15" t="s">
        <v>566</v>
      </c>
      <c r="H91" s="16" t="s">
        <v>567</v>
      </c>
    </row>
    <row r="92" spans="1:8" ht="22.5" x14ac:dyDescent="0.3">
      <c r="A92" s="13">
        <v>20306</v>
      </c>
      <c r="B92" s="14" t="s">
        <v>568</v>
      </c>
      <c r="C92" s="15" t="s">
        <v>569</v>
      </c>
      <c r="D92" s="15" t="s">
        <v>570</v>
      </c>
      <c r="E92" s="15" t="s">
        <v>571</v>
      </c>
      <c r="F92" s="15" t="s">
        <v>572</v>
      </c>
      <c r="G92" s="15" t="s">
        <v>57</v>
      </c>
      <c r="H92" s="16" t="s">
        <v>573</v>
      </c>
    </row>
    <row r="93" spans="1:8" ht="45" x14ac:dyDescent="0.3">
      <c r="A93" s="13">
        <v>20307</v>
      </c>
      <c r="B93" s="14" t="s">
        <v>574</v>
      </c>
      <c r="C93" s="15" t="s">
        <v>575</v>
      </c>
      <c r="D93" s="15" t="s">
        <v>576</v>
      </c>
      <c r="E93" s="15" t="s">
        <v>577</v>
      </c>
      <c r="F93" s="15" t="s">
        <v>578</v>
      </c>
      <c r="G93" s="15" t="s">
        <v>579</v>
      </c>
      <c r="H93" s="16" t="s">
        <v>580</v>
      </c>
    </row>
    <row r="94" spans="1:8" ht="22.5" x14ac:dyDescent="0.3">
      <c r="A94" s="13">
        <v>20308</v>
      </c>
      <c r="B94" s="14" t="s">
        <v>581</v>
      </c>
      <c r="C94" s="15" t="s">
        <v>582</v>
      </c>
      <c r="D94" s="15" t="s">
        <v>583</v>
      </c>
      <c r="E94" s="15" t="s">
        <v>584</v>
      </c>
      <c r="F94" s="15" t="s">
        <v>585</v>
      </c>
      <c r="G94" s="15" t="s">
        <v>581</v>
      </c>
      <c r="H94" s="16" t="s">
        <v>581</v>
      </c>
    </row>
    <row r="95" spans="1:8" ht="33.75" x14ac:dyDescent="0.3">
      <c r="A95" s="13">
        <v>20309</v>
      </c>
      <c r="B95" s="14" t="s">
        <v>586</v>
      </c>
      <c r="C95" s="15" t="s">
        <v>587</v>
      </c>
      <c r="D95" s="15" t="s">
        <v>588</v>
      </c>
      <c r="E95" s="15" t="s">
        <v>589</v>
      </c>
      <c r="F95" s="15" t="s">
        <v>590</v>
      </c>
      <c r="G95" s="15" t="s">
        <v>591</v>
      </c>
      <c r="H95" s="16" t="s">
        <v>592</v>
      </c>
    </row>
    <row r="96" spans="1:8" x14ac:dyDescent="0.3">
      <c r="A96" s="13">
        <v>20310</v>
      </c>
      <c r="B96" s="14" t="s">
        <v>593</v>
      </c>
      <c r="C96" s="15" t="s">
        <v>594</v>
      </c>
      <c r="D96" s="15" t="s">
        <v>595</v>
      </c>
      <c r="E96" s="15" t="s">
        <v>596</v>
      </c>
      <c r="F96" s="15" t="s">
        <v>597</v>
      </c>
      <c r="G96" s="15" t="s">
        <v>598</v>
      </c>
      <c r="H96" s="16" t="s">
        <v>593</v>
      </c>
    </row>
    <row r="97" spans="1:8" ht="45" x14ac:dyDescent="0.3">
      <c r="A97" s="13">
        <v>20311</v>
      </c>
      <c r="B97" s="14" t="s">
        <v>599</v>
      </c>
      <c r="C97" s="15" t="s">
        <v>600</v>
      </c>
      <c r="D97" s="15" t="s">
        <v>601</v>
      </c>
      <c r="E97" s="15" t="s">
        <v>602</v>
      </c>
      <c r="F97" s="15" t="s">
        <v>603</v>
      </c>
      <c r="G97" s="15" t="s">
        <v>604</v>
      </c>
      <c r="H97" s="16" t="s">
        <v>605</v>
      </c>
    </row>
    <row r="98" spans="1:8" x14ac:dyDescent="0.3">
      <c r="A98" s="13">
        <v>20312</v>
      </c>
      <c r="B98" s="14" t="s">
        <v>606</v>
      </c>
      <c r="C98" s="15" t="s">
        <v>607</v>
      </c>
      <c r="D98" s="15" t="s">
        <v>608</v>
      </c>
      <c r="E98" s="15" t="s">
        <v>609</v>
      </c>
      <c r="F98" s="15" t="s">
        <v>610</v>
      </c>
      <c r="G98" s="15" t="s">
        <v>611</v>
      </c>
      <c r="H98" s="16" t="s">
        <v>612</v>
      </c>
    </row>
    <row r="99" spans="1:8" ht="33.75" x14ac:dyDescent="0.3">
      <c r="A99" s="13">
        <v>20313</v>
      </c>
      <c r="B99" s="14" t="s">
        <v>613</v>
      </c>
      <c r="C99" s="15" t="s">
        <v>614</v>
      </c>
      <c r="D99" s="15" t="s">
        <v>615</v>
      </c>
      <c r="E99" s="15" t="s">
        <v>616</v>
      </c>
      <c r="F99" s="15" t="s">
        <v>617</v>
      </c>
      <c r="G99" s="15" t="s">
        <v>618</v>
      </c>
      <c r="H99" s="16" t="s">
        <v>619</v>
      </c>
    </row>
    <row r="100" spans="1:8" ht="33.75" x14ac:dyDescent="0.3">
      <c r="A100" s="13">
        <v>20314</v>
      </c>
      <c r="B100" s="14" t="s">
        <v>620</v>
      </c>
      <c r="C100" s="15" t="s">
        <v>621</v>
      </c>
      <c r="D100" s="15" t="s">
        <v>622</v>
      </c>
      <c r="E100" s="15" t="s">
        <v>623</v>
      </c>
      <c r="F100" s="15" t="s">
        <v>624</v>
      </c>
      <c r="G100" s="15" t="s">
        <v>625</v>
      </c>
      <c r="H100" s="16" t="s">
        <v>626</v>
      </c>
    </row>
    <row r="101" spans="1:8" ht="56.25" x14ac:dyDescent="0.3">
      <c r="A101" s="13">
        <v>20315</v>
      </c>
      <c r="B101" s="14" t="s">
        <v>627</v>
      </c>
      <c r="C101" s="15" t="s">
        <v>628</v>
      </c>
      <c r="D101" s="15" t="s">
        <v>629</v>
      </c>
      <c r="E101" s="15" t="s">
        <v>630</v>
      </c>
      <c r="F101" s="15" t="s">
        <v>631</v>
      </c>
      <c r="G101" s="15" t="s">
        <v>632</v>
      </c>
      <c r="H101" s="16" t="s">
        <v>633</v>
      </c>
    </row>
    <row r="102" spans="1:8" ht="33.75" x14ac:dyDescent="0.3">
      <c r="A102" s="13">
        <v>20316</v>
      </c>
      <c r="B102" s="14" t="s">
        <v>634</v>
      </c>
      <c r="C102" s="15" t="s">
        <v>635</v>
      </c>
      <c r="D102" s="15" t="s">
        <v>636</v>
      </c>
      <c r="E102" s="15" t="s">
        <v>637</v>
      </c>
      <c r="F102" s="15" t="s">
        <v>638</v>
      </c>
      <c r="G102" s="15" t="s">
        <v>639</v>
      </c>
      <c r="H102" s="16" t="s">
        <v>640</v>
      </c>
    </row>
    <row r="103" spans="1:8" ht="90" x14ac:dyDescent="0.3">
      <c r="A103" s="13">
        <v>20401</v>
      </c>
      <c r="B103" s="14" t="s">
        <v>641</v>
      </c>
      <c r="C103" s="15" t="s">
        <v>642</v>
      </c>
      <c r="D103" s="15" t="s">
        <v>643</v>
      </c>
      <c r="E103" s="15" t="s">
        <v>644</v>
      </c>
      <c r="F103" s="15" t="s">
        <v>645</v>
      </c>
      <c r="G103" s="15" t="s">
        <v>646</v>
      </c>
      <c r="H103" s="16" t="s">
        <v>647</v>
      </c>
    </row>
    <row r="104" spans="1:8" x14ac:dyDescent="0.3">
      <c r="A104" s="13">
        <v>20402</v>
      </c>
      <c r="B104" s="14" t="s">
        <v>648</v>
      </c>
      <c r="C104" s="15" t="s">
        <v>649</v>
      </c>
      <c r="D104" s="15" t="s">
        <v>648</v>
      </c>
      <c r="E104" s="15" t="s">
        <v>650</v>
      </c>
      <c r="F104" s="15" t="s">
        <v>651</v>
      </c>
      <c r="G104" s="15" t="s">
        <v>652</v>
      </c>
      <c r="H104" s="16" t="s">
        <v>648</v>
      </c>
    </row>
    <row r="105" spans="1:8" x14ac:dyDescent="0.3">
      <c r="A105" s="13">
        <v>20403</v>
      </c>
      <c r="B105" s="14" t="s">
        <v>653</v>
      </c>
      <c r="C105" s="15" t="s">
        <v>654</v>
      </c>
      <c r="D105" s="15" t="s">
        <v>653</v>
      </c>
      <c r="E105" s="15" t="s">
        <v>655</v>
      </c>
      <c r="F105" s="15" t="s">
        <v>656</v>
      </c>
      <c r="G105" s="15" t="s">
        <v>657</v>
      </c>
      <c r="H105" s="16" t="s">
        <v>653</v>
      </c>
    </row>
    <row r="106" spans="1:8" ht="22.5" x14ac:dyDescent="0.3">
      <c r="A106" s="13">
        <v>20404</v>
      </c>
      <c r="B106" s="14" t="s">
        <v>658</v>
      </c>
      <c r="C106" s="15" t="s">
        <v>659</v>
      </c>
      <c r="D106" s="15" t="s">
        <v>660</v>
      </c>
      <c r="E106" s="15" t="s">
        <v>661</v>
      </c>
      <c r="F106" s="15" t="s">
        <v>662</v>
      </c>
      <c r="G106" s="15" t="s">
        <v>658</v>
      </c>
      <c r="H106" s="16" t="s">
        <v>663</v>
      </c>
    </row>
    <row r="107" spans="1:8" ht="22.5" x14ac:dyDescent="0.3">
      <c r="A107" s="13">
        <v>20405</v>
      </c>
      <c r="B107" s="14" t="s">
        <v>664</v>
      </c>
      <c r="C107" s="15" t="s">
        <v>665</v>
      </c>
      <c r="D107" s="15" t="s">
        <v>666</v>
      </c>
      <c r="E107" s="15" t="s">
        <v>667</v>
      </c>
      <c r="F107" s="15" t="s">
        <v>668</v>
      </c>
      <c r="G107" s="15" t="s">
        <v>669</v>
      </c>
      <c r="H107" s="16" t="s">
        <v>669</v>
      </c>
    </row>
    <row r="108" spans="1:8" x14ac:dyDescent="0.3">
      <c r="A108" s="13">
        <v>20406</v>
      </c>
      <c r="B108" s="14" t="s">
        <v>670</v>
      </c>
      <c r="C108" s="15" t="s">
        <v>671</v>
      </c>
      <c r="D108" s="15" t="s">
        <v>670</v>
      </c>
      <c r="E108" s="15" t="s">
        <v>672</v>
      </c>
      <c r="F108" s="15" t="s">
        <v>673</v>
      </c>
      <c r="G108" s="15" t="s">
        <v>674</v>
      </c>
      <c r="H108" s="16" t="s">
        <v>670</v>
      </c>
    </row>
    <row r="109" spans="1:8" ht="22.5" x14ac:dyDescent="0.3">
      <c r="A109" s="13">
        <v>20407</v>
      </c>
      <c r="B109" s="14" t="s">
        <v>675</v>
      </c>
      <c r="C109" s="15" t="s">
        <v>676</v>
      </c>
      <c r="D109" s="15" t="s">
        <v>675</v>
      </c>
      <c r="E109" s="15" t="s">
        <v>677</v>
      </c>
      <c r="F109" s="15" t="s">
        <v>678</v>
      </c>
      <c r="G109" s="15" t="s">
        <v>679</v>
      </c>
      <c r="H109" s="16" t="s">
        <v>675</v>
      </c>
    </row>
    <row r="110" spans="1:8" ht="22.5" x14ac:dyDescent="0.3">
      <c r="A110" s="13">
        <v>20408</v>
      </c>
      <c r="B110" s="14" t="s">
        <v>680</v>
      </c>
      <c r="C110" s="15" t="s">
        <v>681</v>
      </c>
      <c r="D110" s="15" t="s">
        <v>682</v>
      </c>
      <c r="E110" s="15" t="s">
        <v>680</v>
      </c>
      <c r="F110" s="15" t="s">
        <v>683</v>
      </c>
      <c r="G110" s="15" t="s">
        <v>684</v>
      </c>
      <c r="H110" s="16" t="s">
        <v>685</v>
      </c>
    </row>
    <row r="111" spans="1:8" ht="56.25" x14ac:dyDescent="0.3">
      <c r="A111" s="13">
        <v>20409</v>
      </c>
      <c r="B111" s="14" t="s">
        <v>686</v>
      </c>
      <c r="C111" s="15" t="s">
        <v>687</v>
      </c>
      <c r="D111" s="15" t="s">
        <v>688</v>
      </c>
      <c r="E111" s="15" t="s">
        <v>689</v>
      </c>
      <c r="F111" s="15" t="s">
        <v>690</v>
      </c>
      <c r="G111" s="15" t="s">
        <v>691</v>
      </c>
      <c r="H111" s="16" t="s">
        <v>692</v>
      </c>
    </row>
    <row r="112" spans="1:8" x14ac:dyDescent="0.3">
      <c r="A112" s="13">
        <v>20410</v>
      </c>
      <c r="B112" s="14" t="s">
        <v>693</v>
      </c>
      <c r="C112" s="15" t="s">
        <v>694</v>
      </c>
      <c r="D112" s="15" t="s">
        <v>693</v>
      </c>
      <c r="E112" s="15" t="s">
        <v>695</v>
      </c>
      <c r="F112" s="15" t="s">
        <v>696</v>
      </c>
      <c r="G112" s="15" t="s">
        <v>697</v>
      </c>
      <c r="H112" s="16" t="s">
        <v>693</v>
      </c>
    </row>
    <row r="113" spans="1:8" ht="33.75" x14ac:dyDescent="0.3">
      <c r="A113" s="13">
        <v>20411</v>
      </c>
      <c r="B113" s="14" t="s">
        <v>698</v>
      </c>
      <c r="C113" s="15" t="s">
        <v>699</v>
      </c>
      <c r="D113" s="15" t="s">
        <v>700</v>
      </c>
      <c r="E113" s="15" t="s">
        <v>698</v>
      </c>
      <c r="F113" s="15" t="s">
        <v>701</v>
      </c>
      <c r="G113" s="15" t="s">
        <v>702</v>
      </c>
      <c r="H113" s="16" t="s">
        <v>703</v>
      </c>
    </row>
    <row r="114" spans="1:8" ht="45" x14ac:dyDescent="0.3">
      <c r="A114" s="13" t="s">
        <v>704</v>
      </c>
      <c r="B114" s="14" t="s">
        <v>705</v>
      </c>
      <c r="C114" s="15" t="s">
        <v>706</v>
      </c>
      <c r="D114" s="15" t="s">
        <v>707</v>
      </c>
      <c r="E114" s="15" t="s">
        <v>708</v>
      </c>
      <c r="F114" s="15"/>
      <c r="G114" s="15" t="s">
        <v>709</v>
      </c>
      <c r="H114" s="16" t="s">
        <v>710</v>
      </c>
    </row>
    <row r="115" spans="1:8" ht="33.75" x14ac:dyDescent="0.3">
      <c r="A115" s="13" t="s">
        <v>711</v>
      </c>
      <c r="B115" s="14" t="s">
        <v>712</v>
      </c>
      <c r="C115" s="15" t="s">
        <v>713</v>
      </c>
      <c r="D115" s="15" t="s">
        <v>714</v>
      </c>
      <c r="E115" s="15"/>
      <c r="F115" s="15" t="s">
        <v>715</v>
      </c>
      <c r="G115" s="15" t="s">
        <v>716</v>
      </c>
      <c r="H115" s="16" t="s">
        <v>717</v>
      </c>
    </row>
    <row r="116" spans="1:8" ht="22.5" x14ac:dyDescent="0.3">
      <c r="A116" s="13" t="s">
        <v>718</v>
      </c>
      <c r="B116" s="14" t="s">
        <v>719</v>
      </c>
      <c r="C116" s="15" t="s">
        <v>720</v>
      </c>
      <c r="D116" s="15" t="s">
        <v>721</v>
      </c>
      <c r="E116" s="15" t="s">
        <v>719</v>
      </c>
      <c r="F116" s="15" t="s">
        <v>719</v>
      </c>
      <c r="G116" s="15" t="s">
        <v>722</v>
      </c>
      <c r="H116" s="16" t="s">
        <v>723</v>
      </c>
    </row>
    <row r="117" spans="1:8" ht="22.5" x14ac:dyDescent="0.3">
      <c r="A117" s="13" t="s">
        <v>724</v>
      </c>
      <c r="B117" s="14" t="s">
        <v>725</v>
      </c>
      <c r="C117" s="15" t="s">
        <v>726</v>
      </c>
      <c r="D117" s="15" t="s">
        <v>727</v>
      </c>
      <c r="E117" s="15" t="s">
        <v>725</v>
      </c>
      <c r="F117" s="15" t="s">
        <v>725</v>
      </c>
      <c r="G117" s="15" t="s">
        <v>728</v>
      </c>
      <c r="H117" s="16" t="s">
        <v>729</v>
      </c>
    </row>
    <row r="118" spans="1:8" ht="22.5" x14ac:dyDescent="0.3">
      <c r="A118" s="13">
        <v>20412</v>
      </c>
      <c r="B118" s="14" t="s">
        <v>730</v>
      </c>
      <c r="C118" s="15" t="s">
        <v>731</v>
      </c>
      <c r="D118" s="15" t="s">
        <v>732</v>
      </c>
      <c r="E118" s="15" t="s">
        <v>733</v>
      </c>
      <c r="F118" s="15" t="s">
        <v>734</v>
      </c>
      <c r="G118" s="15" t="s">
        <v>735</v>
      </c>
      <c r="H118" s="16" t="s">
        <v>736</v>
      </c>
    </row>
    <row r="119" spans="1:8" ht="67.5" x14ac:dyDescent="0.3">
      <c r="A119" s="13">
        <v>20413</v>
      </c>
      <c r="B119" s="14" t="s">
        <v>737</v>
      </c>
      <c r="C119" s="15" t="s">
        <v>738</v>
      </c>
      <c r="D119" s="15" t="s">
        <v>739</v>
      </c>
      <c r="E119" s="15" t="s">
        <v>740</v>
      </c>
      <c r="F119" s="15" t="s">
        <v>741</v>
      </c>
      <c r="G119" s="15" t="s">
        <v>742</v>
      </c>
      <c r="H119" s="16" t="s">
        <v>743</v>
      </c>
    </row>
    <row r="120" spans="1:8" ht="22.5" x14ac:dyDescent="0.3">
      <c r="A120" s="13" t="s">
        <v>744</v>
      </c>
      <c r="B120" s="14" t="s">
        <v>745</v>
      </c>
      <c r="C120" s="15"/>
      <c r="D120" s="15" t="s">
        <v>746</v>
      </c>
      <c r="E120" s="15" t="s">
        <v>747</v>
      </c>
      <c r="F120" s="15" t="s">
        <v>748</v>
      </c>
      <c r="G120" s="15" t="s">
        <v>749</v>
      </c>
      <c r="H120" s="16" t="s">
        <v>747</v>
      </c>
    </row>
    <row r="121" spans="1:8" ht="22.5" x14ac:dyDescent="0.3">
      <c r="A121" s="13" t="s">
        <v>750</v>
      </c>
      <c r="B121" s="14" t="s">
        <v>751</v>
      </c>
      <c r="C121" s="15"/>
      <c r="D121" s="15" t="s">
        <v>752</v>
      </c>
      <c r="E121" s="15" t="s">
        <v>753</v>
      </c>
      <c r="F121" s="15" t="s">
        <v>754</v>
      </c>
      <c r="G121" s="15" t="s">
        <v>755</v>
      </c>
      <c r="H121" s="16" t="s">
        <v>753</v>
      </c>
    </row>
    <row r="122" spans="1:8" ht="22.5" x14ac:dyDescent="0.3">
      <c r="A122" s="13">
        <v>20414</v>
      </c>
      <c r="B122" s="14" t="s">
        <v>756</v>
      </c>
      <c r="C122" s="15" t="s">
        <v>757</v>
      </c>
      <c r="D122" s="15" t="s">
        <v>758</v>
      </c>
      <c r="E122" s="15" t="s">
        <v>759</v>
      </c>
      <c r="F122" s="15" t="s">
        <v>760</v>
      </c>
      <c r="G122" s="15" t="s">
        <v>761</v>
      </c>
      <c r="H122" s="16" t="s">
        <v>759</v>
      </c>
    </row>
    <row r="123" spans="1:8" x14ac:dyDescent="0.3">
      <c r="A123" s="13">
        <v>20415</v>
      </c>
      <c r="B123" s="14" t="s">
        <v>762</v>
      </c>
      <c r="C123" s="15" t="s">
        <v>763</v>
      </c>
      <c r="D123" s="15" t="s">
        <v>764</v>
      </c>
      <c r="E123" s="15" t="s">
        <v>764</v>
      </c>
      <c r="F123" s="15" t="s">
        <v>765</v>
      </c>
      <c r="G123" s="15" t="s">
        <v>766</v>
      </c>
      <c r="H123" s="16" t="s">
        <v>764</v>
      </c>
    </row>
    <row r="124" spans="1:8" ht="22.5" x14ac:dyDescent="0.3">
      <c r="A124" s="13">
        <v>20416</v>
      </c>
      <c r="B124" s="14" t="s">
        <v>767</v>
      </c>
      <c r="C124" s="15" t="s">
        <v>767</v>
      </c>
      <c r="D124" s="15" t="s">
        <v>768</v>
      </c>
      <c r="E124" s="15" t="s">
        <v>769</v>
      </c>
      <c r="F124" s="15" t="s">
        <v>770</v>
      </c>
      <c r="G124" s="15" t="s">
        <v>767</v>
      </c>
      <c r="H124" s="16" t="s">
        <v>771</v>
      </c>
    </row>
    <row r="125" spans="1:8" x14ac:dyDescent="0.3">
      <c r="A125" s="13">
        <v>20417</v>
      </c>
      <c r="B125" s="14" t="s">
        <v>772</v>
      </c>
      <c r="C125" s="15" t="s">
        <v>773</v>
      </c>
      <c r="D125" s="15" t="s">
        <v>774</v>
      </c>
      <c r="E125" s="15" t="s">
        <v>775</v>
      </c>
      <c r="F125" s="15" t="s">
        <v>776</v>
      </c>
      <c r="G125" s="15" t="s">
        <v>777</v>
      </c>
      <c r="H125" s="16" t="s">
        <v>775</v>
      </c>
    </row>
    <row r="126" spans="1:8" ht="22.5" x14ac:dyDescent="0.3">
      <c r="A126" s="13">
        <v>20418</v>
      </c>
      <c r="B126" s="14" t="s">
        <v>778</v>
      </c>
      <c r="C126" s="15" t="s">
        <v>779</v>
      </c>
      <c r="D126" s="15" t="s">
        <v>778</v>
      </c>
      <c r="E126" s="15" t="s">
        <v>780</v>
      </c>
      <c r="F126" s="15" t="s">
        <v>781</v>
      </c>
      <c r="G126" s="15" t="s">
        <v>782</v>
      </c>
      <c r="H126" s="16" t="s">
        <v>783</v>
      </c>
    </row>
    <row r="127" spans="1:8" ht="45" x14ac:dyDescent="0.3">
      <c r="A127" s="13">
        <v>20419</v>
      </c>
      <c r="B127" s="14" t="s">
        <v>784</v>
      </c>
      <c r="C127" s="15" t="s">
        <v>785</v>
      </c>
      <c r="D127" s="15" t="s">
        <v>786</v>
      </c>
      <c r="E127" s="15" t="s">
        <v>787</v>
      </c>
      <c r="F127" s="15" t="s">
        <v>788</v>
      </c>
      <c r="G127" s="15" t="s">
        <v>789</v>
      </c>
      <c r="H127" s="16" t="s">
        <v>790</v>
      </c>
    </row>
    <row r="128" spans="1:8" ht="22.5" x14ac:dyDescent="0.3">
      <c r="A128" s="13">
        <v>20420</v>
      </c>
      <c r="B128" s="14" t="s">
        <v>791</v>
      </c>
      <c r="C128" s="15" t="s">
        <v>792</v>
      </c>
      <c r="D128" s="15" t="s">
        <v>793</v>
      </c>
      <c r="E128" s="15" t="s">
        <v>794</v>
      </c>
      <c r="F128" s="15" t="s">
        <v>795</v>
      </c>
      <c r="G128" s="15" t="s">
        <v>796</v>
      </c>
      <c r="H128" s="16" t="s">
        <v>797</v>
      </c>
    </row>
    <row r="129" spans="1:8" ht="90" x14ac:dyDescent="0.3">
      <c r="A129" s="13">
        <v>20421</v>
      </c>
      <c r="B129" s="14" t="s">
        <v>798</v>
      </c>
      <c r="C129" s="15" t="s">
        <v>799</v>
      </c>
      <c r="D129" s="15" t="s">
        <v>800</v>
      </c>
      <c r="E129" s="15" t="s">
        <v>801</v>
      </c>
      <c r="F129" s="15" t="s">
        <v>802</v>
      </c>
      <c r="G129" s="15" t="s">
        <v>803</v>
      </c>
      <c r="H129" s="16" t="s">
        <v>804</v>
      </c>
    </row>
    <row r="130" spans="1:8" ht="22.5" x14ac:dyDescent="0.3">
      <c r="A130" s="13">
        <v>20422</v>
      </c>
      <c r="B130" s="14" t="s">
        <v>805</v>
      </c>
      <c r="C130" s="15" t="s">
        <v>806</v>
      </c>
      <c r="D130" s="15" t="s">
        <v>807</v>
      </c>
      <c r="E130" s="15" t="s">
        <v>808</v>
      </c>
      <c r="F130" s="15"/>
      <c r="G130" s="15" t="s">
        <v>809</v>
      </c>
      <c r="H130" s="16" t="s">
        <v>805</v>
      </c>
    </row>
    <row r="131" spans="1:8" x14ac:dyDescent="0.3">
      <c r="A131" s="13">
        <v>20423</v>
      </c>
      <c r="B131" s="14" t="s">
        <v>810</v>
      </c>
      <c r="C131" s="15" t="s">
        <v>811</v>
      </c>
      <c r="D131" s="15" t="s">
        <v>810</v>
      </c>
      <c r="E131" s="15" t="s">
        <v>812</v>
      </c>
      <c r="F131" s="15" t="s">
        <v>810</v>
      </c>
      <c r="G131" s="15" t="s">
        <v>812</v>
      </c>
      <c r="H131" s="16" t="s">
        <v>810</v>
      </c>
    </row>
    <row r="132" spans="1:8" ht="22.5" x14ac:dyDescent="0.3">
      <c r="A132" s="13">
        <v>20424</v>
      </c>
      <c r="B132" s="14" t="s">
        <v>813</v>
      </c>
      <c r="C132" s="15" t="s">
        <v>814</v>
      </c>
      <c r="D132" s="15"/>
      <c r="E132" s="15" t="s">
        <v>813</v>
      </c>
      <c r="F132" s="15" t="s">
        <v>815</v>
      </c>
      <c r="G132" s="15" t="s">
        <v>813</v>
      </c>
      <c r="H132" s="16" t="s">
        <v>816</v>
      </c>
    </row>
    <row r="133" spans="1:8" ht="22.5" x14ac:dyDescent="0.3">
      <c r="A133" s="13" t="s">
        <v>817</v>
      </c>
      <c r="B133" s="14" t="s">
        <v>818</v>
      </c>
      <c r="C133" s="15" t="s">
        <v>819</v>
      </c>
      <c r="D133" s="15" t="s">
        <v>820</v>
      </c>
      <c r="E133" s="15" t="s">
        <v>821</v>
      </c>
      <c r="F133" s="15" t="s">
        <v>822</v>
      </c>
      <c r="G133" s="15" t="s">
        <v>823</v>
      </c>
      <c r="H133" s="16" t="s">
        <v>824</v>
      </c>
    </row>
    <row r="134" spans="1:8" ht="22.5" x14ac:dyDescent="0.3">
      <c r="A134" s="13" t="s">
        <v>825</v>
      </c>
      <c r="B134" s="14" t="s">
        <v>826</v>
      </c>
      <c r="C134" s="15" t="s">
        <v>827</v>
      </c>
      <c r="D134" s="15" t="s">
        <v>828</v>
      </c>
      <c r="E134" s="15" t="s">
        <v>829</v>
      </c>
      <c r="F134" s="15" t="s">
        <v>830</v>
      </c>
      <c r="G134" s="15" t="s">
        <v>826</v>
      </c>
      <c r="H134" s="16" t="s">
        <v>829</v>
      </c>
    </row>
    <row r="135" spans="1:8" ht="56.25" x14ac:dyDescent="0.3">
      <c r="A135" s="13">
        <v>20425</v>
      </c>
      <c r="B135" s="14" t="s">
        <v>831</v>
      </c>
      <c r="C135" s="15" t="s">
        <v>832</v>
      </c>
      <c r="D135" s="15" t="s">
        <v>833</v>
      </c>
      <c r="E135" s="15" t="s">
        <v>834</v>
      </c>
      <c r="F135" s="15" t="s">
        <v>835</v>
      </c>
      <c r="G135" s="15" t="s">
        <v>836</v>
      </c>
      <c r="H135" s="16" t="s">
        <v>837</v>
      </c>
    </row>
    <row r="136" spans="1:8" ht="33.75" x14ac:dyDescent="0.3">
      <c r="A136" s="13">
        <v>20501</v>
      </c>
      <c r="B136" s="14" t="s">
        <v>838</v>
      </c>
      <c r="C136" s="15" t="s">
        <v>839</v>
      </c>
      <c r="D136" s="15" t="s">
        <v>840</v>
      </c>
      <c r="E136" s="15" t="s">
        <v>841</v>
      </c>
      <c r="F136" s="15" t="s">
        <v>842</v>
      </c>
      <c r="G136" s="15" t="s">
        <v>843</v>
      </c>
      <c r="H136" s="16" t="s">
        <v>844</v>
      </c>
    </row>
    <row r="137" spans="1:8" ht="33.75" x14ac:dyDescent="0.3">
      <c r="A137" s="13">
        <v>20502</v>
      </c>
      <c r="B137" s="14" t="s">
        <v>845</v>
      </c>
      <c r="C137" s="15" t="s">
        <v>846</v>
      </c>
      <c r="D137" s="15" t="s">
        <v>845</v>
      </c>
      <c r="E137" s="15" t="s">
        <v>847</v>
      </c>
      <c r="F137" s="15" t="s">
        <v>845</v>
      </c>
      <c r="G137" s="15" t="s">
        <v>848</v>
      </c>
      <c r="H137" s="16" t="s">
        <v>849</v>
      </c>
    </row>
    <row r="138" spans="1:8" ht="33.75" x14ac:dyDescent="0.3">
      <c r="A138" s="13" t="s">
        <v>850</v>
      </c>
      <c r="B138" s="14" t="s">
        <v>851</v>
      </c>
      <c r="C138" s="15" t="s">
        <v>57</v>
      </c>
      <c r="D138" s="15"/>
      <c r="E138" s="15" t="s">
        <v>57</v>
      </c>
      <c r="F138" s="15" t="s">
        <v>852</v>
      </c>
      <c r="G138" s="15" t="s">
        <v>853</v>
      </c>
      <c r="H138" s="16" t="s">
        <v>57</v>
      </c>
    </row>
    <row r="139" spans="1:8" ht="22.5" x14ac:dyDescent="0.3">
      <c r="A139" s="13" t="s">
        <v>854</v>
      </c>
      <c r="B139" s="14" t="s">
        <v>855</v>
      </c>
      <c r="C139" s="15" t="s">
        <v>57</v>
      </c>
      <c r="D139" s="15"/>
      <c r="E139" s="15" t="s">
        <v>57</v>
      </c>
      <c r="F139" s="15" t="s">
        <v>57</v>
      </c>
      <c r="G139" s="15" t="s">
        <v>856</v>
      </c>
      <c r="H139" s="16" t="s">
        <v>57</v>
      </c>
    </row>
    <row r="140" spans="1:8" ht="22.5" x14ac:dyDescent="0.3">
      <c r="A140" s="13" t="s">
        <v>857</v>
      </c>
      <c r="B140" s="14" t="s">
        <v>858</v>
      </c>
      <c r="C140" s="15" t="s">
        <v>57</v>
      </c>
      <c r="D140" s="15"/>
      <c r="E140" s="15" t="s">
        <v>57</v>
      </c>
      <c r="F140" s="15" t="s">
        <v>57</v>
      </c>
      <c r="G140" s="15" t="s">
        <v>859</v>
      </c>
      <c r="H140" s="16" t="s">
        <v>57</v>
      </c>
    </row>
    <row r="141" spans="1:8" ht="22.5" x14ac:dyDescent="0.3">
      <c r="A141" s="13" t="s">
        <v>860</v>
      </c>
      <c r="B141" s="14" t="s">
        <v>861</v>
      </c>
      <c r="C141" s="15" t="s">
        <v>57</v>
      </c>
      <c r="D141" s="15"/>
      <c r="E141" s="15" t="s">
        <v>57</v>
      </c>
      <c r="F141" s="15" t="s">
        <v>57</v>
      </c>
      <c r="G141" s="15" t="s">
        <v>57</v>
      </c>
      <c r="H141" s="16" t="s">
        <v>862</v>
      </c>
    </row>
    <row r="142" spans="1:8" ht="22.5" x14ac:dyDescent="0.3">
      <c r="A142" s="13" t="s">
        <v>863</v>
      </c>
      <c r="B142" s="14" t="s">
        <v>864</v>
      </c>
      <c r="C142" s="15" t="s">
        <v>865</v>
      </c>
      <c r="D142" s="15"/>
      <c r="E142" s="15" t="s">
        <v>57</v>
      </c>
      <c r="F142" s="15" t="s">
        <v>866</v>
      </c>
      <c r="G142" s="15" t="s">
        <v>867</v>
      </c>
      <c r="H142" s="16" t="s">
        <v>868</v>
      </c>
    </row>
    <row r="143" spans="1:8" ht="22.5" x14ac:dyDescent="0.3">
      <c r="A143" s="13" t="s">
        <v>869</v>
      </c>
      <c r="B143" s="14" t="s">
        <v>870</v>
      </c>
      <c r="C143" s="15" t="s">
        <v>871</v>
      </c>
      <c r="D143" s="15"/>
      <c r="E143" s="15" t="s">
        <v>57</v>
      </c>
      <c r="F143" s="15" t="s">
        <v>57</v>
      </c>
      <c r="G143" s="15" t="s">
        <v>872</v>
      </c>
      <c r="H143" s="16" t="s">
        <v>873</v>
      </c>
    </row>
    <row r="144" spans="1:8" ht="22.5" x14ac:dyDescent="0.3">
      <c r="A144" s="13">
        <v>20503</v>
      </c>
      <c r="B144" s="14" t="s">
        <v>874</v>
      </c>
      <c r="C144" s="15" t="s">
        <v>57</v>
      </c>
      <c r="D144" s="15" t="s">
        <v>875</v>
      </c>
      <c r="E144" s="15" t="s">
        <v>876</v>
      </c>
      <c r="F144" s="15" t="s">
        <v>877</v>
      </c>
      <c r="G144" s="15" t="s">
        <v>878</v>
      </c>
      <c r="H144" s="16" t="s">
        <v>879</v>
      </c>
    </row>
    <row r="145" spans="1:8" ht="33.75" x14ac:dyDescent="0.3">
      <c r="A145" s="13">
        <v>20504</v>
      </c>
      <c r="B145" s="14" t="s">
        <v>880</v>
      </c>
      <c r="C145" s="15" t="s">
        <v>881</v>
      </c>
      <c r="D145" s="15" t="s">
        <v>882</v>
      </c>
      <c r="E145" s="15" t="s">
        <v>883</v>
      </c>
      <c r="F145" s="15" t="s">
        <v>884</v>
      </c>
      <c r="G145" s="15" t="s">
        <v>885</v>
      </c>
      <c r="H145" s="16" t="s">
        <v>886</v>
      </c>
    </row>
    <row r="146" spans="1:8" ht="22.5" x14ac:dyDescent="0.3">
      <c r="A146" s="13">
        <v>20505</v>
      </c>
      <c r="B146" s="14" t="s">
        <v>887</v>
      </c>
      <c r="C146" s="15" t="s">
        <v>888</v>
      </c>
      <c r="D146" s="15" t="s">
        <v>889</v>
      </c>
      <c r="E146" s="15" t="s">
        <v>887</v>
      </c>
      <c r="F146" s="15" t="s">
        <v>890</v>
      </c>
      <c r="G146" s="15" t="s">
        <v>891</v>
      </c>
      <c r="H146" s="16" t="s">
        <v>887</v>
      </c>
    </row>
    <row r="147" spans="1:8" ht="33.75" x14ac:dyDescent="0.3">
      <c r="A147" s="13">
        <v>20506</v>
      </c>
      <c r="B147" s="14" t="s">
        <v>892</v>
      </c>
      <c r="C147" s="15" t="s">
        <v>893</v>
      </c>
      <c r="D147" s="15" t="s">
        <v>894</v>
      </c>
      <c r="E147" s="15" t="s">
        <v>895</v>
      </c>
      <c r="F147" s="15" t="s">
        <v>896</v>
      </c>
      <c r="G147" s="15" t="s">
        <v>897</v>
      </c>
      <c r="H147" s="16" t="s">
        <v>896</v>
      </c>
    </row>
    <row r="148" spans="1:8" ht="56.25" x14ac:dyDescent="0.3">
      <c r="A148" s="13">
        <v>20507</v>
      </c>
      <c r="B148" s="14" t="s">
        <v>898</v>
      </c>
      <c r="C148" s="15" t="s">
        <v>899</v>
      </c>
      <c r="D148" s="15" t="s">
        <v>900</v>
      </c>
      <c r="E148" s="15" t="s">
        <v>901</v>
      </c>
      <c r="F148" s="15" t="s">
        <v>902</v>
      </c>
      <c r="G148" s="15" t="s">
        <v>903</v>
      </c>
      <c r="H148" s="16" t="s">
        <v>904</v>
      </c>
    </row>
    <row r="149" spans="1:8" ht="45" x14ac:dyDescent="0.3">
      <c r="A149" s="13">
        <v>20508</v>
      </c>
      <c r="B149" s="14" t="s">
        <v>905</v>
      </c>
      <c r="C149" s="15" t="s">
        <v>906</v>
      </c>
      <c r="D149" s="15" t="s">
        <v>907</v>
      </c>
      <c r="E149" s="15" t="s">
        <v>908</v>
      </c>
      <c r="F149" s="15" t="s">
        <v>909</v>
      </c>
      <c r="G149" s="15" t="s">
        <v>910</v>
      </c>
      <c r="H149" s="16" t="s">
        <v>911</v>
      </c>
    </row>
    <row r="150" spans="1:8" ht="67.5" x14ac:dyDescent="0.3">
      <c r="A150" s="13">
        <v>20509</v>
      </c>
      <c r="B150" s="14" t="s">
        <v>912</v>
      </c>
      <c r="C150" s="15" t="s">
        <v>913</v>
      </c>
      <c r="D150" s="15" t="s">
        <v>914</v>
      </c>
      <c r="E150" s="15" t="s">
        <v>915</v>
      </c>
      <c r="F150" s="15" t="s">
        <v>916</v>
      </c>
      <c r="G150" s="15" t="s">
        <v>917</v>
      </c>
      <c r="H150" s="16" t="s">
        <v>918</v>
      </c>
    </row>
    <row r="151" spans="1:8" ht="22.5" x14ac:dyDescent="0.3">
      <c r="A151" s="13">
        <v>20510</v>
      </c>
      <c r="B151" s="14" t="s">
        <v>919</v>
      </c>
      <c r="C151" s="15" t="s">
        <v>920</v>
      </c>
      <c r="D151" s="15" t="s">
        <v>921</v>
      </c>
      <c r="E151" s="15" t="s">
        <v>922</v>
      </c>
      <c r="F151" s="15" t="s">
        <v>923</v>
      </c>
      <c r="G151" s="15" t="s">
        <v>924</v>
      </c>
      <c r="H151" s="16" t="s">
        <v>925</v>
      </c>
    </row>
    <row r="152" spans="1:8" ht="33.75" x14ac:dyDescent="0.3">
      <c r="A152" s="13">
        <v>20511</v>
      </c>
      <c r="B152" s="14" t="s">
        <v>926</v>
      </c>
      <c r="C152" s="15"/>
      <c r="D152" s="15" t="s">
        <v>927</v>
      </c>
      <c r="E152" s="15" t="s">
        <v>928</v>
      </c>
      <c r="F152" s="15" t="s">
        <v>929</v>
      </c>
      <c r="G152" s="15" t="s">
        <v>930</v>
      </c>
      <c r="H152" s="16" t="s">
        <v>931</v>
      </c>
    </row>
    <row r="153" spans="1:8" ht="33.75" x14ac:dyDescent="0.3">
      <c r="A153" s="13">
        <v>20512</v>
      </c>
      <c r="B153" s="14" t="s">
        <v>932</v>
      </c>
      <c r="C153" s="15" t="s">
        <v>933</v>
      </c>
      <c r="D153" s="15" t="s">
        <v>934</v>
      </c>
      <c r="E153" s="15" t="s">
        <v>935</v>
      </c>
      <c r="F153" s="15" t="s">
        <v>936</v>
      </c>
      <c r="G153" s="15" t="s">
        <v>937</v>
      </c>
      <c r="H153" s="16" t="s">
        <v>938</v>
      </c>
    </row>
    <row r="154" spans="1:8" ht="33.75" x14ac:dyDescent="0.3">
      <c r="A154" s="13">
        <v>20513</v>
      </c>
      <c r="B154" s="14" t="s">
        <v>939</v>
      </c>
      <c r="C154" s="15" t="s">
        <v>940</v>
      </c>
      <c r="D154" s="15" t="s">
        <v>941</v>
      </c>
      <c r="E154" s="15" t="s">
        <v>942</v>
      </c>
      <c r="F154" s="15" t="s">
        <v>943</v>
      </c>
      <c r="G154" s="15" t="s">
        <v>944</v>
      </c>
      <c r="H154" s="16" t="s">
        <v>945</v>
      </c>
    </row>
    <row r="155" spans="1:8" ht="22.5" x14ac:dyDescent="0.3">
      <c r="A155" s="13">
        <v>20514</v>
      </c>
      <c r="B155" s="14" t="s">
        <v>946</v>
      </c>
      <c r="C155" s="15" t="s">
        <v>947</v>
      </c>
      <c r="D155" s="15" t="s">
        <v>946</v>
      </c>
      <c r="E155" s="15" t="s">
        <v>948</v>
      </c>
      <c r="F155" s="15" t="s">
        <v>946</v>
      </c>
      <c r="G155" s="15" t="s">
        <v>949</v>
      </c>
      <c r="H155" s="16" t="s">
        <v>950</v>
      </c>
    </row>
    <row r="156" spans="1:8" ht="22.5" x14ac:dyDescent="0.3">
      <c r="A156" s="13">
        <v>20515</v>
      </c>
      <c r="B156" s="14" t="s">
        <v>951</v>
      </c>
      <c r="C156" s="15" t="s">
        <v>952</v>
      </c>
      <c r="D156" s="15" t="s">
        <v>951</v>
      </c>
      <c r="E156" s="15" t="s">
        <v>953</v>
      </c>
      <c r="F156" s="15" t="s">
        <v>954</v>
      </c>
      <c r="G156" s="15" t="s">
        <v>955</v>
      </c>
      <c r="H156" s="16" t="s">
        <v>956</v>
      </c>
    </row>
    <row r="157" spans="1:8" ht="22.5" x14ac:dyDescent="0.3">
      <c r="A157" s="13">
        <v>20516</v>
      </c>
      <c r="B157" s="14" t="s">
        <v>957</v>
      </c>
      <c r="C157" s="15" t="s">
        <v>958</v>
      </c>
      <c r="D157" s="15" t="s">
        <v>959</v>
      </c>
      <c r="E157" s="15" t="s">
        <v>960</v>
      </c>
      <c r="F157" s="15" t="s">
        <v>961</v>
      </c>
      <c r="G157" s="15" t="s">
        <v>962</v>
      </c>
      <c r="H157" s="16" t="s">
        <v>963</v>
      </c>
    </row>
    <row r="158" spans="1:8" x14ac:dyDescent="0.3">
      <c r="A158" s="13">
        <v>20517</v>
      </c>
      <c r="B158" s="14" t="s">
        <v>964</v>
      </c>
      <c r="C158" s="15" t="s">
        <v>965</v>
      </c>
      <c r="D158" s="15" t="s">
        <v>966</v>
      </c>
      <c r="E158" s="15" t="s">
        <v>967</v>
      </c>
      <c r="F158" s="15" t="s">
        <v>964</v>
      </c>
      <c r="G158" s="15" t="s">
        <v>968</v>
      </c>
      <c r="H158" s="16" t="s">
        <v>964</v>
      </c>
    </row>
    <row r="159" spans="1:8" ht="33.75" x14ac:dyDescent="0.3">
      <c r="A159" s="13">
        <v>20518</v>
      </c>
      <c r="B159" s="14" t="s">
        <v>969</v>
      </c>
      <c r="C159" s="15" t="s">
        <v>970</v>
      </c>
      <c r="D159" s="15" t="s">
        <v>971</v>
      </c>
      <c r="E159" s="15" t="s">
        <v>972</v>
      </c>
      <c r="F159" s="15" t="s">
        <v>973</v>
      </c>
      <c r="G159" s="15" t="s">
        <v>974</v>
      </c>
      <c r="H159" s="16" t="s">
        <v>975</v>
      </c>
    </row>
    <row r="160" spans="1:8" ht="22.5" x14ac:dyDescent="0.3">
      <c r="A160" s="13">
        <v>20519</v>
      </c>
      <c r="B160" s="14" t="s">
        <v>976</v>
      </c>
      <c r="C160" s="15" t="s">
        <v>977</v>
      </c>
      <c r="D160" s="15" t="s">
        <v>978</v>
      </c>
      <c r="E160" s="15" t="s">
        <v>979</v>
      </c>
      <c r="F160" s="15" t="s">
        <v>976</v>
      </c>
      <c r="G160" s="15" t="s">
        <v>980</v>
      </c>
      <c r="H160" s="16" t="s">
        <v>976</v>
      </c>
    </row>
    <row r="161" spans="1:8" ht="67.5" x14ac:dyDescent="0.3">
      <c r="A161" s="13">
        <v>20520</v>
      </c>
      <c r="B161" s="14" t="s">
        <v>981</v>
      </c>
      <c r="C161" s="15" t="s">
        <v>982</v>
      </c>
      <c r="D161" s="15" t="s">
        <v>981</v>
      </c>
      <c r="E161" s="15" t="s">
        <v>983</v>
      </c>
      <c r="F161" s="15" t="s">
        <v>984</v>
      </c>
      <c r="G161" s="15" t="s">
        <v>985</v>
      </c>
      <c r="H161" s="16" t="s">
        <v>986</v>
      </c>
    </row>
    <row r="162" spans="1:8" ht="22.5" x14ac:dyDescent="0.3">
      <c r="A162" s="13">
        <v>20521</v>
      </c>
      <c r="B162" s="14" t="s">
        <v>987</v>
      </c>
      <c r="C162" s="15" t="s">
        <v>57</v>
      </c>
      <c r="D162" s="15" t="s">
        <v>987</v>
      </c>
      <c r="E162" s="15" t="s">
        <v>57</v>
      </c>
      <c r="F162" s="15" t="s">
        <v>57</v>
      </c>
      <c r="G162" s="15" t="s">
        <v>988</v>
      </c>
      <c r="H162" s="16" t="s">
        <v>57</v>
      </c>
    </row>
    <row r="163" spans="1:8" ht="22.5" x14ac:dyDescent="0.3">
      <c r="A163" s="13">
        <v>20522</v>
      </c>
      <c r="B163" s="14" t="s">
        <v>989</v>
      </c>
      <c r="C163" s="15" t="s">
        <v>990</v>
      </c>
      <c r="D163" s="15" t="s">
        <v>991</v>
      </c>
      <c r="E163" s="15" t="s">
        <v>992</v>
      </c>
      <c r="F163" s="15" t="s">
        <v>993</v>
      </c>
      <c r="G163" s="15" t="s">
        <v>994</v>
      </c>
      <c r="H163" s="16" t="s">
        <v>995</v>
      </c>
    </row>
    <row r="164" spans="1:8" ht="33.75" x14ac:dyDescent="0.3">
      <c r="A164" s="13">
        <v>20523</v>
      </c>
      <c r="B164" s="14" t="s">
        <v>996</v>
      </c>
      <c r="C164" s="15" t="s">
        <v>997</v>
      </c>
      <c r="D164" s="15" t="s">
        <v>998</v>
      </c>
      <c r="E164" s="15" t="s">
        <v>999</v>
      </c>
      <c r="F164" s="15" t="s">
        <v>1000</v>
      </c>
      <c r="G164" s="15" t="s">
        <v>1001</v>
      </c>
      <c r="H164" s="16" t="s">
        <v>1002</v>
      </c>
    </row>
    <row r="165" spans="1:8" ht="45" x14ac:dyDescent="0.3">
      <c r="A165" s="13">
        <v>20524</v>
      </c>
      <c r="B165" s="14" t="s">
        <v>1003</v>
      </c>
      <c r="C165" s="15" t="s">
        <v>1004</v>
      </c>
      <c r="D165" s="15" t="s">
        <v>1005</v>
      </c>
      <c r="E165" s="15" t="s">
        <v>1006</v>
      </c>
      <c r="F165" s="15" t="s">
        <v>1003</v>
      </c>
      <c r="G165" s="15" t="s">
        <v>1007</v>
      </c>
      <c r="H165" s="16" t="s">
        <v>1003</v>
      </c>
    </row>
    <row r="166" spans="1:8" ht="33.75" x14ac:dyDescent="0.3">
      <c r="A166" s="13">
        <v>20525</v>
      </c>
      <c r="B166" s="14" t="s">
        <v>1008</v>
      </c>
      <c r="C166" s="15" t="s">
        <v>1009</v>
      </c>
      <c r="D166" s="15" t="s">
        <v>1010</v>
      </c>
      <c r="E166" s="15" t="s">
        <v>1008</v>
      </c>
      <c r="F166" s="15" t="s">
        <v>1011</v>
      </c>
      <c r="G166" s="15" t="s">
        <v>1012</v>
      </c>
      <c r="H166" s="16" t="s">
        <v>1013</v>
      </c>
    </row>
    <row r="167" spans="1:8" ht="22.5" x14ac:dyDescent="0.3">
      <c r="A167" s="13">
        <v>20526</v>
      </c>
      <c r="B167" s="14" t="s">
        <v>1014</v>
      </c>
      <c r="C167" s="15" t="s">
        <v>1015</v>
      </c>
      <c r="D167" s="15" t="s">
        <v>1016</v>
      </c>
      <c r="E167" s="15" t="s">
        <v>1017</v>
      </c>
      <c r="F167" s="15" t="s">
        <v>1018</v>
      </c>
      <c r="G167" s="15" t="s">
        <v>1019</v>
      </c>
      <c r="H167" s="16" t="s">
        <v>1020</v>
      </c>
    </row>
    <row r="168" spans="1:8" ht="22.5" x14ac:dyDescent="0.3">
      <c r="A168" s="13">
        <v>20527</v>
      </c>
      <c r="B168" s="14" t="s">
        <v>1021</v>
      </c>
      <c r="C168" s="15" t="s">
        <v>1022</v>
      </c>
      <c r="D168" s="15" t="s">
        <v>1023</v>
      </c>
      <c r="E168" s="15" t="s">
        <v>1024</v>
      </c>
      <c r="F168" s="15" t="s">
        <v>1025</v>
      </c>
      <c r="G168" s="15" t="s">
        <v>1026</v>
      </c>
      <c r="H168" s="16" t="s">
        <v>1025</v>
      </c>
    </row>
    <row r="169" spans="1:8" ht="33.75" x14ac:dyDescent="0.3">
      <c r="A169" s="13">
        <v>20528</v>
      </c>
      <c r="B169" s="14" t="s">
        <v>1027</v>
      </c>
      <c r="C169" s="15" t="s">
        <v>1028</v>
      </c>
      <c r="D169" s="15" t="s">
        <v>1029</v>
      </c>
      <c r="E169" s="15" t="s">
        <v>1030</v>
      </c>
      <c r="F169" s="15" t="s">
        <v>1031</v>
      </c>
      <c r="G169" s="15" t="s">
        <v>1032</v>
      </c>
      <c r="H169" s="16" t="s">
        <v>1033</v>
      </c>
    </row>
    <row r="170" spans="1:8" x14ac:dyDescent="0.3">
      <c r="A170" s="13">
        <v>20529</v>
      </c>
      <c r="B170" s="14" t="s">
        <v>1034</v>
      </c>
      <c r="C170" s="15" t="s">
        <v>1035</v>
      </c>
      <c r="D170" s="15" t="s">
        <v>1034</v>
      </c>
      <c r="E170" s="15" t="s">
        <v>1034</v>
      </c>
      <c r="F170" s="15" t="s">
        <v>1034</v>
      </c>
      <c r="G170" s="15" t="s">
        <v>1036</v>
      </c>
      <c r="H170" s="16" t="s">
        <v>1034</v>
      </c>
    </row>
    <row r="171" spans="1:8" ht="33.75" x14ac:dyDescent="0.3">
      <c r="A171" s="13">
        <v>20530</v>
      </c>
      <c r="B171" s="14" t="s">
        <v>1037</v>
      </c>
      <c r="C171" s="15" t="s">
        <v>1038</v>
      </c>
      <c r="D171" s="15" t="s">
        <v>1039</v>
      </c>
      <c r="E171" s="15" t="s">
        <v>1040</v>
      </c>
      <c r="F171" s="15" t="s">
        <v>1041</v>
      </c>
      <c r="G171" s="15" t="s">
        <v>1042</v>
      </c>
      <c r="H171" s="16" t="s">
        <v>1043</v>
      </c>
    </row>
    <row r="172" spans="1:8" x14ac:dyDescent="0.3">
      <c r="A172" s="13">
        <v>20531</v>
      </c>
      <c r="B172" s="14" t="s">
        <v>1044</v>
      </c>
      <c r="C172" s="15" t="s">
        <v>1045</v>
      </c>
      <c r="D172" s="15" t="s">
        <v>1046</v>
      </c>
      <c r="E172" s="15" t="s">
        <v>1047</v>
      </c>
      <c r="F172" s="15" t="s">
        <v>1048</v>
      </c>
      <c r="G172" s="15" t="s">
        <v>1049</v>
      </c>
      <c r="H172" s="16" t="s">
        <v>1044</v>
      </c>
    </row>
    <row r="173" spans="1:8" ht="22.5" x14ac:dyDescent="0.3">
      <c r="A173" s="13">
        <v>20532</v>
      </c>
      <c r="B173" s="14" t="s">
        <v>1050</v>
      </c>
      <c r="C173" s="15" t="s">
        <v>1051</v>
      </c>
      <c r="D173" s="15" t="s">
        <v>1050</v>
      </c>
      <c r="E173" s="15" t="s">
        <v>1052</v>
      </c>
      <c r="F173" s="15" t="s">
        <v>1050</v>
      </c>
      <c r="G173" s="15" t="s">
        <v>1053</v>
      </c>
      <c r="H173" s="16" t="s">
        <v>1050</v>
      </c>
    </row>
    <row r="174" spans="1:8" ht="22.5" x14ac:dyDescent="0.3">
      <c r="A174" s="13">
        <v>20533</v>
      </c>
      <c r="B174" s="14" t="s">
        <v>1054</v>
      </c>
      <c r="C174" s="15" t="s">
        <v>1055</v>
      </c>
      <c r="D174" s="15" t="s">
        <v>1054</v>
      </c>
      <c r="E174" s="15" t="s">
        <v>1056</v>
      </c>
      <c r="F174" s="15" t="s">
        <v>1057</v>
      </c>
      <c r="G174" s="15" t="s">
        <v>1058</v>
      </c>
      <c r="H174" s="16" t="s">
        <v>1059</v>
      </c>
    </row>
    <row r="175" spans="1:8" ht="67.5" x14ac:dyDescent="0.3">
      <c r="A175" s="13">
        <v>20601</v>
      </c>
      <c r="B175" s="14" t="s">
        <v>1060</v>
      </c>
      <c r="C175" s="15" t="s">
        <v>1061</v>
      </c>
      <c r="D175" s="15" t="s">
        <v>1062</v>
      </c>
      <c r="E175" s="15" t="s">
        <v>1063</v>
      </c>
      <c r="F175" s="15" t="s">
        <v>1064</v>
      </c>
      <c r="G175" s="15" t="s">
        <v>1065</v>
      </c>
      <c r="H175" s="16" t="s">
        <v>1066</v>
      </c>
    </row>
    <row r="176" spans="1:8" ht="22.5" x14ac:dyDescent="0.3">
      <c r="A176" s="13">
        <v>20602</v>
      </c>
      <c r="B176" s="14" t="s">
        <v>1067</v>
      </c>
      <c r="C176" s="15" t="s">
        <v>1068</v>
      </c>
      <c r="D176" s="15" t="s">
        <v>1069</v>
      </c>
      <c r="E176" s="15" t="s">
        <v>1070</v>
      </c>
      <c r="F176" s="15" t="s">
        <v>1071</v>
      </c>
      <c r="G176" s="15" t="s">
        <v>1072</v>
      </c>
      <c r="H176" s="16" t="s">
        <v>1067</v>
      </c>
    </row>
    <row r="177" spans="1:8" ht="22.5" x14ac:dyDescent="0.3">
      <c r="A177" s="13" t="s">
        <v>1073</v>
      </c>
      <c r="B177" s="14" t="s">
        <v>1074</v>
      </c>
      <c r="C177" s="15" t="s">
        <v>1075</v>
      </c>
      <c r="D177" s="15" t="s">
        <v>1076</v>
      </c>
      <c r="E177" s="15" t="s">
        <v>1077</v>
      </c>
      <c r="F177" s="15" t="s">
        <v>1078</v>
      </c>
      <c r="G177" s="15" t="s">
        <v>1079</v>
      </c>
      <c r="H177" s="16" t="s">
        <v>1080</v>
      </c>
    </row>
    <row r="178" spans="1:8" ht="22.5" x14ac:dyDescent="0.3">
      <c r="A178" s="13">
        <v>20603</v>
      </c>
      <c r="B178" s="14" t="s">
        <v>1081</v>
      </c>
      <c r="C178" s="15" t="s">
        <v>1082</v>
      </c>
      <c r="D178" s="15" t="s">
        <v>1081</v>
      </c>
      <c r="E178" s="15" t="s">
        <v>1083</v>
      </c>
      <c r="F178" s="15" t="s">
        <v>1084</v>
      </c>
      <c r="G178" s="15" t="s">
        <v>1081</v>
      </c>
      <c r="H178" s="16" t="s">
        <v>1085</v>
      </c>
    </row>
    <row r="179" spans="1:8" ht="56.25" x14ac:dyDescent="0.3">
      <c r="A179" s="13">
        <v>20604</v>
      </c>
      <c r="B179" s="14" t="s">
        <v>1086</v>
      </c>
      <c r="C179" s="15" t="s">
        <v>1087</v>
      </c>
      <c r="D179" s="15" t="s">
        <v>1088</v>
      </c>
      <c r="E179" s="15" t="s">
        <v>1089</v>
      </c>
      <c r="F179" s="15" t="s">
        <v>1086</v>
      </c>
      <c r="G179" s="15" t="s">
        <v>1090</v>
      </c>
      <c r="H179" s="16" t="s">
        <v>1091</v>
      </c>
    </row>
    <row r="180" spans="1:8" ht="33.75" x14ac:dyDescent="0.3">
      <c r="A180" s="13">
        <v>20605</v>
      </c>
      <c r="B180" s="14" t="s">
        <v>1092</v>
      </c>
      <c r="C180" s="15" t="s">
        <v>1093</v>
      </c>
      <c r="D180" s="15" t="s">
        <v>1094</v>
      </c>
      <c r="E180" s="15" t="s">
        <v>1095</v>
      </c>
      <c r="F180" s="15" t="s">
        <v>1096</v>
      </c>
      <c r="G180" s="15" t="s">
        <v>1097</v>
      </c>
      <c r="H180" s="16" t="s">
        <v>1098</v>
      </c>
    </row>
    <row r="181" spans="1:8" ht="22.5" x14ac:dyDescent="0.3">
      <c r="A181" s="13">
        <v>20606</v>
      </c>
      <c r="B181" s="14" t="s">
        <v>1099</v>
      </c>
      <c r="C181" s="15" t="s">
        <v>1100</v>
      </c>
      <c r="D181" s="15" t="s">
        <v>1101</v>
      </c>
      <c r="E181" s="15" t="s">
        <v>1102</v>
      </c>
      <c r="F181" s="15" t="s">
        <v>1103</v>
      </c>
      <c r="G181" s="15" t="s">
        <v>1104</v>
      </c>
      <c r="H181" s="16" t="s">
        <v>1105</v>
      </c>
    </row>
    <row r="182" spans="1:8" ht="22.5" x14ac:dyDescent="0.3">
      <c r="A182" s="13">
        <v>20607</v>
      </c>
      <c r="B182" s="14" t="s">
        <v>1106</v>
      </c>
      <c r="C182" s="15" t="s">
        <v>1107</v>
      </c>
      <c r="D182" s="15" t="s">
        <v>1108</v>
      </c>
      <c r="E182" s="15" t="s">
        <v>1109</v>
      </c>
      <c r="F182" s="15" t="s">
        <v>1110</v>
      </c>
      <c r="G182" s="15" t="s">
        <v>1111</v>
      </c>
      <c r="H182" s="16" t="s">
        <v>1112</v>
      </c>
    </row>
    <row r="183" spans="1:8" ht="22.5" x14ac:dyDescent="0.3">
      <c r="A183" s="13">
        <v>20608</v>
      </c>
      <c r="B183" s="14" t="s">
        <v>1113</v>
      </c>
      <c r="C183" s="15" t="s">
        <v>1114</v>
      </c>
      <c r="D183" s="15" t="s">
        <v>1115</v>
      </c>
      <c r="E183" s="15" t="s">
        <v>1116</v>
      </c>
      <c r="F183" s="15" t="s">
        <v>1117</v>
      </c>
      <c r="G183" s="15" t="s">
        <v>1118</v>
      </c>
      <c r="H183" s="16" t="s">
        <v>1119</v>
      </c>
    </row>
    <row r="184" spans="1:8" ht="56.25" x14ac:dyDescent="0.3">
      <c r="A184" s="13">
        <v>20609</v>
      </c>
      <c r="B184" s="14" t="s">
        <v>1120</v>
      </c>
      <c r="C184" s="15" t="s">
        <v>1121</v>
      </c>
      <c r="D184" s="15" t="s">
        <v>1122</v>
      </c>
      <c r="E184" s="15" t="s">
        <v>1123</v>
      </c>
      <c r="F184" s="15" t="s">
        <v>1124</v>
      </c>
      <c r="G184" s="15" t="s">
        <v>1125</v>
      </c>
      <c r="H184" s="16" t="s">
        <v>1126</v>
      </c>
    </row>
    <row r="185" spans="1:8" ht="45" x14ac:dyDescent="0.3">
      <c r="A185" s="13">
        <v>20610</v>
      </c>
      <c r="B185" s="14" t="s">
        <v>1127</v>
      </c>
      <c r="C185" s="15" t="s">
        <v>1128</v>
      </c>
      <c r="D185" s="15" t="s">
        <v>1129</v>
      </c>
      <c r="E185" s="15" t="s">
        <v>1130</v>
      </c>
      <c r="F185" s="15" t="s">
        <v>1131</v>
      </c>
      <c r="G185" s="15" t="s">
        <v>1132</v>
      </c>
      <c r="H185" s="16" t="s">
        <v>1133</v>
      </c>
    </row>
    <row r="186" spans="1:8" ht="22.5" x14ac:dyDescent="0.3">
      <c r="A186" s="13">
        <v>20611</v>
      </c>
      <c r="B186" s="14" t="s">
        <v>1134</v>
      </c>
      <c r="C186" s="15" t="s">
        <v>1135</v>
      </c>
      <c r="D186" s="15" t="s">
        <v>1136</v>
      </c>
      <c r="E186" s="15" t="s">
        <v>1137</v>
      </c>
      <c r="F186" s="15" t="s">
        <v>1138</v>
      </c>
      <c r="G186" s="15" t="s">
        <v>1139</v>
      </c>
      <c r="H186" s="16" t="s">
        <v>1140</v>
      </c>
    </row>
    <row r="187" spans="1:8" x14ac:dyDescent="0.3">
      <c r="A187" s="13">
        <v>20612</v>
      </c>
      <c r="B187" s="14" t="s">
        <v>1141</v>
      </c>
      <c r="C187" s="15" t="s">
        <v>1142</v>
      </c>
      <c r="D187" s="15" t="s">
        <v>1143</v>
      </c>
      <c r="E187" s="15" t="s">
        <v>1144</v>
      </c>
      <c r="F187" s="15" t="s">
        <v>1145</v>
      </c>
      <c r="G187" s="15" t="s">
        <v>1146</v>
      </c>
      <c r="H187" s="16" t="s">
        <v>1147</v>
      </c>
    </row>
    <row r="188" spans="1:8" ht="33.75" x14ac:dyDescent="0.3">
      <c r="A188" s="13" t="s">
        <v>1148</v>
      </c>
      <c r="B188" s="14" t="s">
        <v>1149</v>
      </c>
      <c r="C188" s="15" t="s">
        <v>1150</v>
      </c>
      <c r="D188" s="15" t="s">
        <v>1151</v>
      </c>
      <c r="E188" s="15" t="s">
        <v>1152</v>
      </c>
      <c r="F188" s="15" t="s">
        <v>1153</v>
      </c>
      <c r="G188" s="15" t="s">
        <v>1154</v>
      </c>
      <c r="H188" s="16" t="s">
        <v>1155</v>
      </c>
    </row>
    <row r="189" spans="1:8" ht="22.5" x14ac:dyDescent="0.3">
      <c r="A189" s="13">
        <v>20613</v>
      </c>
      <c r="B189" s="14" t="s">
        <v>1156</v>
      </c>
      <c r="C189" s="15" t="s">
        <v>1157</v>
      </c>
      <c r="D189" s="15" t="s">
        <v>1158</v>
      </c>
      <c r="E189" s="15" t="s">
        <v>1159</v>
      </c>
      <c r="F189" s="15" t="s">
        <v>1160</v>
      </c>
      <c r="G189" s="15" t="s">
        <v>1161</v>
      </c>
      <c r="H189" s="16" t="s">
        <v>1162</v>
      </c>
    </row>
    <row r="190" spans="1:8" ht="22.5" x14ac:dyDescent="0.3">
      <c r="A190" s="13" t="s">
        <v>1163</v>
      </c>
      <c r="B190" s="14" t="s">
        <v>1164</v>
      </c>
      <c r="C190" s="15" t="s">
        <v>1165</v>
      </c>
      <c r="D190" s="15" t="s">
        <v>1166</v>
      </c>
      <c r="E190" s="15" t="s">
        <v>1167</v>
      </c>
      <c r="F190" s="15" t="s">
        <v>1168</v>
      </c>
      <c r="G190" s="15" t="s">
        <v>1169</v>
      </c>
      <c r="H190" s="16" t="s">
        <v>1167</v>
      </c>
    </row>
    <row r="191" spans="1:8" ht="22.5" x14ac:dyDescent="0.3">
      <c r="A191" s="13">
        <v>20614</v>
      </c>
      <c r="B191" s="14" t="s">
        <v>1170</v>
      </c>
      <c r="C191" s="15" t="s">
        <v>1171</v>
      </c>
      <c r="D191" s="15" t="s">
        <v>1172</v>
      </c>
      <c r="E191" s="15" t="s">
        <v>1173</v>
      </c>
      <c r="F191" s="15" t="s">
        <v>1174</v>
      </c>
      <c r="G191" s="15" t="s">
        <v>1175</v>
      </c>
      <c r="H191" s="16" t="s">
        <v>1176</v>
      </c>
    </row>
    <row r="192" spans="1:8" ht="56.25" x14ac:dyDescent="0.3">
      <c r="A192" s="13">
        <v>20615</v>
      </c>
      <c r="B192" s="14" t="s">
        <v>1177</v>
      </c>
      <c r="C192" s="15" t="s">
        <v>57</v>
      </c>
      <c r="D192" s="15" t="s">
        <v>1177</v>
      </c>
      <c r="E192" s="15" t="s">
        <v>57</v>
      </c>
      <c r="F192" s="15" t="s">
        <v>1178</v>
      </c>
      <c r="G192" s="15" t="s">
        <v>1179</v>
      </c>
      <c r="H192" s="16" t="s">
        <v>1180</v>
      </c>
    </row>
    <row r="193" spans="1:8" ht="22.5" x14ac:dyDescent="0.3">
      <c r="A193" s="13">
        <v>20616</v>
      </c>
      <c r="B193" s="14" t="s">
        <v>1181</v>
      </c>
      <c r="C193" s="15" t="s">
        <v>1182</v>
      </c>
      <c r="D193" s="15" t="s">
        <v>1183</v>
      </c>
      <c r="E193" s="15" t="s">
        <v>1184</v>
      </c>
      <c r="F193" s="15" t="s">
        <v>1185</v>
      </c>
      <c r="G193" s="15" t="s">
        <v>1186</v>
      </c>
      <c r="H193" s="16"/>
    </row>
    <row r="194" spans="1:8" ht="33.75" x14ac:dyDescent="0.3">
      <c r="A194" s="13">
        <v>20617</v>
      </c>
      <c r="B194" s="14" t="s">
        <v>1187</v>
      </c>
      <c r="C194" s="15" t="s">
        <v>1188</v>
      </c>
      <c r="D194" s="15" t="s">
        <v>1189</v>
      </c>
      <c r="E194" s="15" t="s">
        <v>1190</v>
      </c>
      <c r="F194" s="15" t="s">
        <v>1191</v>
      </c>
      <c r="G194" s="15" t="s">
        <v>1192</v>
      </c>
      <c r="H194" s="16" t="s">
        <v>1193</v>
      </c>
    </row>
    <row r="195" spans="1:8" x14ac:dyDescent="0.3">
      <c r="A195" s="13">
        <v>20618</v>
      </c>
      <c r="B195" s="14" t="s">
        <v>1194</v>
      </c>
      <c r="C195" s="15" t="s">
        <v>1195</v>
      </c>
      <c r="D195" s="15" t="s">
        <v>1194</v>
      </c>
      <c r="E195" s="15" t="s">
        <v>1194</v>
      </c>
      <c r="F195" s="15" t="s">
        <v>1196</v>
      </c>
      <c r="G195" s="15" t="s">
        <v>1197</v>
      </c>
      <c r="H195" s="16" t="s">
        <v>1198</v>
      </c>
    </row>
    <row r="196" spans="1:8" ht="33.75" x14ac:dyDescent="0.3">
      <c r="A196" s="13">
        <v>20619</v>
      </c>
      <c r="B196" s="14" t="s">
        <v>1199</v>
      </c>
      <c r="C196" s="15" t="s">
        <v>1200</v>
      </c>
      <c r="D196" s="15" t="s">
        <v>1201</v>
      </c>
      <c r="E196" s="15" t="s">
        <v>1202</v>
      </c>
      <c r="F196" s="15" t="s">
        <v>1203</v>
      </c>
      <c r="G196" s="15" t="s">
        <v>1204</v>
      </c>
      <c r="H196" s="16" t="s">
        <v>1205</v>
      </c>
    </row>
    <row r="197" spans="1:8" ht="22.5" x14ac:dyDescent="0.3">
      <c r="A197" s="13">
        <v>20620</v>
      </c>
      <c r="B197" s="14" t="s">
        <v>1206</v>
      </c>
      <c r="C197" s="15" t="s">
        <v>1207</v>
      </c>
      <c r="D197" s="15" t="s">
        <v>1208</v>
      </c>
      <c r="E197" s="15" t="s">
        <v>1209</v>
      </c>
      <c r="F197" s="15" t="s">
        <v>1210</v>
      </c>
      <c r="G197" s="15" t="s">
        <v>1211</v>
      </c>
      <c r="H197" s="16" t="s">
        <v>1212</v>
      </c>
    </row>
    <row r="198" spans="1:8" ht="45" x14ac:dyDescent="0.3">
      <c r="A198" s="13" t="s">
        <v>1213</v>
      </c>
      <c r="B198" s="14" t="s">
        <v>1214</v>
      </c>
      <c r="C198" s="15" t="s">
        <v>1215</v>
      </c>
      <c r="D198" s="15" t="s">
        <v>1216</v>
      </c>
      <c r="E198" s="15" t="s">
        <v>1217</v>
      </c>
      <c r="F198" s="15" t="s">
        <v>1218</v>
      </c>
      <c r="G198" s="15" t="s">
        <v>1219</v>
      </c>
      <c r="H198" s="16" t="s">
        <v>1220</v>
      </c>
    </row>
    <row r="199" spans="1:8" ht="56.25" x14ac:dyDescent="0.3">
      <c r="A199" s="13">
        <v>20621</v>
      </c>
      <c r="B199" s="14" t="s">
        <v>1221</v>
      </c>
      <c r="C199" s="15" t="s">
        <v>1222</v>
      </c>
      <c r="D199" s="15" t="s">
        <v>1223</v>
      </c>
      <c r="E199" s="15" t="s">
        <v>1224</v>
      </c>
      <c r="F199" s="15" t="s">
        <v>1225</v>
      </c>
      <c r="G199" s="15" t="s">
        <v>1226</v>
      </c>
      <c r="H199" s="16" t="s">
        <v>1227</v>
      </c>
    </row>
    <row r="200" spans="1:8" ht="22.5" x14ac:dyDescent="0.3">
      <c r="A200" s="13">
        <v>20622</v>
      </c>
      <c r="B200" s="14" t="s">
        <v>1228</v>
      </c>
      <c r="C200" s="15" t="s">
        <v>1229</v>
      </c>
      <c r="D200" s="15" t="s">
        <v>1230</v>
      </c>
      <c r="E200" s="15" t="s">
        <v>1231</v>
      </c>
      <c r="F200" s="15" t="s">
        <v>1232</v>
      </c>
      <c r="G200" s="15" t="s">
        <v>1233</v>
      </c>
      <c r="H200" s="16" t="s">
        <v>1234</v>
      </c>
    </row>
    <row r="201" spans="1:8" ht="22.5" x14ac:dyDescent="0.3">
      <c r="A201" s="13">
        <v>20623</v>
      </c>
      <c r="B201" s="14" t="s">
        <v>1235</v>
      </c>
      <c r="C201" s="15" t="s">
        <v>1236</v>
      </c>
      <c r="D201" s="15" t="s">
        <v>1237</v>
      </c>
      <c r="E201" s="15" t="s">
        <v>1238</v>
      </c>
      <c r="F201" s="15" t="s">
        <v>57</v>
      </c>
      <c r="G201" s="15" t="s">
        <v>1239</v>
      </c>
      <c r="H201" s="16" t="s">
        <v>57</v>
      </c>
    </row>
    <row r="202" spans="1:8" ht="56.25" x14ac:dyDescent="0.3">
      <c r="A202" s="13">
        <v>20624</v>
      </c>
      <c r="B202" s="14" t="s">
        <v>1240</v>
      </c>
      <c r="C202" s="15" t="s">
        <v>1241</v>
      </c>
      <c r="D202" s="15" t="s">
        <v>1242</v>
      </c>
      <c r="E202" s="15" t="s">
        <v>1243</v>
      </c>
      <c r="F202" s="15" t="s">
        <v>1244</v>
      </c>
      <c r="G202" s="15" t="s">
        <v>1245</v>
      </c>
      <c r="H202" s="16" t="s">
        <v>1246</v>
      </c>
    </row>
    <row r="203" spans="1:8" ht="67.5" x14ac:dyDescent="0.3">
      <c r="A203" s="13">
        <v>20625</v>
      </c>
      <c r="B203" s="14" t="s">
        <v>1247</v>
      </c>
      <c r="C203" s="15" t="s">
        <v>1248</v>
      </c>
      <c r="D203" s="15" t="s">
        <v>1249</v>
      </c>
      <c r="E203" s="15" t="s">
        <v>1250</v>
      </c>
      <c r="F203" s="15" t="s">
        <v>1251</v>
      </c>
      <c r="G203" s="15" t="s">
        <v>1252</v>
      </c>
      <c r="H203" s="16" t="s">
        <v>1253</v>
      </c>
    </row>
    <row r="204" spans="1:8" ht="45" x14ac:dyDescent="0.3">
      <c r="A204" s="13" t="s">
        <v>1254</v>
      </c>
      <c r="B204" s="14" t="s">
        <v>19726</v>
      </c>
      <c r="C204" s="15" t="s">
        <v>1255</v>
      </c>
      <c r="D204" s="15" t="s">
        <v>1256</v>
      </c>
      <c r="E204" s="15" t="s">
        <v>1257</v>
      </c>
      <c r="F204" s="15" t="s">
        <v>1258</v>
      </c>
      <c r="G204" s="15" t="s">
        <v>1259</v>
      </c>
      <c r="H204" s="16" t="s">
        <v>1260</v>
      </c>
    </row>
    <row r="205" spans="1:8" ht="45" x14ac:dyDescent="0.3">
      <c r="A205" s="13" t="s">
        <v>1261</v>
      </c>
      <c r="B205" s="14" t="s">
        <v>19725</v>
      </c>
      <c r="C205" s="15" t="s">
        <v>1262</v>
      </c>
      <c r="D205" s="15"/>
      <c r="E205" s="15" t="s">
        <v>1263</v>
      </c>
      <c r="F205" s="15" t="s">
        <v>1264</v>
      </c>
      <c r="G205" s="15" t="s">
        <v>1265</v>
      </c>
      <c r="H205" s="16" t="s">
        <v>1266</v>
      </c>
    </row>
    <row r="206" spans="1:8" ht="33.75" x14ac:dyDescent="0.3">
      <c r="A206" s="13" t="s">
        <v>1267</v>
      </c>
      <c r="B206" s="14" t="s">
        <v>19723</v>
      </c>
      <c r="C206" s="15" t="s">
        <v>1268</v>
      </c>
      <c r="D206" s="15"/>
      <c r="E206" s="15" t="s">
        <v>1269</v>
      </c>
      <c r="F206" s="15" t="s">
        <v>1270</v>
      </c>
      <c r="G206" s="15" t="s">
        <v>1271</v>
      </c>
      <c r="H206" s="16" t="s">
        <v>1272</v>
      </c>
    </row>
    <row r="207" spans="1:8" ht="33.75" x14ac:dyDescent="0.3">
      <c r="A207" s="13">
        <v>20626</v>
      </c>
      <c r="B207" s="14" t="s">
        <v>1273</v>
      </c>
      <c r="C207" s="15" t="s">
        <v>1274</v>
      </c>
      <c r="D207" s="15" t="s">
        <v>1275</v>
      </c>
      <c r="E207" s="15" t="s">
        <v>1276</v>
      </c>
      <c r="F207" s="15" t="s">
        <v>1277</v>
      </c>
      <c r="G207" s="15" t="s">
        <v>1278</v>
      </c>
      <c r="H207" s="16" t="s">
        <v>1279</v>
      </c>
    </row>
    <row r="208" spans="1:8" ht="22.5" x14ac:dyDescent="0.3">
      <c r="A208" s="13">
        <v>20627</v>
      </c>
      <c r="B208" s="14" t="s">
        <v>1280</v>
      </c>
      <c r="C208" s="15" t="s">
        <v>1281</v>
      </c>
      <c r="D208" s="15" t="s">
        <v>1282</v>
      </c>
      <c r="E208" s="15" t="s">
        <v>1282</v>
      </c>
      <c r="F208" s="15" t="s">
        <v>1283</v>
      </c>
      <c r="G208" s="15" t="s">
        <v>1284</v>
      </c>
      <c r="H208" s="16" t="s">
        <v>1282</v>
      </c>
    </row>
    <row r="209" spans="1:8" x14ac:dyDescent="0.3">
      <c r="A209" s="13">
        <v>20628</v>
      </c>
      <c r="B209" s="14" t="s">
        <v>1285</v>
      </c>
      <c r="C209" s="15" t="s">
        <v>1286</v>
      </c>
      <c r="D209" s="15" t="s">
        <v>1287</v>
      </c>
      <c r="E209" s="15" t="s">
        <v>1288</v>
      </c>
      <c r="F209" s="15" t="s">
        <v>1289</v>
      </c>
      <c r="G209" s="15" t="s">
        <v>1290</v>
      </c>
      <c r="H209" s="16" t="s">
        <v>1291</v>
      </c>
    </row>
    <row r="210" spans="1:8" ht="67.5" x14ac:dyDescent="0.3">
      <c r="A210" s="13">
        <v>20701</v>
      </c>
      <c r="B210" s="14" t="s">
        <v>1292</v>
      </c>
      <c r="C210" s="15" t="s">
        <v>1293</v>
      </c>
      <c r="D210" s="15" t="s">
        <v>1294</v>
      </c>
      <c r="E210" s="15" t="s">
        <v>1295</v>
      </c>
      <c r="F210" s="15" t="s">
        <v>1296</v>
      </c>
      <c r="G210" s="15" t="s">
        <v>1297</v>
      </c>
      <c r="H210" s="16" t="s">
        <v>1298</v>
      </c>
    </row>
    <row r="211" spans="1:8" ht="33.75" x14ac:dyDescent="0.3">
      <c r="A211" s="13">
        <v>20702</v>
      </c>
      <c r="B211" s="14" t="s">
        <v>1299</v>
      </c>
      <c r="C211" s="15" t="s">
        <v>1300</v>
      </c>
      <c r="D211" s="15" t="s">
        <v>1301</v>
      </c>
      <c r="E211" s="15" t="s">
        <v>1302</v>
      </c>
      <c r="F211" s="15" t="s">
        <v>1303</v>
      </c>
      <c r="G211" s="15" t="s">
        <v>1304</v>
      </c>
      <c r="H211" s="16" t="s">
        <v>1305</v>
      </c>
    </row>
    <row r="212" spans="1:8" ht="22.5" x14ac:dyDescent="0.3">
      <c r="A212" s="13">
        <v>20703</v>
      </c>
      <c r="B212" s="14" t="s">
        <v>1306</v>
      </c>
      <c r="C212" s="15" t="s">
        <v>1307</v>
      </c>
      <c r="D212" s="15" t="s">
        <v>1308</v>
      </c>
      <c r="E212" s="15" t="s">
        <v>1309</v>
      </c>
      <c r="F212" s="15" t="s">
        <v>1310</v>
      </c>
      <c r="G212" s="15" t="s">
        <v>1311</v>
      </c>
      <c r="H212" s="16" t="s">
        <v>1312</v>
      </c>
    </row>
    <row r="213" spans="1:8" ht="33.75" x14ac:dyDescent="0.3">
      <c r="A213" s="13">
        <v>20704</v>
      </c>
      <c r="B213" s="14" t="s">
        <v>1313</v>
      </c>
      <c r="C213" s="15" t="s">
        <v>1314</v>
      </c>
      <c r="D213" s="15" t="s">
        <v>1315</v>
      </c>
      <c r="E213" s="15"/>
      <c r="F213" s="15" t="s">
        <v>1316</v>
      </c>
      <c r="G213" s="15" t="s">
        <v>1317</v>
      </c>
      <c r="H213" s="16" t="s">
        <v>1318</v>
      </c>
    </row>
    <row r="214" spans="1:8" ht="22.5" x14ac:dyDescent="0.3">
      <c r="A214" s="13">
        <v>20705</v>
      </c>
      <c r="B214" s="14" t="s">
        <v>1319</v>
      </c>
      <c r="C214" s="15" t="s">
        <v>1320</v>
      </c>
      <c r="D214" s="15" t="s">
        <v>1321</v>
      </c>
      <c r="E214" s="15" t="s">
        <v>1322</v>
      </c>
      <c r="F214" s="15" t="s">
        <v>1323</v>
      </c>
      <c r="G214" s="15" t="s">
        <v>1324</v>
      </c>
      <c r="H214" s="16" t="s">
        <v>1325</v>
      </c>
    </row>
    <row r="215" spans="1:8" ht="56.25" x14ac:dyDescent="0.3">
      <c r="A215" s="13">
        <v>20706</v>
      </c>
      <c r="B215" s="14" t="s">
        <v>1326</v>
      </c>
      <c r="C215" s="15" t="s">
        <v>1327</v>
      </c>
      <c r="D215" s="15" t="s">
        <v>1328</v>
      </c>
      <c r="E215" s="15" t="s">
        <v>1329</v>
      </c>
      <c r="F215" s="15" t="s">
        <v>1330</v>
      </c>
      <c r="G215" s="15" t="s">
        <v>1331</v>
      </c>
      <c r="H215" s="16" t="s">
        <v>1332</v>
      </c>
    </row>
    <row r="216" spans="1:8" ht="33.75" x14ac:dyDescent="0.3">
      <c r="A216" s="13">
        <v>20707</v>
      </c>
      <c r="B216" s="14" t="s">
        <v>1333</v>
      </c>
      <c r="C216" s="15" t="s">
        <v>1334</v>
      </c>
      <c r="D216" s="15" t="s">
        <v>1335</v>
      </c>
      <c r="E216" s="15" t="s">
        <v>1336</v>
      </c>
      <c r="F216" s="15" t="s">
        <v>1337</v>
      </c>
      <c r="G216" s="15" t="s">
        <v>1338</v>
      </c>
      <c r="H216" s="16" t="s">
        <v>1339</v>
      </c>
    </row>
    <row r="217" spans="1:8" x14ac:dyDescent="0.3">
      <c r="A217" s="13">
        <v>20708</v>
      </c>
      <c r="B217" s="14" t="s">
        <v>1340</v>
      </c>
      <c r="C217" s="15" t="s">
        <v>1341</v>
      </c>
      <c r="D217" s="15" t="s">
        <v>1342</v>
      </c>
      <c r="E217" s="15" t="s">
        <v>1343</v>
      </c>
      <c r="F217" s="15" t="s">
        <v>1344</v>
      </c>
      <c r="G217" s="15" t="s">
        <v>1345</v>
      </c>
      <c r="H217" s="16" t="s">
        <v>1346</v>
      </c>
    </row>
    <row r="218" spans="1:8" ht="33.75" x14ac:dyDescent="0.3">
      <c r="A218" s="13">
        <v>20709</v>
      </c>
      <c r="B218" s="14" t="s">
        <v>1347</v>
      </c>
      <c r="C218" s="15" t="s">
        <v>1348</v>
      </c>
      <c r="D218" s="15" t="s">
        <v>1349</v>
      </c>
      <c r="E218" s="15" t="s">
        <v>1350</v>
      </c>
      <c r="F218" s="15" t="s">
        <v>1351</v>
      </c>
      <c r="G218" s="15" t="s">
        <v>1352</v>
      </c>
      <c r="H218" s="16" t="s">
        <v>1353</v>
      </c>
    </row>
    <row r="219" spans="1:8" ht="33.75" x14ac:dyDescent="0.3">
      <c r="A219" s="13">
        <v>20710</v>
      </c>
      <c r="B219" s="14" t="s">
        <v>1354</v>
      </c>
      <c r="C219" s="15" t="s">
        <v>1355</v>
      </c>
      <c r="D219" s="15" t="s">
        <v>1356</v>
      </c>
      <c r="E219" s="15" t="s">
        <v>1357</v>
      </c>
      <c r="F219" s="15" t="s">
        <v>1358</v>
      </c>
      <c r="G219" s="15" t="s">
        <v>1359</v>
      </c>
      <c r="H219" s="16"/>
    </row>
    <row r="220" spans="1:8" ht="22.5" x14ac:dyDescent="0.3">
      <c r="A220" s="13" t="s">
        <v>1360</v>
      </c>
      <c r="B220" s="14" t="s">
        <v>19717</v>
      </c>
      <c r="C220" s="15" t="s">
        <v>1361</v>
      </c>
      <c r="D220" s="15" t="s">
        <v>1362</v>
      </c>
      <c r="E220" s="15" t="s">
        <v>1363</v>
      </c>
      <c r="F220" s="15" t="s">
        <v>1364</v>
      </c>
      <c r="G220" s="15" t="s">
        <v>1365</v>
      </c>
      <c r="H220" s="16" t="s">
        <v>1366</v>
      </c>
    </row>
    <row r="221" spans="1:8" ht="33.75" x14ac:dyDescent="0.3">
      <c r="A221" s="13" t="s">
        <v>1367</v>
      </c>
      <c r="B221" s="14" t="s">
        <v>19727</v>
      </c>
      <c r="C221" s="15" t="s">
        <v>1368</v>
      </c>
      <c r="D221" s="15" t="s">
        <v>1369</v>
      </c>
      <c r="E221" s="15" t="s">
        <v>1370</v>
      </c>
      <c r="F221" s="15" t="s">
        <v>1371</v>
      </c>
      <c r="G221" s="15" t="s">
        <v>1372</v>
      </c>
      <c r="H221" s="16" t="s">
        <v>1332</v>
      </c>
    </row>
    <row r="222" spans="1:8" ht="56.25" x14ac:dyDescent="0.3">
      <c r="A222" s="13">
        <v>20711</v>
      </c>
      <c r="B222" s="14" t="s">
        <v>1373</v>
      </c>
      <c r="C222" s="15" t="s">
        <v>1374</v>
      </c>
      <c r="D222" s="15" t="s">
        <v>1375</v>
      </c>
      <c r="E222" s="15" t="s">
        <v>1376</v>
      </c>
      <c r="F222" s="15" t="s">
        <v>1377</v>
      </c>
      <c r="G222" s="15" t="s">
        <v>1378</v>
      </c>
      <c r="H222" s="16" t="s">
        <v>1379</v>
      </c>
    </row>
    <row r="223" spans="1:8" ht="33.75" x14ac:dyDescent="0.3">
      <c r="A223" s="13">
        <v>20712</v>
      </c>
      <c r="B223" s="14" t="s">
        <v>1380</v>
      </c>
      <c r="C223" s="15" t="s">
        <v>1381</v>
      </c>
      <c r="D223" s="15" t="s">
        <v>1382</v>
      </c>
      <c r="E223" s="15" t="s">
        <v>1383</v>
      </c>
      <c r="F223" s="15" t="s">
        <v>1384</v>
      </c>
      <c r="G223" s="15" t="s">
        <v>1385</v>
      </c>
      <c r="H223" s="16" t="s">
        <v>1386</v>
      </c>
    </row>
    <row r="224" spans="1:8" ht="33.75" x14ac:dyDescent="0.3">
      <c r="A224" s="13">
        <v>20713</v>
      </c>
      <c r="B224" s="14" t="s">
        <v>1387</v>
      </c>
      <c r="C224" s="15" t="s">
        <v>1388</v>
      </c>
      <c r="D224" s="15" t="s">
        <v>1389</v>
      </c>
      <c r="E224" s="15" t="s">
        <v>1390</v>
      </c>
      <c r="F224" s="15" t="s">
        <v>1391</v>
      </c>
      <c r="G224" s="15" t="s">
        <v>1392</v>
      </c>
      <c r="H224" s="16" t="s">
        <v>1393</v>
      </c>
    </row>
    <row r="225" spans="1:8" ht="33.75" x14ac:dyDescent="0.3">
      <c r="A225" s="13" t="s">
        <v>1394</v>
      </c>
      <c r="B225" s="14" t="s">
        <v>19724</v>
      </c>
      <c r="C225" s="15" t="s">
        <v>1395</v>
      </c>
      <c r="D225" s="15" t="s">
        <v>1396</v>
      </c>
      <c r="E225" s="15" t="s">
        <v>1397</v>
      </c>
      <c r="F225" s="15" t="s">
        <v>1398</v>
      </c>
      <c r="G225" s="15" t="s">
        <v>1399</v>
      </c>
      <c r="H225" s="16" t="s">
        <v>1400</v>
      </c>
    </row>
    <row r="226" spans="1:8" ht="33.75" x14ac:dyDescent="0.3">
      <c r="A226" s="13">
        <v>20714</v>
      </c>
      <c r="B226" s="14" t="s">
        <v>1401</v>
      </c>
      <c r="C226" s="15" t="s">
        <v>1402</v>
      </c>
      <c r="D226" s="15" t="s">
        <v>1401</v>
      </c>
      <c r="E226" s="15" t="s">
        <v>1401</v>
      </c>
      <c r="F226" s="15" t="s">
        <v>1401</v>
      </c>
      <c r="G226" s="15" t="s">
        <v>1403</v>
      </c>
      <c r="H226" s="16" t="s">
        <v>1401</v>
      </c>
    </row>
    <row r="227" spans="1:8" ht="33.75" x14ac:dyDescent="0.3">
      <c r="A227" s="13" t="s">
        <v>1404</v>
      </c>
      <c r="B227" s="14" t="s">
        <v>1401</v>
      </c>
      <c r="C227" s="15" t="s">
        <v>1405</v>
      </c>
      <c r="D227" s="15"/>
      <c r="E227" s="15" t="s">
        <v>1406</v>
      </c>
      <c r="F227" s="15" t="s">
        <v>1407</v>
      </c>
      <c r="G227" s="15" t="s">
        <v>1408</v>
      </c>
      <c r="H227" s="16" t="s">
        <v>1409</v>
      </c>
    </row>
    <row r="228" spans="1:8" ht="22.5" x14ac:dyDescent="0.3">
      <c r="A228" s="13" t="s">
        <v>1410</v>
      </c>
      <c r="B228" s="14" t="s">
        <v>1411</v>
      </c>
      <c r="C228" s="15" t="s">
        <v>1412</v>
      </c>
      <c r="D228" s="15" t="s">
        <v>1413</v>
      </c>
      <c r="E228" s="15" t="s">
        <v>1414</v>
      </c>
      <c r="F228" s="15" t="s">
        <v>1415</v>
      </c>
      <c r="G228" s="15" t="s">
        <v>1416</v>
      </c>
      <c r="H228" s="16" t="s">
        <v>1417</v>
      </c>
    </row>
    <row r="229" spans="1:8" ht="22.5" x14ac:dyDescent="0.3">
      <c r="A229" s="13">
        <v>20715</v>
      </c>
      <c r="B229" s="14" t="s">
        <v>1418</v>
      </c>
      <c r="C229" s="15" t="s">
        <v>1419</v>
      </c>
      <c r="D229" s="15" t="s">
        <v>1420</v>
      </c>
      <c r="E229" s="15" t="s">
        <v>1418</v>
      </c>
      <c r="F229" s="15" t="s">
        <v>1421</v>
      </c>
      <c r="G229" s="15" t="s">
        <v>1422</v>
      </c>
      <c r="H229" s="16" t="s">
        <v>1423</v>
      </c>
    </row>
    <row r="230" spans="1:8" x14ac:dyDescent="0.3">
      <c r="A230" s="13">
        <v>20716</v>
      </c>
      <c r="B230" s="14" t="s">
        <v>1424</v>
      </c>
      <c r="C230" s="15" t="s">
        <v>1425</v>
      </c>
      <c r="D230" s="15" t="s">
        <v>1424</v>
      </c>
      <c r="E230" s="15" t="s">
        <v>1424</v>
      </c>
      <c r="F230" s="15" t="s">
        <v>1424</v>
      </c>
      <c r="G230" s="15" t="s">
        <v>1424</v>
      </c>
      <c r="H230" s="16" t="s">
        <v>1426</v>
      </c>
    </row>
    <row r="231" spans="1:8" ht="22.5" x14ac:dyDescent="0.3">
      <c r="A231" s="13" t="s">
        <v>1427</v>
      </c>
      <c r="B231" s="14" t="s">
        <v>1428</v>
      </c>
      <c r="C231" s="15" t="s">
        <v>1429</v>
      </c>
      <c r="D231" s="15" t="s">
        <v>1428</v>
      </c>
      <c r="E231" s="15" t="s">
        <v>1428</v>
      </c>
      <c r="F231" s="15" t="s">
        <v>1430</v>
      </c>
      <c r="G231" s="15" t="s">
        <v>1431</v>
      </c>
      <c r="H231" s="16" t="s">
        <v>1432</v>
      </c>
    </row>
    <row r="232" spans="1:8" ht="33.75" x14ac:dyDescent="0.3">
      <c r="A232" s="13">
        <v>20717</v>
      </c>
      <c r="B232" s="14" t="s">
        <v>1433</v>
      </c>
      <c r="C232" s="15" t="s">
        <v>1434</v>
      </c>
      <c r="D232" s="15" t="s">
        <v>1435</v>
      </c>
      <c r="E232" s="15" t="s">
        <v>1436</v>
      </c>
      <c r="F232" s="15" t="s">
        <v>1437</v>
      </c>
      <c r="G232" s="15" t="s">
        <v>1438</v>
      </c>
      <c r="H232" s="16" t="s">
        <v>1439</v>
      </c>
    </row>
    <row r="233" spans="1:8" ht="22.5" x14ac:dyDescent="0.3">
      <c r="A233" s="13">
        <v>20718</v>
      </c>
      <c r="B233" s="14" t="s">
        <v>1440</v>
      </c>
      <c r="C233" s="15" t="s">
        <v>1441</v>
      </c>
      <c r="D233" s="15" t="s">
        <v>1442</v>
      </c>
      <c r="E233" s="15" t="s">
        <v>1443</v>
      </c>
      <c r="F233" s="15" t="s">
        <v>1444</v>
      </c>
      <c r="G233" s="15" t="s">
        <v>1445</v>
      </c>
      <c r="H233" s="16" t="s">
        <v>1440</v>
      </c>
    </row>
    <row r="234" spans="1:8" ht="22.5" x14ac:dyDescent="0.3">
      <c r="A234" s="13">
        <v>20719</v>
      </c>
      <c r="B234" s="14" t="s">
        <v>1446</v>
      </c>
      <c r="C234" s="15" t="s">
        <v>1447</v>
      </c>
      <c r="D234" s="15" t="s">
        <v>1446</v>
      </c>
      <c r="E234" s="15" t="s">
        <v>1448</v>
      </c>
      <c r="F234" s="15" t="s">
        <v>1446</v>
      </c>
      <c r="G234" s="15" t="s">
        <v>1449</v>
      </c>
      <c r="H234" s="16" t="s">
        <v>1446</v>
      </c>
    </row>
    <row r="235" spans="1:8" ht="22.5" x14ac:dyDescent="0.3">
      <c r="A235" s="13">
        <v>20720</v>
      </c>
      <c r="B235" s="14" t="s">
        <v>1450</v>
      </c>
      <c r="C235" s="15" t="s">
        <v>1451</v>
      </c>
      <c r="D235" s="15" t="s">
        <v>1452</v>
      </c>
      <c r="E235" s="15" t="s">
        <v>1453</v>
      </c>
      <c r="F235" s="15" t="s">
        <v>1454</v>
      </c>
      <c r="G235" s="15" t="s">
        <v>1454</v>
      </c>
      <c r="H235" s="16" t="s">
        <v>1455</v>
      </c>
    </row>
    <row r="236" spans="1:8" ht="67.5" x14ac:dyDescent="0.3">
      <c r="A236" s="13">
        <v>20721</v>
      </c>
      <c r="B236" s="14" t="s">
        <v>1456</v>
      </c>
      <c r="C236" s="15" t="s">
        <v>1457</v>
      </c>
      <c r="D236" s="15" t="s">
        <v>1458</v>
      </c>
      <c r="E236" s="15" t="s">
        <v>1459</v>
      </c>
      <c r="F236" s="15" t="s">
        <v>1460</v>
      </c>
      <c r="G236" s="15" t="s">
        <v>1461</v>
      </c>
      <c r="H236" s="16" t="s">
        <v>1462</v>
      </c>
    </row>
    <row r="237" spans="1:8" ht="22.5" x14ac:dyDescent="0.3">
      <c r="A237" s="13">
        <v>20722</v>
      </c>
      <c r="B237" s="14" t="s">
        <v>1463</v>
      </c>
      <c r="C237" s="15" t="s">
        <v>1464</v>
      </c>
      <c r="D237" s="15" t="s">
        <v>1465</v>
      </c>
      <c r="E237" s="15" t="s">
        <v>57</v>
      </c>
      <c r="F237" s="15" t="s">
        <v>1466</v>
      </c>
      <c r="G237" s="15" t="s">
        <v>1467</v>
      </c>
      <c r="H237" s="16" t="s">
        <v>1468</v>
      </c>
    </row>
    <row r="238" spans="1:8" ht="22.5" x14ac:dyDescent="0.3">
      <c r="A238" s="13">
        <v>20723</v>
      </c>
      <c r="B238" s="14" t="s">
        <v>1469</v>
      </c>
      <c r="C238" s="15" t="s">
        <v>1470</v>
      </c>
      <c r="D238" s="15" t="s">
        <v>1471</v>
      </c>
      <c r="E238" s="15" t="s">
        <v>57</v>
      </c>
      <c r="F238" s="15" t="s">
        <v>1469</v>
      </c>
      <c r="G238" s="15" t="s">
        <v>1472</v>
      </c>
      <c r="H238" s="16" t="s">
        <v>1473</v>
      </c>
    </row>
    <row r="239" spans="1:8" x14ac:dyDescent="0.3">
      <c r="A239" s="13">
        <v>20724</v>
      </c>
      <c r="B239" s="14" t="s">
        <v>1474</v>
      </c>
      <c r="C239" s="15" t="s">
        <v>1475</v>
      </c>
      <c r="D239" s="15" t="s">
        <v>1476</v>
      </c>
      <c r="E239" s="15" t="s">
        <v>1477</v>
      </c>
      <c r="F239" s="15" t="s">
        <v>1476</v>
      </c>
      <c r="G239" s="15" t="s">
        <v>1476</v>
      </c>
      <c r="H239" s="16" t="s">
        <v>1476</v>
      </c>
    </row>
    <row r="240" spans="1:8" ht="33.75" x14ac:dyDescent="0.3">
      <c r="A240" s="13">
        <v>20725</v>
      </c>
      <c r="B240" s="14" t="s">
        <v>1478</v>
      </c>
      <c r="C240" s="15" t="s">
        <v>1479</v>
      </c>
      <c r="D240" s="15" t="s">
        <v>1480</v>
      </c>
      <c r="E240" s="15" t="s">
        <v>1481</v>
      </c>
      <c r="F240" s="15" t="s">
        <v>1480</v>
      </c>
      <c r="G240" s="15" t="s">
        <v>1482</v>
      </c>
      <c r="H240" s="16" t="s">
        <v>1483</v>
      </c>
    </row>
    <row r="241" spans="1:8" ht="22.5" x14ac:dyDescent="0.3">
      <c r="A241" s="13">
        <v>20726</v>
      </c>
      <c r="B241" s="14" t="s">
        <v>1484</v>
      </c>
      <c r="C241" s="15" t="s">
        <v>1485</v>
      </c>
      <c r="D241" s="15" t="s">
        <v>1486</v>
      </c>
      <c r="E241" s="15" t="s">
        <v>1487</v>
      </c>
      <c r="F241" s="15" t="s">
        <v>1488</v>
      </c>
      <c r="G241" s="15" t="s">
        <v>1487</v>
      </c>
      <c r="H241" s="16" t="s">
        <v>1487</v>
      </c>
    </row>
    <row r="242" spans="1:8" ht="33.75" x14ac:dyDescent="0.3">
      <c r="A242" s="13">
        <v>20727</v>
      </c>
      <c r="B242" s="14" t="s">
        <v>1489</v>
      </c>
      <c r="C242" s="15" t="s">
        <v>1490</v>
      </c>
      <c r="D242" s="15" t="s">
        <v>1491</v>
      </c>
      <c r="E242" s="15" t="s">
        <v>1492</v>
      </c>
      <c r="F242" s="15" t="s">
        <v>1493</v>
      </c>
      <c r="G242" s="15" t="s">
        <v>1494</v>
      </c>
      <c r="H242" s="16" t="s">
        <v>1495</v>
      </c>
    </row>
    <row r="243" spans="1:8" ht="45" x14ac:dyDescent="0.3">
      <c r="A243" s="13">
        <v>20728</v>
      </c>
      <c r="B243" s="14" t="s">
        <v>1496</v>
      </c>
      <c r="C243" s="15" t="s">
        <v>1497</v>
      </c>
      <c r="D243" s="15" t="s">
        <v>1498</v>
      </c>
      <c r="E243" s="15" t="s">
        <v>1499</v>
      </c>
      <c r="F243" s="15" t="s">
        <v>1500</v>
      </c>
      <c r="G243" s="15" t="s">
        <v>1501</v>
      </c>
      <c r="H243" s="16" t="s">
        <v>1502</v>
      </c>
    </row>
    <row r="244" spans="1:8" ht="33.75" x14ac:dyDescent="0.3">
      <c r="A244" s="13">
        <v>20729</v>
      </c>
      <c r="B244" s="14" t="s">
        <v>1503</v>
      </c>
      <c r="C244" s="15" t="s">
        <v>1504</v>
      </c>
      <c r="D244" s="15" t="s">
        <v>1505</v>
      </c>
      <c r="E244" s="15" t="s">
        <v>1506</v>
      </c>
      <c r="F244" s="15" t="s">
        <v>1507</v>
      </c>
      <c r="G244" s="15" t="s">
        <v>1508</v>
      </c>
      <c r="H244" s="16" t="s">
        <v>1508</v>
      </c>
    </row>
    <row r="245" spans="1:8" ht="22.5" x14ac:dyDescent="0.3">
      <c r="A245" s="13">
        <v>20730</v>
      </c>
      <c r="B245" s="14" t="s">
        <v>1509</v>
      </c>
      <c r="C245" s="15" t="s">
        <v>1510</v>
      </c>
      <c r="D245" s="15" t="s">
        <v>1509</v>
      </c>
      <c r="E245" s="15" t="s">
        <v>1511</v>
      </c>
      <c r="F245" s="15" t="s">
        <v>1512</v>
      </c>
      <c r="G245" s="15" t="s">
        <v>1513</v>
      </c>
      <c r="H245" s="16" t="s">
        <v>1509</v>
      </c>
    </row>
    <row r="246" spans="1:8" ht="33.75" x14ac:dyDescent="0.3">
      <c r="A246" s="13">
        <v>20731</v>
      </c>
      <c r="B246" s="14" t="s">
        <v>1514</v>
      </c>
      <c r="C246" s="15" t="s">
        <v>1515</v>
      </c>
      <c r="D246" s="15" t="s">
        <v>1516</v>
      </c>
      <c r="E246" s="15" t="s">
        <v>1517</v>
      </c>
      <c r="F246" s="15" t="s">
        <v>1518</v>
      </c>
      <c r="G246" s="15" t="s">
        <v>1519</v>
      </c>
      <c r="H246" s="16" t="s">
        <v>1520</v>
      </c>
    </row>
    <row r="247" spans="1:8" ht="33.75" x14ac:dyDescent="0.3">
      <c r="A247" s="13">
        <v>20801</v>
      </c>
      <c r="B247" s="14" t="s">
        <v>1521</v>
      </c>
      <c r="C247" s="15" t="s">
        <v>1522</v>
      </c>
      <c r="D247" s="15" t="s">
        <v>1523</v>
      </c>
      <c r="E247" s="15" t="s">
        <v>1524</v>
      </c>
      <c r="F247" s="15" t="s">
        <v>1521</v>
      </c>
      <c r="G247" s="15" t="s">
        <v>1525</v>
      </c>
      <c r="H247" s="16" t="s">
        <v>1526</v>
      </c>
    </row>
    <row r="248" spans="1:8" ht="33.75" x14ac:dyDescent="0.3">
      <c r="A248" s="13">
        <v>20802</v>
      </c>
      <c r="B248" s="14" t="s">
        <v>1527</v>
      </c>
      <c r="C248" s="15" t="s">
        <v>1528</v>
      </c>
      <c r="D248" s="15" t="s">
        <v>1529</v>
      </c>
      <c r="E248" s="15" t="s">
        <v>1530</v>
      </c>
      <c r="F248" s="15" t="s">
        <v>1531</v>
      </c>
      <c r="G248" s="15" t="s">
        <v>1532</v>
      </c>
      <c r="H248" s="16" t="s">
        <v>1533</v>
      </c>
    </row>
    <row r="249" spans="1:8" ht="45" x14ac:dyDescent="0.3">
      <c r="A249" s="13" t="s">
        <v>1534</v>
      </c>
      <c r="B249" s="14" t="s">
        <v>19725</v>
      </c>
      <c r="C249" s="15" t="s">
        <v>1535</v>
      </c>
      <c r="D249" s="15" t="s">
        <v>1536</v>
      </c>
      <c r="E249" s="15"/>
      <c r="F249" s="15" t="s">
        <v>1537</v>
      </c>
      <c r="G249" s="15" t="s">
        <v>1538</v>
      </c>
      <c r="H249" s="16" t="s">
        <v>1539</v>
      </c>
    </row>
    <row r="250" spans="1:8" ht="22.5" x14ac:dyDescent="0.3">
      <c r="A250" s="13" t="s">
        <v>1540</v>
      </c>
      <c r="B250" s="14" t="s">
        <v>19726</v>
      </c>
      <c r="C250" s="15" t="s">
        <v>1541</v>
      </c>
      <c r="D250" s="15" t="s">
        <v>1542</v>
      </c>
      <c r="E250" s="15" t="s">
        <v>1543</v>
      </c>
      <c r="F250" s="15" t="s">
        <v>1544</v>
      </c>
      <c r="G250" s="15" t="s">
        <v>1545</v>
      </c>
      <c r="H250" s="16" t="s">
        <v>1546</v>
      </c>
    </row>
    <row r="251" spans="1:8" ht="22.5" x14ac:dyDescent="0.3">
      <c r="A251" s="13">
        <v>20803</v>
      </c>
      <c r="B251" s="14" t="s">
        <v>1547</v>
      </c>
      <c r="C251" s="15" t="s">
        <v>1548</v>
      </c>
      <c r="D251" s="15" t="s">
        <v>1549</v>
      </c>
      <c r="E251" s="15" t="s">
        <v>1550</v>
      </c>
      <c r="F251" s="15" t="s">
        <v>1551</v>
      </c>
      <c r="G251" s="15" t="s">
        <v>1552</v>
      </c>
      <c r="H251" s="16" t="s">
        <v>1553</v>
      </c>
    </row>
    <row r="252" spans="1:8" ht="33.75" x14ac:dyDescent="0.3">
      <c r="A252" s="13" t="s">
        <v>1554</v>
      </c>
      <c r="B252" s="14" t="s">
        <v>19724</v>
      </c>
      <c r="C252" s="15" t="s">
        <v>1555</v>
      </c>
      <c r="D252" s="15"/>
      <c r="E252" s="15" t="s">
        <v>1556</v>
      </c>
      <c r="F252" s="15"/>
      <c r="G252" s="15" t="s">
        <v>1557</v>
      </c>
      <c r="H252" s="16" t="s">
        <v>1558</v>
      </c>
    </row>
    <row r="253" spans="1:8" ht="33.75" x14ac:dyDescent="0.3">
      <c r="A253" s="13">
        <v>20804</v>
      </c>
      <c r="B253" s="14" t="s">
        <v>1559</v>
      </c>
      <c r="C253" s="15" t="s">
        <v>1560</v>
      </c>
      <c r="D253" s="15" t="s">
        <v>1561</v>
      </c>
      <c r="E253" s="15" t="s">
        <v>1562</v>
      </c>
      <c r="F253" s="15" t="s">
        <v>1563</v>
      </c>
      <c r="G253" s="15" t="s">
        <v>1564</v>
      </c>
      <c r="H253" s="16" t="s">
        <v>1565</v>
      </c>
    </row>
    <row r="254" spans="1:8" ht="22.5" x14ac:dyDescent="0.3">
      <c r="A254" s="13">
        <v>20805</v>
      </c>
      <c r="B254" s="14" t="s">
        <v>1566</v>
      </c>
      <c r="C254" s="15" t="s">
        <v>1567</v>
      </c>
      <c r="D254" s="15" t="s">
        <v>1566</v>
      </c>
      <c r="E254" s="15" t="s">
        <v>1568</v>
      </c>
      <c r="F254" s="15" t="s">
        <v>1566</v>
      </c>
      <c r="G254" s="15" t="s">
        <v>1569</v>
      </c>
      <c r="H254" s="16" t="s">
        <v>1566</v>
      </c>
    </row>
    <row r="255" spans="1:8" ht="33.75" x14ac:dyDescent="0.3">
      <c r="A255" s="13">
        <v>20806</v>
      </c>
      <c r="B255" s="14" t="s">
        <v>1570</v>
      </c>
      <c r="C255" s="15" t="s">
        <v>1571</v>
      </c>
      <c r="D255" s="15" t="s">
        <v>1572</v>
      </c>
      <c r="E255" s="15" t="s">
        <v>1573</v>
      </c>
      <c r="F255" s="15" t="s">
        <v>1574</v>
      </c>
      <c r="G255" s="15" t="s">
        <v>1575</v>
      </c>
      <c r="H255" s="16" t="s">
        <v>1576</v>
      </c>
    </row>
    <row r="256" spans="1:8" x14ac:dyDescent="0.3">
      <c r="A256" s="13" t="s">
        <v>1577</v>
      </c>
      <c r="B256" s="14" t="s">
        <v>1578</v>
      </c>
      <c r="C256" s="15" t="s">
        <v>1579</v>
      </c>
      <c r="D256" s="15"/>
      <c r="E256" s="15"/>
      <c r="F256" s="15"/>
      <c r="G256" s="15" t="s">
        <v>1580</v>
      </c>
      <c r="H256" s="16" t="s">
        <v>57</v>
      </c>
    </row>
    <row r="257" spans="1:8" ht="78.75" x14ac:dyDescent="0.3">
      <c r="A257" s="13">
        <v>20807</v>
      </c>
      <c r="B257" s="14" t="s">
        <v>1581</v>
      </c>
      <c r="C257" s="15" t="s">
        <v>1582</v>
      </c>
      <c r="D257" s="15" t="s">
        <v>1583</v>
      </c>
      <c r="E257" s="15" t="s">
        <v>1584</v>
      </c>
      <c r="F257" s="15" t="s">
        <v>1585</v>
      </c>
      <c r="G257" s="15" t="s">
        <v>1586</v>
      </c>
      <c r="H257" s="16" t="s">
        <v>1587</v>
      </c>
    </row>
    <row r="258" spans="1:8" ht="22.5" x14ac:dyDescent="0.3">
      <c r="A258" s="13">
        <v>20808</v>
      </c>
      <c r="B258" s="14" t="s">
        <v>1588</v>
      </c>
      <c r="C258" s="15" t="s">
        <v>1589</v>
      </c>
      <c r="D258" s="15" t="s">
        <v>1590</v>
      </c>
      <c r="E258" s="15" t="s">
        <v>1591</v>
      </c>
      <c r="F258" s="15" t="s">
        <v>1592</v>
      </c>
      <c r="G258" s="15" t="s">
        <v>1593</v>
      </c>
      <c r="H258" s="16" t="s">
        <v>1594</v>
      </c>
    </row>
    <row r="259" spans="1:8" x14ac:dyDescent="0.3">
      <c r="A259" s="13">
        <v>20809</v>
      </c>
      <c r="B259" s="14" t="s">
        <v>1595</v>
      </c>
      <c r="C259" s="15" t="s">
        <v>1596</v>
      </c>
      <c r="D259" s="15" t="s">
        <v>1597</v>
      </c>
      <c r="E259" s="15" t="s">
        <v>1598</v>
      </c>
      <c r="F259" s="15" t="s">
        <v>1599</v>
      </c>
      <c r="G259" s="15" t="s">
        <v>1600</v>
      </c>
      <c r="H259" s="16" t="s">
        <v>1601</v>
      </c>
    </row>
    <row r="260" spans="1:8" ht="56.25" x14ac:dyDescent="0.3">
      <c r="A260" s="13">
        <v>20810</v>
      </c>
      <c r="B260" s="14" t="s">
        <v>1602</v>
      </c>
      <c r="C260" s="15" t="s">
        <v>1603</v>
      </c>
      <c r="D260" s="15" t="s">
        <v>1604</v>
      </c>
      <c r="E260" s="15" t="s">
        <v>1605</v>
      </c>
      <c r="F260" s="15" t="s">
        <v>1606</v>
      </c>
      <c r="G260" s="15" t="s">
        <v>1607</v>
      </c>
      <c r="H260" s="16" t="s">
        <v>1608</v>
      </c>
    </row>
    <row r="261" spans="1:8" x14ac:dyDescent="0.3">
      <c r="A261" s="13">
        <v>20811</v>
      </c>
      <c r="B261" s="14" t="s">
        <v>1609</v>
      </c>
      <c r="C261" s="15" t="s">
        <v>1610</v>
      </c>
      <c r="D261" s="15" t="s">
        <v>1609</v>
      </c>
      <c r="E261" s="15" t="s">
        <v>1609</v>
      </c>
      <c r="F261" s="15" t="s">
        <v>1611</v>
      </c>
      <c r="G261" s="15" t="s">
        <v>1612</v>
      </c>
      <c r="H261" s="16" t="s">
        <v>1613</v>
      </c>
    </row>
    <row r="262" spans="1:8" ht="78.75" x14ac:dyDescent="0.3">
      <c r="A262" s="13">
        <v>20812</v>
      </c>
      <c r="B262" s="14" t="s">
        <v>1614</v>
      </c>
      <c r="C262" s="15" t="s">
        <v>1615</v>
      </c>
      <c r="D262" s="15" t="s">
        <v>1616</v>
      </c>
      <c r="E262" s="15" t="s">
        <v>1617</v>
      </c>
      <c r="F262" s="15" t="s">
        <v>1618</v>
      </c>
      <c r="G262" s="15" t="s">
        <v>1619</v>
      </c>
      <c r="H262" s="16" t="s">
        <v>1620</v>
      </c>
    </row>
    <row r="263" spans="1:8" ht="56.25" x14ac:dyDescent="0.3">
      <c r="A263" s="13" t="s">
        <v>1621</v>
      </c>
      <c r="B263" s="14" t="s">
        <v>19725</v>
      </c>
      <c r="C263" s="15" t="s">
        <v>1622</v>
      </c>
      <c r="D263" s="15" t="s">
        <v>1623</v>
      </c>
      <c r="E263" s="15" t="s">
        <v>1624</v>
      </c>
      <c r="F263" s="15" t="s">
        <v>1625</v>
      </c>
      <c r="G263" s="15" t="s">
        <v>1626</v>
      </c>
      <c r="H263" s="16" t="s">
        <v>1627</v>
      </c>
    </row>
    <row r="264" spans="1:8" ht="33.75" x14ac:dyDescent="0.3">
      <c r="A264" s="13">
        <v>20813</v>
      </c>
      <c r="B264" s="14" t="s">
        <v>1628</v>
      </c>
      <c r="C264" s="15" t="s">
        <v>1629</v>
      </c>
      <c r="D264" s="15" t="s">
        <v>1630</v>
      </c>
      <c r="E264" s="15" t="s">
        <v>1631</v>
      </c>
      <c r="F264" s="15" t="s">
        <v>1632</v>
      </c>
      <c r="G264" s="15" t="s">
        <v>1633</v>
      </c>
      <c r="H264" s="16" t="s">
        <v>1634</v>
      </c>
    </row>
    <row r="265" spans="1:8" ht="45" x14ac:dyDescent="0.3">
      <c r="A265" s="13">
        <v>20814</v>
      </c>
      <c r="B265" s="14" t="s">
        <v>1635</v>
      </c>
      <c r="C265" s="15" t="s">
        <v>1636</v>
      </c>
      <c r="D265" s="15" t="s">
        <v>1637</v>
      </c>
      <c r="E265" s="15" t="s">
        <v>1638</v>
      </c>
      <c r="F265" s="15" t="s">
        <v>1639</v>
      </c>
      <c r="G265" s="15" t="s">
        <v>1640</v>
      </c>
      <c r="H265" s="16" t="s">
        <v>1641</v>
      </c>
    </row>
    <row r="266" spans="1:8" ht="33.75" x14ac:dyDescent="0.3">
      <c r="A266" s="13">
        <v>20815</v>
      </c>
      <c r="B266" s="14" t="s">
        <v>1642</v>
      </c>
      <c r="C266" s="15" t="s">
        <v>1643</v>
      </c>
      <c r="D266" s="15" t="s">
        <v>1644</v>
      </c>
      <c r="E266" s="15" t="s">
        <v>1645</v>
      </c>
      <c r="F266" s="15"/>
      <c r="G266" s="15" t="s">
        <v>1646</v>
      </c>
      <c r="H266" s="16" t="s">
        <v>1647</v>
      </c>
    </row>
    <row r="267" spans="1:8" ht="33.75" x14ac:dyDescent="0.3">
      <c r="A267" s="13">
        <v>20816</v>
      </c>
      <c r="B267" s="14" t="s">
        <v>1648</v>
      </c>
      <c r="C267" s="15" t="s">
        <v>1649</v>
      </c>
      <c r="D267" s="15" t="s">
        <v>1650</v>
      </c>
      <c r="E267" s="15" t="s">
        <v>1651</v>
      </c>
      <c r="F267" s="15" t="s">
        <v>1652</v>
      </c>
      <c r="G267" s="15" t="s">
        <v>1653</v>
      </c>
      <c r="H267" s="16" t="s">
        <v>1654</v>
      </c>
    </row>
    <row r="268" spans="1:8" ht="22.5" x14ac:dyDescent="0.3">
      <c r="A268" s="13">
        <v>20817</v>
      </c>
      <c r="B268" s="14" t="s">
        <v>1655</v>
      </c>
      <c r="C268" s="15" t="s">
        <v>1656</v>
      </c>
      <c r="D268" s="15" t="s">
        <v>1657</v>
      </c>
      <c r="E268" s="15" t="s">
        <v>1658</v>
      </c>
      <c r="F268" s="15" t="s">
        <v>1659</v>
      </c>
      <c r="G268" s="15" t="s">
        <v>1660</v>
      </c>
      <c r="H268" s="16" t="s">
        <v>1661</v>
      </c>
    </row>
    <row r="269" spans="1:8" ht="22.5" x14ac:dyDescent="0.3">
      <c r="A269" s="13">
        <v>20818</v>
      </c>
      <c r="B269" s="14" t="s">
        <v>1662</v>
      </c>
      <c r="C269" s="15" t="s">
        <v>1663</v>
      </c>
      <c r="D269" s="15" t="s">
        <v>1664</v>
      </c>
      <c r="E269" s="15" t="s">
        <v>1665</v>
      </c>
      <c r="F269" s="15" t="s">
        <v>1666</v>
      </c>
      <c r="G269" s="15" t="s">
        <v>1667</v>
      </c>
      <c r="H269" s="16" t="s">
        <v>1664</v>
      </c>
    </row>
    <row r="270" spans="1:8" x14ac:dyDescent="0.3">
      <c r="A270" s="13">
        <v>20819</v>
      </c>
      <c r="B270" s="14" t="s">
        <v>1668</v>
      </c>
      <c r="C270" s="15" t="s">
        <v>1669</v>
      </c>
      <c r="D270" s="15" t="s">
        <v>1670</v>
      </c>
      <c r="E270" s="15" t="s">
        <v>1671</v>
      </c>
      <c r="F270" s="15" t="s">
        <v>1672</v>
      </c>
      <c r="G270" s="15" t="s">
        <v>1673</v>
      </c>
      <c r="H270" s="16" t="s">
        <v>1672</v>
      </c>
    </row>
    <row r="271" spans="1:8" ht="22.5" x14ac:dyDescent="0.3">
      <c r="A271" s="13">
        <v>20820</v>
      </c>
      <c r="B271" s="14" t="s">
        <v>1674</v>
      </c>
      <c r="C271" s="15" t="s">
        <v>1675</v>
      </c>
      <c r="D271" s="15" t="s">
        <v>1674</v>
      </c>
      <c r="E271" s="15" t="s">
        <v>1676</v>
      </c>
      <c r="F271" s="15" t="s">
        <v>1674</v>
      </c>
      <c r="G271" s="15" t="s">
        <v>1677</v>
      </c>
      <c r="H271" s="16" t="s">
        <v>1678</v>
      </c>
    </row>
    <row r="272" spans="1:8" ht="22.5" x14ac:dyDescent="0.3">
      <c r="A272" s="13">
        <v>20821</v>
      </c>
      <c r="B272" s="14" t="s">
        <v>1679</v>
      </c>
      <c r="C272" s="15" t="s">
        <v>1680</v>
      </c>
      <c r="D272" s="15" t="s">
        <v>1681</v>
      </c>
      <c r="E272" s="15" t="s">
        <v>57</v>
      </c>
      <c r="F272" s="15" t="s">
        <v>1682</v>
      </c>
      <c r="G272" s="15" t="s">
        <v>1683</v>
      </c>
      <c r="H272" s="16" t="s">
        <v>1684</v>
      </c>
    </row>
    <row r="273" spans="1:8" ht="33.75" x14ac:dyDescent="0.3">
      <c r="A273" s="13">
        <v>20822</v>
      </c>
      <c r="B273" s="14" t="s">
        <v>1685</v>
      </c>
      <c r="C273" s="15" t="s">
        <v>1686</v>
      </c>
      <c r="D273" s="15" t="s">
        <v>1687</v>
      </c>
      <c r="E273" s="15" t="s">
        <v>1688</v>
      </c>
      <c r="F273" s="15" t="s">
        <v>1689</v>
      </c>
      <c r="G273" s="15" t="s">
        <v>1690</v>
      </c>
      <c r="H273" s="16" t="s">
        <v>1691</v>
      </c>
    </row>
    <row r="274" spans="1:8" ht="45" x14ac:dyDescent="0.3">
      <c r="A274" s="13">
        <v>20823</v>
      </c>
      <c r="B274" s="14" t="s">
        <v>1692</v>
      </c>
      <c r="C274" s="15" t="s">
        <v>1693</v>
      </c>
      <c r="D274" s="15" t="s">
        <v>1694</v>
      </c>
      <c r="E274" s="15" t="s">
        <v>1695</v>
      </c>
      <c r="F274" s="15" t="s">
        <v>1696</v>
      </c>
      <c r="G274" s="15" t="s">
        <v>1697</v>
      </c>
      <c r="H274" s="16" t="s">
        <v>1698</v>
      </c>
    </row>
    <row r="275" spans="1:8" ht="33.75" x14ac:dyDescent="0.3">
      <c r="A275" s="13">
        <v>20824</v>
      </c>
      <c r="B275" s="14" t="s">
        <v>1699</v>
      </c>
      <c r="C275" s="15" t="s">
        <v>1700</v>
      </c>
      <c r="D275" s="15" t="s">
        <v>1701</v>
      </c>
      <c r="E275" s="15" t="s">
        <v>1702</v>
      </c>
      <c r="F275" s="15" t="s">
        <v>1703</v>
      </c>
      <c r="G275" s="15" t="s">
        <v>1704</v>
      </c>
      <c r="H275" s="16" t="s">
        <v>1702</v>
      </c>
    </row>
    <row r="276" spans="1:8" ht="22.5" x14ac:dyDescent="0.3">
      <c r="A276" s="13">
        <v>20825</v>
      </c>
      <c r="B276" s="14" t="s">
        <v>1705</v>
      </c>
      <c r="C276" s="15" t="s">
        <v>1706</v>
      </c>
      <c r="D276" s="15" t="s">
        <v>1705</v>
      </c>
      <c r="E276" s="15" t="s">
        <v>1707</v>
      </c>
      <c r="F276" s="15" t="s">
        <v>1708</v>
      </c>
      <c r="G276" s="15" t="s">
        <v>1709</v>
      </c>
      <c r="H276" s="16" t="s">
        <v>1710</v>
      </c>
    </row>
    <row r="277" spans="1:8" ht="22.5" x14ac:dyDescent="0.3">
      <c r="A277" s="13">
        <v>20826</v>
      </c>
      <c r="B277" s="14" t="s">
        <v>1711</v>
      </c>
      <c r="C277" s="15" t="s">
        <v>1712</v>
      </c>
      <c r="D277" s="15" t="s">
        <v>1711</v>
      </c>
      <c r="E277" s="15" t="s">
        <v>1713</v>
      </c>
      <c r="F277" s="15" t="s">
        <v>1714</v>
      </c>
      <c r="G277" s="15" t="s">
        <v>1715</v>
      </c>
      <c r="H277" s="16" t="s">
        <v>1716</v>
      </c>
    </row>
    <row r="278" spans="1:8" ht="22.5" x14ac:dyDescent="0.3">
      <c r="A278" s="13">
        <v>20827</v>
      </c>
      <c r="B278" s="14" t="s">
        <v>1717</v>
      </c>
      <c r="C278" s="15" t="s">
        <v>1718</v>
      </c>
      <c r="D278" s="15" t="s">
        <v>1717</v>
      </c>
      <c r="E278" s="15" t="s">
        <v>1719</v>
      </c>
      <c r="F278" s="15" t="s">
        <v>1720</v>
      </c>
      <c r="G278" s="15" t="s">
        <v>1721</v>
      </c>
      <c r="H278" s="16" t="s">
        <v>1717</v>
      </c>
    </row>
    <row r="279" spans="1:8" ht="33.75" x14ac:dyDescent="0.3">
      <c r="A279" s="13">
        <v>20828</v>
      </c>
      <c r="B279" s="14" t="s">
        <v>1722</v>
      </c>
      <c r="C279" s="15" t="s">
        <v>1723</v>
      </c>
      <c r="D279" s="15" t="s">
        <v>1724</v>
      </c>
      <c r="E279" s="15" t="s">
        <v>1725</v>
      </c>
      <c r="F279" s="15" t="s">
        <v>1726</v>
      </c>
      <c r="G279" s="15" t="s">
        <v>1727</v>
      </c>
      <c r="H279" s="16" t="s">
        <v>1728</v>
      </c>
    </row>
    <row r="280" spans="1:8" x14ac:dyDescent="0.3">
      <c r="A280" s="13">
        <v>20829</v>
      </c>
      <c r="B280" s="14" t="s">
        <v>1729</v>
      </c>
      <c r="C280" s="15" t="s">
        <v>1730</v>
      </c>
      <c r="D280" s="15" t="s">
        <v>1729</v>
      </c>
      <c r="E280" s="15" t="s">
        <v>1731</v>
      </c>
      <c r="F280" s="15" t="s">
        <v>1732</v>
      </c>
      <c r="G280" s="15" t="s">
        <v>1729</v>
      </c>
      <c r="H280" s="16" t="s">
        <v>1733</v>
      </c>
    </row>
    <row r="281" spans="1:8" ht="33.75" x14ac:dyDescent="0.3">
      <c r="A281" s="13">
        <v>20830</v>
      </c>
      <c r="B281" s="14" t="s">
        <v>1734</v>
      </c>
      <c r="C281" s="15" t="s">
        <v>1735</v>
      </c>
      <c r="D281" s="15" t="s">
        <v>1736</v>
      </c>
      <c r="E281" s="15" t="s">
        <v>1737</v>
      </c>
      <c r="F281" s="15" t="s">
        <v>1736</v>
      </c>
      <c r="G281" s="15" t="s">
        <v>1738</v>
      </c>
      <c r="H281" s="16" t="s">
        <v>1739</v>
      </c>
    </row>
    <row r="282" spans="1:8" ht="22.5" x14ac:dyDescent="0.3">
      <c r="A282" s="13">
        <v>20831</v>
      </c>
      <c r="B282" s="14" t="s">
        <v>1740</v>
      </c>
      <c r="C282" s="15" t="s">
        <v>1741</v>
      </c>
      <c r="D282" s="15" t="s">
        <v>1742</v>
      </c>
      <c r="E282" s="15" t="s">
        <v>1743</v>
      </c>
      <c r="F282" s="15" t="s">
        <v>1742</v>
      </c>
      <c r="G282" s="15" t="s">
        <v>1744</v>
      </c>
      <c r="H282" s="16" t="s">
        <v>1745</v>
      </c>
    </row>
    <row r="283" spans="1:8" ht="22.5" x14ac:dyDescent="0.3">
      <c r="A283" s="13">
        <v>20832</v>
      </c>
      <c r="B283" s="14" t="s">
        <v>1746</v>
      </c>
      <c r="C283" s="15" t="s">
        <v>1747</v>
      </c>
      <c r="D283" s="15" t="s">
        <v>1748</v>
      </c>
      <c r="E283" s="15" t="s">
        <v>1749</v>
      </c>
      <c r="F283" s="15" t="s">
        <v>1750</v>
      </c>
      <c r="G283" s="15" t="s">
        <v>1751</v>
      </c>
      <c r="H283" s="16" t="s">
        <v>1752</v>
      </c>
    </row>
    <row r="284" spans="1:8" x14ac:dyDescent="0.3">
      <c r="A284" s="13">
        <v>20833</v>
      </c>
      <c r="B284" s="14" t="s">
        <v>1753</v>
      </c>
      <c r="C284" s="15" t="s">
        <v>1754</v>
      </c>
      <c r="D284" s="15" t="s">
        <v>1755</v>
      </c>
      <c r="E284" s="15" t="s">
        <v>1756</v>
      </c>
      <c r="F284" s="15" t="s">
        <v>1757</v>
      </c>
      <c r="G284" s="15" t="s">
        <v>1758</v>
      </c>
      <c r="H284" s="16" t="s">
        <v>1759</v>
      </c>
    </row>
    <row r="285" spans="1:8" ht="22.5" x14ac:dyDescent="0.3">
      <c r="A285" s="13">
        <v>20834</v>
      </c>
      <c r="B285" s="14" t="s">
        <v>1760</v>
      </c>
      <c r="C285" s="15" t="s">
        <v>1761</v>
      </c>
      <c r="D285" s="15" t="s">
        <v>1762</v>
      </c>
      <c r="E285" s="15" t="s">
        <v>1763</v>
      </c>
      <c r="F285" s="15" t="s">
        <v>1764</v>
      </c>
      <c r="G285" s="15" t="s">
        <v>1765</v>
      </c>
      <c r="H285" s="16" t="s">
        <v>1766</v>
      </c>
    </row>
    <row r="286" spans="1:8" ht="22.5" x14ac:dyDescent="0.3">
      <c r="A286" s="13" t="s">
        <v>1767</v>
      </c>
      <c r="B286" s="14" t="s">
        <v>19724</v>
      </c>
      <c r="C286" s="15" t="s">
        <v>1768</v>
      </c>
      <c r="D286" s="15" t="s">
        <v>1769</v>
      </c>
      <c r="E286" s="15" t="s">
        <v>1770</v>
      </c>
      <c r="F286" s="15" t="s">
        <v>1771</v>
      </c>
      <c r="G286" s="15" t="s">
        <v>1772</v>
      </c>
      <c r="H286" s="16" t="s">
        <v>1773</v>
      </c>
    </row>
    <row r="287" spans="1:8" ht="33.75" x14ac:dyDescent="0.3">
      <c r="A287" s="13">
        <v>20835</v>
      </c>
      <c r="B287" s="14" t="s">
        <v>1774</v>
      </c>
      <c r="C287" s="15" t="s">
        <v>1775</v>
      </c>
      <c r="D287" s="15" t="s">
        <v>1776</v>
      </c>
      <c r="E287" s="15" t="s">
        <v>1777</v>
      </c>
      <c r="F287" s="15" t="s">
        <v>1778</v>
      </c>
      <c r="G287" s="15" t="s">
        <v>1774</v>
      </c>
      <c r="H287" s="16" t="s">
        <v>1779</v>
      </c>
    </row>
    <row r="288" spans="1:8" ht="33.75" x14ac:dyDescent="0.3">
      <c r="A288" s="13">
        <v>20836</v>
      </c>
      <c r="B288" s="14" t="s">
        <v>1780</v>
      </c>
      <c r="C288" s="15" t="s">
        <v>1781</v>
      </c>
      <c r="D288" s="15" t="s">
        <v>1782</v>
      </c>
      <c r="E288" s="15" t="s">
        <v>1783</v>
      </c>
      <c r="F288" s="15" t="s">
        <v>1784</v>
      </c>
      <c r="G288" s="15" t="s">
        <v>1785</v>
      </c>
      <c r="H288" s="16" t="s">
        <v>1782</v>
      </c>
    </row>
    <row r="289" spans="1:8" ht="78.75" x14ac:dyDescent="0.3">
      <c r="A289" s="13">
        <v>20837</v>
      </c>
      <c r="B289" s="14" t="s">
        <v>1786</v>
      </c>
      <c r="C289" s="15" t="s">
        <v>1787</v>
      </c>
      <c r="D289" s="15" t="s">
        <v>1788</v>
      </c>
      <c r="E289" s="15" t="s">
        <v>57</v>
      </c>
      <c r="F289" s="15" t="s">
        <v>1789</v>
      </c>
      <c r="G289" s="15" t="s">
        <v>57</v>
      </c>
      <c r="H289" s="16" t="s">
        <v>1790</v>
      </c>
    </row>
    <row r="290" spans="1:8" ht="22.5" x14ac:dyDescent="0.3">
      <c r="A290" s="13">
        <v>20838</v>
      </c>
      <c r="B290" s="14" t="s">
        <v>1791</v>
      </c>
      <c r="C290" s="15" t="s">
        <v>1792</v>
      </c>
      <c r="D290" s="15" t="s">
        <v>1793</v>
      </c>
      <c r="E290" s="15" t="s">
        <v>1791</v>
      </c>
      <c r="F290" s="15" t="s">
        <v>1794</v>
      </c>
      <c r="G290" s="15" t="s">
        <v>1795</v>
      </c>
      <c r="H290" s="16" t="s">
        <v>1796</v>
      </c>
    </row>
    <row r="291" spans="1:8" ht="22.5" x14ac:dyDescent="0.3">
      <c r="A291" s="13">
        <v>20839</v>
      </c>
      <c r="B291" s="14" t="s">
        <v>1797</v>
      </c>
      <c r="C291" s="15" t="s">
        <v>1798</v>
      </c>
      <c r="D291" s="15" t="s">
        <v>1799</v>
      </c>
      <c r="E291" s="15" t="s">
        <v>1800</v>
      </c>
      <c r="F291" s="15" t="s">
        <v>1801</v>
      </c>
      <c r="G291" s="15" t="s">
        <v>1802</v>
      </c>
      <c r="H291" s="16" t="s">
        <v>1803</v>
      </c>
    </row>
    <row r="292" spans="1:8" x14ac:dyDescent="0.3">
      <c r="A292" s="13">
        <v>20840</v>
      </c>
      <c r="B292" s="14" t="s">
        <v>1804</v>
      </c>
      <c r="C292" s="15" t="s">
        <v>1805</v>
      </c>
      <c r="D292" s="15" t="s">
        <v>1806</v>
      </c>
      <c r="E292" s="15" t="s">
        <v>1807</v>
      </c>
      <c r="F292" s="15" t="s">
        <v>1808</v>
      </c>
      <c r="G292" s="15" t="s">
        <v>1809</v>
      </c>
      <c r="H292" s="16" t="s">
        <v>1810</v>
      </c>
    </row>
    <row r="293" spans="1:8" x14ac:dyDescent="0.3">
      <c r="A293" s="13">
        <v>20841</v>
      </c>
      <c r="B293" s="14" t="s">
        <v>1811</v>
      </c>
      <c r="C293" s="15" t="s">
        <v>1812</v>
      </c>
      <c r="D293" s="15" t="s">
        <v>1811</v>
      </c>
      <c r="E293" s="15" t="s">
        <v>1811</v>
      </c>
      <c r="F293" s="15" t="s">
        <v>1813</v>
      </c>
      <c r="G293" s="15" t="s">
        <v>1814</v>
      </c>
      <c r="H293" s="16" t="s">
        <v>1815</v>
      </c>
    </row>
    <row r="294" spans="1:8" ht="22.5" x14ac:dyDescent="0.3">
      <c r="A294" s="13">
        <v>20842</v>
      </c>
      <c r="B294" s="14" t="s">
        <v>1816</v>
      </c>
      <c r="C294" s="15" t="s">
        <v>57</v>
      </c>
      <c r="D294" s="15" t="s">
        <v>1817</v>
      </c>
      <c r="E294" s="15" t="s">
        <v>1818</v>
      </c>
      <c r="F294" s="15" t="s">
        <v>1819</v>
      </c>
      <c r="G294" s="15" t="s">
        <v>1820</v>
      </c>
      <c r="H294" s="16" t="s">
        <v>1818</v>
      </c>
    </row>
    <row r="295" spans="1:8" x14ac:dyDescent="0.3">
      <c r="A295" s="13">
        <v>20901</v>
      </c>
      <c r="B295" s="14" t="s">
        <v>1821</v>
      </c>
      <c r="C295" s="15" t="s">
        <v>1822</v>
      </c>
      <c r="D295" s="15" t="s">
        <v>1823</v>
      </c>
      <c r="E295" s="15" t="s">
        <v>1824</v>
      </c>
      <c r="F295" s="15" t="s">
        <v>1825</v>
      </c>
      <c r="G295" s="15" t="s">
        <v>1826</v>
      </c>
      <c r="H295" s="16" t="s">
        <v>1825</v>
      </c>
    </row>
    <row r="296" spans="1:8" ht="33.75" x14ac:dyDescent="0.3">
      <c r="A296" s="13">
        <v>20902</v>
      </c>
      <c r="B296" s="14" t="s">
        <v>1827</v>
      </c>
      <c r="C296" s="15" t="s">
        <v>1828</v>
      </c>
      <c r="D296" s="15" t="s">
        <v>1829</v>
      </c>
      <c r="E296" s="15" t="s">
        <v>1830</v>
      </c>
      <c r="F296" s="15" t="s">
        <v>1831</v>
      </c>
      <c r="G296" s="15" t="s">
        <v>1832</v>
      </c>
      <c r="H296" s="16" t="s">
        <v>1833</v>
      </c>
    </row>
    <row r="297" spans="1:8" x14ac:dyDescent="0.3">
      <c r="A297" s="13">
        <v>20903</v>
      </c>
      <c r="B297" s="14" t="s">
        <v>1834</v>
      </c>
      <c r="C297" s="15" t="s">
        <v>1835</v>
      </c>
      <c r="D297" s="15" t="s">
        <v>1834</v>
      </c>
      <c r="E297" s="15" t="s">
        <v>1834</v>
      </c>
      <c r="F297" s="15" t="s">
        <v>1836</v>
      </c>
      <c r="G297" s="15" t="s">
        <v>1837</v>
      </c>
      <c r="H297" s="16" t="s">
        <v>1834</v>
      </c>
    </row>
    <row r="298" spans="1:8" x14ac:dyDescent="0.3">
      <c r="A298" s="13">
        <v>20904</v>
      </c>
      <c r="B298" s="14" t="s">
        <v>1838</v>
      </c>
      <c r="C298" s="15" t="s">
        <v>1839</v>
      </c>
      <c r="D298" s="15" t="s">
        <v>1840</v>
      </c>
      <c r="E298" s="15" t="s">
        <v>1841</v>
      </c>
      <c r="F298" s="15" t="s">
        <v>1842</v>
      </c>
      <c r="G298" s="15" t="s">
        <v>1843</v>
      </c>
      <c r="H298" s="16" t="s">
        <v>1844</v>
      </c>
    </row>
    <row r="299" spans="1:8" ht="56.25" x14ac:dyDescent="0.3">
      <c r="A299" s="13">
        <v>20905</v>
      </c>
      <c r="B299" s="14" t="s">
        <v>1845</v>
      </c>
      <c r="C299" s="15" t="s">
        <v>1846</v>
      </c>
      <c r="D299" s="15" t="s">
        <v>1847</v>
      </c>
      <c r="E299" s="15" t="s">
        <v>1848</v>
      </c>
      <c r="F299" s="15" t="s">
        <v>1849</v>
      </c>
      <c r="G299" s="15" t="s">
        <v>1850</v>
      </c>
      <c r="H299" s="16" t="s">
        <v>1851</v>
      </c>
    </row>
    <row r="300" spans="1:8" ht="33.75" x14ac:dyDescent="0.3">
      <c r="A300" s="13">
        <v>20906</v>
      </c>
      <c r="B300" s="14" t="s">
        <v>1852</v>
      </c>
      <c r="C300" s="15" t="s">
        <v>1853</v>
      </c>
      <c r="D300" s="15" t="s">
        <v>1854</v>
      </c>
      <c r="E300" s="15" t="s">
        <v>1855</v>
      </c>
      <c r="F300" s="15" t="s">
        <v>1856</v>
      </c>
      <c r="G300" s="15" t="s">
        <v>1857</v>
      </c>
      <c r="H300" s="16" t="s">
        <v>1858</v>
      </c>
    </row>
    <row r="301" spans="1:8" x14ac:dyDescent="0.3">
      <c r="A301" s="13">
        <v>20907</v>
      </c>
      <c r="B301" s="14" t="s">
        <v>1859</v>
      </c>
      <c r="C301" s="15" t="s">
        <v>1860</v>
      </c>
      <c r="D301" s="15" t="s">
        <v>1861</v>
      </c>
      <c r="E301" s="15" t="s">
        <v>1862</v>
      </c>
      <c r="F301" s="15" t="s">
        <v>1863</v>
      </c>
      <c r="G301" s="15" t="s">
        <v>1864</v>
      </c>
      <c r="H301" s="16" t="s">
        <v>1865</v>
      </c>
    </row>
    <row r="302" spans="1:8" x14ac:dyDescent="0.3">
      <c r="A302" s="13" t="s">
        <v>1866</v>
      </c>
      <c r="B302" s="14" t="s">
        <v>1867</v>
      </c>
      <c r="C302" s="15" t="s">
        <v>1868</v>
      </c>
      <c r="D302" s="15" t="s">
        <v>1869</v>
      </c>
      <c r="E302" s="15" t="s">
        <v>1870</v>
      </c>
      <c r="F302" s="15" t="s">
        <v>1871</v>
      </c>
      <c r="G302" s="15" t="s">
        <v>1872</v>
      </c>
      <c r="H302" s="16" t="s">
        <v>1873</v>
      </c>
    </row>
    <row r="303" spans="1:8" x14ac:dyDescent="0.3">
      <c r="A303" s="13" t="s">
        <v>1874</v>
      </c>
      <c r="B303" s="14" t="s">
        <v>1875</v>
      </c>
      <c r="C303" s="15" t="s">
        <v>1876</v>
      </c>
      <c r="D303" s="15" t="s">
        <v>1877</v>
      </c>
      <c r="E303" s="15" t="s">
        <v>1878</v>
      </c>
      <c r="F303" s="15" t="s">
        <v>1879</v>
      </c>
      <c r="G303" s="15" t="s">
        <v>1880</v>
      </c>
      <c r="H303" s="16" t="s">
        <v>1873</v>
      </c>
    </row>
    <row r="304" spans="1:8" ht="45" x14ac:dyDescent="0.3">
      <c r="A304" s="13">
        <v>20908</v>
      </c>
      <c r="B304" s="14" t="s">
        <v>1881</v>
      </c>
      <c r="C304" s="15" t="s">
        <v>1882</v>
      </c>
      <c r="D304" s="15" t="s">
        <v>1883</v>
      </c>
      <c r="E304" s="15" t="s">
        <v>1884</v>
      </c>
      <c r="F304" s="15" t="s">
        <v>1885</v>
      </c>
      <c r="G304" s="15" t="s">
        <v>1886</v>
      </c>
      <c r="H304" s="16" t="s">
        <v>1887</v>
      </c>
    </row>
    <row r="305" spans="1:8" x14ac:dyDescent="0.3">
      <c r="A305" s="13">
        <v>20909</v>
      </c>
      <c r="B305" s="14" t="s">
        <v>1888</v>
      </c>
      <c r="C305" s="15" t="s">
        <v>1889</v>
      </c>
      <c r="D305" s="15" t="s">
        <v>1890</v>
      </c>
      <c r="E305" s="15" t="s">
        <v>1891</v>
      </c>
      <c r="F305" s="15" t="s">
        <v>1892</v>
      </c>
      <c r="G305" s="15" t="s">
        <v>1893</v>
      </c>
      <c r="H305" s="16" t="s">
        <v>1894</v>
      </c>
    </row>
    <row r="306" spans="1:8" ht="33.75" x14ac:dyDescent="0.3">
      <c r="A306" s="13">
        <v>20910</v>
      </c>
      <c r="B306" s="14" t="s">
        <v>1895</v>
      </c>
      <c r="C306" s="15" t="s">
        <v>1896</v>
      </c>
      <c r="D306" s="15" t="s">
        <v>1897</v>
      </c>
      <c r="E306" s="15"/>
      <c r="F306" s="15"/>
      <c r="G306" s="15" t="s">
        <v>1898</v>
      </c>
      <c r="H306" s="16" t="s">
        <v>1899</v>
      </c>
    </row>
    <row r="307" spans="1:8" ht="56.25" x14ac:dyDescent="0.3">
      <c r="A307" s="13">
        <v>20911</v>
      </c>
      <c r="B307" s="14" t="s">
        <v>1900</v>
      </c>
      <c r="C307" s="15" t="s">
        <v>1901</v>
      </c>
      <c r="D307" s="15" t="s">
        <v>1902</v>
      </c>
      <c r="E307" s="15" t="s">
        <v>1903</v>
      </c>
      <c r="F307" s="15" t="s">
        <v>1904</v>
      </c>
      <c r="G307" s="15" t="s">
        <v>1905</v>
      </c>
      <c r="H307" s="16" t="s">
        <v>1906</v>
      </c>
    </row>
    <row r="308" spans="1:8" ht="22.5" x14ac:dyDescent="0.3">
      <c r="A308" s="13">
        <v>20912</v>
      </c>
      <c r="B308" s="14" t="s">
        <v>1907</v>
      </c>
      <c r="C308" s="15" t="s">
        <v>1908</v>
      </c>
      <c r="D308" s="15" t="s">
        <v>1909</v>
      </c>
      <c r="E308" s="15" t="s">
        <v>1910</v>
      </c>
      <c r="F308" s="15" t="s">
        <v>1911</v>
      </c>
      <c r="G308" s="15" t="s">
        <v>1912</v>
      </c>
      <c r="H308" s="16" t="s">
        <v>1910</v>
      </c>
    </row>
    <row r="309" spans="1:8" ht="33.75" x14ac:dyDescent="0.3">
      <c r="A309" s="13">
        <v>20913</v>
      </c>
      <c r="B309" s="14" t="s">
        <v>1913</v>
      </c>
      <c r="C309" s="15" t="s">
        <v>1914</v>
      </c>
      <c r="D309" s="15" t="s">
        <v>1915</v>
      </c>
      <c r="E309" s="15" t="s">
        <v>1916</v>
      </c>
      <c r="F309" s="15" t="s">
        <v>1917</v>
      </c>
      <c r="G309" s="15" t="s">
        <v>1915</v>
      </c>
      <c r="H309" s="16" t="s">
        <v>1918</v>
      </c>
    </row>
    <row r="310" spans="1:8" ht="67.5" x14ac:dyDescent="0.3">
      <c r="A310" s="13">
        <v>20914</v>
      </c>
      <c r="B310" s="14" t="s">
        <v>1919</v>
      </c>
      <c r="C310" s="15" t="s">
        <v>1920</v>
      </c>
      <c r="D310" s="15" t="s">
        <v>1921</v>
      </c>
      <c r="E310" s="15" t="s">
        <v>1922</v>
      </c>
      <c r="F310" s="15" t="s">
        <v>1923</v>
      </c>
      <c r="G310" s="15" t="s">
        <v>1924</v>
      </c>
      <c r="H310" s="16" t="s">
        <v>1925</v>
      </c>
    </row>
    <row r="311" spans="1:8" ht="22.5" x14ac:dyDescent="0.3">
      <c r="A311" s="13">
        <v>20915</v>
      </c>
      <c r="B311" s="14" t="s">
        <v>1926</v>
      </c>
      <c r="C311" s="15" t="s">
        <v>1927</v>
      </c>
      <c r="D311" s="15" t="s">
        <v>1928</v>
      </c>
      <c r="E311" s="15" t="s">
        <v>1929</v>
      </c>
      <c r="F311" s="15" t="s">
        <v>1930</v>
      </c>
      <c r="G311" s="15" t="s">
        <v>1931</v>
      </c>
      <c r="H311" s="16" t="s">
        <v>1932</v>
      </c>
    </row>
    <row r="312" spans="1:8" ht="45" x14ac:dyDescent="0.3">
      <c r="A312" s="13">
        <v>20916</v>
      </c>
      <c r="B312" s="14" t="s">
        <v>1933</v>
      </c>
      <c r="C312" s="15" t="s">
        <v>1934</v>
      </c>
      <c r="D312" s="15" t="s">
        <v>1935</v>
      </c>
      <c r="E312" s="15" t="s">
        <v>1936</v>
      </c>
      <c r="F312" s="15" t="s">
        <v>1937</v>
      </c>
      <c r="G312" s="15" t="s">
        <v>1938</v>
      </c>
      <c r="H312" s="16" t="s">
        <v>1939</v>
      </c>
    </row>
    <row r="313" spans="1:8" ht="78.75" x14ac:dyDescent="0.3">
      <c r="A313" s="13">
        <v>20917</v>
      </c>
      <c r="B313" s="14" t="s">
        <v>1940</v>
      </c>
      <c r="C313" s="15" t="s">
        <v>1941</v>
      </c>
      <c r="D313" s="15" t="s">
        <v>1942</v>
      </c>
      <c r="E313" s="15" t="s">
        <v>1943</v>
      </c>
      <c r="F313" s="15" t="s">
        <v>1944</v>
      </c>
      <c r="G313" s="15" t="s">
        <v>1945</v>
      </c>
      <c r="H313" s="16" t="s">
        <v>1946</v>
      </c>
    </row>
    <row r="314" spans="1:8" ht="22.5" x14ac:dyDescent="0.3">
      <c r="A314" s="13" t="s">
        <v>1947</v>
      </c>
      <c r="B314" s="14" t="s">
        <v>1948</v>
      </c>
      <c r="C314" s="15" t="s">
        <v>1949</v>
      </c>
      <c r="D314" s="15" t="s">
        <v>1950</v>
      </c>
      <c r="E314" s="15" t="s">
        <v>1951</v>
      </c>
      <c r="F314" s="15" t="s">
        <v>1948</v>
      </c>
      <c r="G314" s="15" t="s">
        <v>1952</v>
      </c>
      <c r="H314" s="16" t="s">
        <v>1953</v>
      </c>
    </row>
    <row r="315" spans="1:8" ht="33.75" x14ac:dyDescent="0.3">
      <c r="A315" s="13">
        <v>20918</v>
      </c>
      <c r="B315" s="14" t="s">
        <v>1954</v>
      </c>
      <c r="C315" s="15" t="s">
        <v>1955</v>
      </c>
      <c r="D315" s="15" t="s">
        <v>1956</v>
      </c>
      <c r="E315" s="15" t="s">
        <v>1957</v>
      </c>
      <c r="F315" s="15" t="s">
        <v>1958</v>
      </c>
      <c r="G315" s="15" t="s">
        <v>1959</v>
      </c>
      <c r="H315" s="16" t="s">
        <v>1960</v>
      </c>
    </row>
    <row r="316" spans="1:8" ht="22.5" x14ac:dyDescent="0.3">
      <c r="A316" s="13">
        <v>20919</v>
      </c>
      <c r="B316" s="14" t="s">
        <v>1961</v>
      </c>
      <c r="C316" s="15" t="s">
        <v>1962</v>
      </c>
      <c r="D316" s="15" t="s">
        <v>1963</v>
      </c>
      <c r="E316" s="15" t="s">
        <v>1964</v>
      </c>
      <c r="F316" s="15" t="s">
        <v>1965</v>
      </c>
      <c r="G316" s="15" t="s">
        <v>1966</v>
      </c>
      <c r="H316" s="16" t="s">
        <v>1967</v>
      </c>
    </row>
    <row r="317" spans="1:8" ht="33.75" x14ac:dyDescent="0.3">
      <c r="A317" s="13">
        <v>20920</v>
      </c>
      <c r="B317" s="14" t="s">
        <v>1968</v>
      </c>
      <c r="C317" s="15" t="s">
        <v>1969</v>
      </c>
      <c r="D317" s="15" t="s">
        <v>1970</v>
      </c>
      <c r="E317" s="15" t="s">
        <v>1971</v>
      </c>
      <c r="F317" s="15" t="s">
        <v>1972</v>
      </c>
      <c r="G317" s="15" t="s">
        <v>1973</v>
      </c>
      <c r="H317" s="16" t="s">
        <v>1970</v>
      </c>
    </row>
    <row r="318" spans="1:8" ht="45" x14ac:dyDescent="0.3">
      <c r="A318" s="13">
        <v>20921</v>
      </c>
      <c r="B318" s="14" t="s">
        <v>1974</v>
      </c>
      <c r="C318" s="15" t="s">
        <v>1975</v>
      </c>
      <c r="D318" s="15"/>
      <c r="E318" s="15" t="s">
        <v>1976</v>
      </c>
      <c r="F318" s="15" t="s">
        <v>1977</v>
      </c>
      <c r="G318" s="15" t="s">
        <v>1978</v>
      </c>
      <c r="H318" s="16" t="s">
        <v>57</v>
      </c>
    </row>
    <row r="319" spans="1:8" ht="56.25" x14ac:dyDescent="0.3">
      <c r="A319" s="13">
        <v>20922</v>
      </c>
      <c r="B319" s="14" t="s">
        <v>1979</v>
      </c>
      <c r="C319" s="15" t="s">
        <v>1980</v>
      </c>
      <c r="D319" s="15" t="s">
        <v>1981</v>
      </c>
      <c r="E319" s="15" t="s">
        <v>1982</v>
      </c>
      <c r="F319" s="15" t="s">
        <v>1983</v>
      </c>
      <c r="G319" s="15" t="s">
        <v>1984</v>
      </c>
      <c r="H319" s="16" t="s">
        <v>1985</v>
      </c>
    </row>
    <row r="320" spans="1:8" ht="22.5" x14ac:dyDescent="0.3">
      <c r="A320" s="13" t="s">
        <v>1986</v>
      </c>
      <c r="B320" s="14" t="s">
        <v>1987</v>
      </c>
      <c r="C320" s="15" t="s">
        <v>1988</v>
      </c>
      <c r="D320" s="15"/>
      <c r="E320" s="15"/>
      <c r="F320" s="15" t="s">
        <v>1989</v>
      </c>
      <c r="G320" s="15" t="s">
        <v>1984</v>
      </c>
      <c r="H320" s="16" t="s">
        <v>1990</v>
      </c>
    </row>
    <row r="321" spans="1:8" ht="33.75" x14ac:dyDescent="0.3">
      <c r="A321" s="13" t="s">
        <v>1991</v>
      </c>
      <c r="B321" s="14" t="s">
        <v>1992</v>
      </c>
      <c r="C321" s="15" t="s">
        <v>1993</v>
      </c>
      <c r="D321" s="15"/>
      <c r="E321" s="15"/>
      <c r="F321" s="15" t="s">
        <v>57</v>
      </c>
      <c r="G321" s="15" t="s">
        <v>1994</v>
      </c>
      <c r="H321" s="16" t="s">
        <v>1995</v>
      </c>
    </row>
    <row r="322" spans="1:8" ht="33.75" x14ac:dyDescent="0.3">
      <c r="A322" s="13">
        <v>20923</v>
      </c>
      <c r="B322" s="14" t="s">
        <v>1996</v>
      </c>
      <c r="C322" s="15" t="s">
        <v>1997</v>
      </c>
      <c r="D322" s="15" t="s">
        <v>1998</v>
      </c>
      <c r="E322" s="15" t="s">
        <v>1999</v>
      </c>
      <c r="F322" s="15" t="s">
        <v>2000</v>
      </c>
      <c r="G322" s="15" t="s">
        <v>2001</v>
      </c>
      <c r="H322" s="16" t="s">
        <v>2002</v>
      </c>
    </row>
    <row r="323" spans="1:8" ht="22.5" x14ac:dyDescent="0.3">
      <c r="A323" s="13">
        <v>20924</v>
      </c>
      <c r="B323" s="14" t="s">
        <v>2003</v>
      </c>
      <c r="C323" s="15" t="s">
        <v>2004</v>
      </c>
      <c r="D323" s="15" t="s">
        <v>2005</v>
      </c>
      <c r="E323" s="15" t="s">
        <v>2006</v>
      </c>
      <c r="F323" s="15" t="s">
        <v>2007</v>
      </c>
      <c r="G323" s="15" t="s">
        <v>2008</v>
      </c>
      <c r="H323" s="16" t="s">
        <v>2009</v>
      </c>
    </row>
    <row r="324" spans="1:8" ht="22.5" x14ac:dyDescent="0.3">
      <c r="A324" s="13">
        <v>20925</v>
      </c>
      <c r="B324" s="14" t="s">
        <v>2010</v>
      </c>
      <c r="C324" s="15" t="s">
        <v>2011</v>
      </c>
      <c r="D324" s="15" t="s">
        <v>2012</v>
      </c>
      <c r="E324" s="15" t="s">
        <v>669</v>
      </c>
      <c r="F324" s="15" t="s">
        <v>2013</v>
      </c>
      <c r="G324" s="15" t="s">
        <v>2014</v>
      </c>
      <c r="H324" s="16" t="s">
        <v>2015</v>
      </c>
    </row>
    <row r="325" spans="1:8" x14ac:dyDescent="0.3">
      <c r="A325" s="13">
        <v>20926</v>
      </c>
      <c r="B325" s="14" t="s">
        <v>2016</v>
      </c>
      <c r="C325" s="15" t="s">
        <v>2017</v>
      </c>
      <c r="D325" s="15" t="s">
        <v>2018</v>
      </c>
      <c r="E325" s="15" t="s">
        <v>2019</v>
      </c>
      <c r="F325" s="15" t="s">
        <v>2020</v>
      </c>
      <c r="G325" s="15"/>
      <c r="H325" s="16" t="s">
        <v>2021</v>
      </c>
    </row>
    <row r="326" spans="1:8" ht="33.75" x14ac:dyDescent="0.3">
      <c r="A326" s="13">
        <v>20927</v>
      </c>
      <c r="B326" s="14" t="s">
        <v>2022</v>
      </c>
      <c r="C326" s="15" t="s">
        <v>2023</v>
      </c>
      <c r="D326" s="15" t="s">
        <v>2024</v>
      </c>
      <c r="E326" s="15" t="s">
        <v>2025</v>
      </c>
      <c r="F326" s="15" t="s">
        <v>2026</v>
      </c>
      <c r="G326" s="15" t="s">
        <v>2027</v>
      </c>
      <c r="H326" s="16" t="s">
        <v>2028</v>
      </c>
    </row>
    <row r="327" spans="1:8" ht="22.5" x14ac:dyDescent="0.3">
      <c r="A327" s="13">
        <v>20928</v>
      </c>
      <c r="B327" s="14" t="s">
        <v>2029</v>
      </c>
      <c r="C327" s="15" t="s">
        <v>2030</v>
      </c>
      <c r="D327" s="15" t="s">
        <v>2031</v>
      </c>
      <c r="E327" s="15" t="s">
        <v>2032</v>
      </c>
      <c r="F327" s="15" t="s">
        <v>57</v>
      </c>
      <c r="G327" s="15" t="s">
        <v>57</v>
      </c>
      <c r="H327" s="16" t="s">
        <v>2033</v>
      </c>
    </row>
    <row r="328" spans="1:8" ht="22.5" x14ac:dyDescent="0.3">
      <c r="A328" s="13">
        <v>20929</v>
      </c>
      <c r="B328" s="14" t="s">
        <v>2034</v>
      </c>
      <c r="C328" s="15" t="s">
        <v>2035</v>
      </c>
      <c r="D328" s="15" t="s">
        <v>2036</v>
      </c>
      <c r="E328" s="15" t="s">
        <v>2037</v>
      </c>
      <c r="F328" s="15" t="s">
        <v>2038</v>
      </c>
      <c r="G328" s="15" t="s">
        <v>2039</v>
      </c>
      <c r="H328" s="16" t="s">
        <v>2040</v>
      </c>
    </row>
    <row r="329" spans="1:8" ht="33.75" x14ac:dyDescent="0.3">
      <c r="A329" s="13">
        <v>20930</v>
      </c>
      <c r="B329" s="14" t="s">
        <v>2041</v>
      </c>
      <c r="C329" s="15" t="s">
        <v>2042</v>
      </c>
      <c r="D329" s="15" t="s">
        <v>2043</v>
      </c>
      <c r="E329" s="15" t="s">
        <v>2043</v>
      </c>
      <c r="F329" s="15" t="s">
        <v>2044</v>
      </c>
      <c r="G329" s="15" t="s">
        <v>2045</v>
      </c>
      <c r="H329" s="16" t="s">
        <v>2043</v>
      </c>
    </row>
    <row r="330" spans="1:8" ht="22.5" x14ac:dyDescent="0.3">
      <c r="A330" s="13" t="s">
        <v>2046</v>
      </c>
      <c r="B330" s="14" t="s">
        <v>19726</v>
      </c>
      <c r="C330" s="15" t="s">
        <v>2047</v>
      </c>
      <c r="D330" s="15"/>
      <c r="E330" s="15" t="s">
        <v>2048</v>
      </c>
      <c r="F330" s="15" t="s">
        <v>2049</v>
      </c>
      <c r="G330" s="15" t="s">
        <v>2050</v>
      </c>
      <c r="H330" s="16" t="s">
        <v>2051</v>
      </c>
    </row>
    <row r="331" spans="1:8" ht="45" x14ac:dyDescent="0.3">
      <c r="A331" s="13">
        <v>20931</v>
      </c>
      <c r="B331" s="14" t="s">
        <v>2052</v>
      </c>
      <c r="C331" s="15" t="s">
        <v>2053</v>
      </c>
      <c r="D331" s="15" t="s">
        <v>2054</v>
      </c>
      <c r="E331" s="15" t="s">
        <v>2055</v>
      </c>
      <c r="F331" s="15" t="s">
        <v>2056</v>
      </c>
      <c r="G331" s="15" t="s">
        <v>2057</v>
      </c>
      <c r="H331" s="16" t="s">
        <v>2058</v>
      </c>
    </row>
    <row r="332" spans="1:8" ht="33.75" x14ac:dyDescent="0.3">
      <c r="A332" s="13">
        <v>20932</v>
      </c>
      <c r="B332" s="14" t="s">
        <v>2059</v>
      </c>
      <c r="C332" s="15" t="s">
        <v>2060</v>
      </c>
      <c r="D332" s="15"/>
      <c r="E332" s="15" t="s">
        <v>2061</v>
      </c>
      <c r="F332" s="15"/>
      <c r="G332" s="15" t="s">
        <v>57</v>
      </c>
      <c r="H332" s="16" t="s">
        <v>2062</v>
      </c>
    </row>
    <row r="333" spans="1:8" ht="78.75" x14ac:dyDescent="0.3">
      <c r="A333" s="13">
        <v>20933</v>
      </c>
      <c r="B333" s="14" t="s">
        <v>2063</v>
      </c>
      <c r="C333" s="15" t="s">
        <v>2064</v>
      </c>
      <c r="D333" s="15" t="s">
        <v>2065</v>
      </c>
      <c r="E333" s="15" t="s">
        <v>2066</v>
      </c>
      <c r="F333" s="15" t="s">
        <v>2067</v>
      </c>
      <c r="G333" s="15" t="s">
        <v>2068</v>
      </c>
      <c r="H333" s="16" t="s">
        <v>2069</v>
      </c>
    </row>
    <row r="334" spans="1:8" ht="67.5" x14ac:dyDescent="0.3">
      <c r="A334" s="13">
        <v>20934</v>
      </c>
      <c r="B334" s="14" t="s">
        <v>2070</v>
      </c>
      <c r="C334" s="15" t="s">
        <v>2071</v>
      </c>
      <c r="D334" s="15" t="s">
        <v>2072</v>
      </c>
      <c r="E334" s="15" t="s">
        <v>2073</v>
      </c>
      <c r="F334" s="15" t="s">
        <v>2074</v>
      </c>
      <c r="G334" s="15" t="s">
        <v>2075</v>
      </c>
      <c r="H334" s="16" t="s">
        <v>2076</v>
      </c>
    </row>
    <row r="335" spans="1:8" ht="22.5" x14ac:dyDescent="0.3">
      <c r="A335" s="13">
        <v>20935</v>
      </c>
      <c r="B335" s="14" t="s">
        <v>2077</v>
      </c>
      <c r="C335" s="15" t="s">
        <v>2078</v>
      </c>
      <c r="D335" s="15" t="s">
        <v>2079</v>
      </c>
      <c r="E335" s="15" t="s">
        <v>2080</v>
      </c>
      <c r="F335" s="15" t="s">
        <v>2081</v>
      </c>
      <c r="G335" s="15" t="s">
        <v>2082</v>
      </c>
      <c r="H335" s="16" t="s">
        <v>2083</v>
      </c>
    </row>
    <row r="336" spans="1:8" ht="45" x14ac:dyDescent="0.3">
      <c r="A336" s="13">
        <v>20936</v>
      </c>
      <c r="B336" s="14" t="s">
        <v>2084</v>
      </c>
      <c r="C336" s="15" t="s">
        <v>2085</v>
      </c>
      <c r="D336" s="15" t="s">
        <v>2084</v>
      </c>
      <c r="E336" s="15" t="s">
        <v>2086</v>
      </c>
      <c r="F336" s="15" t="s">
        <v>2087</v>
      </c>
      <c r="G336" s="15" t="s">
        <v>2088</v>
      </c>
      <c r="H336" s="16" t="s">
        <v>2089</v>
      </c>
    </row>
    <row r="337" spans="1:8" ht="33.75" x14ac:dyDescent="0.3">
      <c r="A337" s="13">
        <v>20937</v>
      </c>
      <c r="B337" s="14" t="s">
        <v>2090</v>
      </c>
      <c r="C337" s="15" t="s">
        <v>2091</v>
      </c>
      <c r="D337" s="15" t="s">
        <v>2092</v>
      </c>
      <c r="E337" s="15" t="s">
        <v>2093</v>
      </c>
      <c r="F337" s="15" t="s">
        <v>2094</v>
      </c>
      <c r="G337" s="15" t="s">
        <v>2090</v>
      </c>
      <c r="H337" s="16" t="s">
        <v>2095</v>
      </c>
    </row>
    <row r="338" spans="1:8" ht="33.75" x14ac:dyDescent="0.3">
      <c r="A338" s="13">
        <v>20938</v>
      </c>
      <c r="B338" s="14" t="s">
        <v>2096</v>
      </c>
      <c r="C338" s="15" t="s">
        <v>2097</v>
      </c>
      <c r="D338" s="15" t="s">
        <v>2098</v>
      </c>
      <c r="E338" s="15" t="s">
        <v>2099</v>
      </c>
      <c r="F338" s="15" t="s">
        <v>2100</v>
      </c>
      <c r="G338" s="15" t="s">
        <v>2101</v>
      </c>
      <c r="H338" s="16" t="s">
        <v>2102</v>
      </c>
    </row>
    <row r="339" spans="1:8" ht="33.75" x14ac:dyDescent="0.3">
      <c r="A339" s="13">
        <v>20939</v>
      </c>
      <c r="B339" s="14" t="s">
        <v>2103</v>
      </c>
      <c r="C339" s="15" t="s">
        <v>2104</v>
      </c>
      <c r="D339" s="15" t="s">
        <v>2105</v>
      </c>
      <c r="E339" s="15" t="s">
        <v>2106</v>
      </c>
      <c r="F339" s="15" t="s">
        <v>2107</v>
      </c>
      <c r="G339" s="15" t="s">
        <v>2108</v>
      </c>
      <c r="H339" s="16" t="s">
        <v>2103</v>
      </c>
    </row>
    <row r="340" spans="1:8" ht="33.75" x14ac:dyDescent="0.3">
      <c r="A340" s="13">
        <v>20940</v>
      </c>
      <c r="B340" s="14" t="s">
        <v>2109</v>
      </c>
      <c r="C340" s="15" t="s">
        <v>2110</v>
      </c>
      <c r="D340" s="15" t="s">
        <v>2111</v>
      </c>
      <c r="E340" s="15" t="s">
        <v>2112</v>
      </c>
      <c r="F340" s="15" t="s">
        <v>2113</v>
      </c>
      <c r="G340" s="15" t="s">
        <v>2114</v>
      </c>
      <c r="H340" s="16" t="s">
        <v>2115</v>
      </c>
    </row>
    <row r="341" spans="1:8" ht="33.75" x14ac:dyDescent="0.3">
      <c r="A341" s="13">
        <v>20941</v>
      </c>
      <c r="B341" s="14" t="s">
        <v>2116</v>
      </c>
      <c r="C341" s="15" t="s">
        <v>2117</v>
      </c>
      <c r="D341" s="15" t="s">
        <v>2118</v>
      </c>
      <c r="E341" s="15" t="s">
        <v>2116</v>
      </c>
      <c r="F341" s="15" t="s">
        <v>2119</v>
      </c>
      <c r="G341" s="15" t="s">
        <v>2120</v>
      </c>
      <c r="H341" s="16" t="s">
        <v>2121</v>
      </c>
    </row>
    <row r="342" spans="1:8" ht="67.5" x14ac:dyDescent="0.3">
      <c r="A342" s="13">
        <v>21001</v>
      </c>
      <c r="B342" s="14" t="s">
        <v>2122</v>
      </c>
      <c r="C342" s="15" t="s">
        <v>2123</v>
      </c>
      <c r="D342" s="15" t="s">
        <v>2124</v>
      </c>
      <c r="E342" s="15" t="s">
        <v>2125</v>
      </c>
      <c r="F342" s="15" t="s">
        <v>2126</v>
      </c>
      <c r="G342" s="15" t="s">
        <v>2127</v>
      </c>
      <c r="H342" s="16" t="s">
        <v>2128</v>
      </c>
    </row>
    <row r="343" spans="1:8" ht="45" x14ac:dyDescent="0.3">
      <c r="A343" s="13" t="s">
        <v>2129</v>
      </c>
      <c r="B343" s="14" t="s">
        <v>19726</v>
      </c>
      <c r="C343" s="15" t="s">
        <v>2130</v>
      </c>
      <c r="D343" s="15" t="s">
        <v>2131</v>
      </c>
      <c r="E343" s="15" t="s">
        <v>2132</v>
      </c>
      <c r="F343" s="15" t="s">
        <v>2133</v>
      </c>
      <c r="G343" s="15" t="s">
        <v>2134</v>
      </c>
      <c r="H343" s="16" t="s">
        <v>2135</v>
      </c>
    </row>
    <row r="344" spans="1:8" ht="33.75" x14ac:dyDescent="0.3">
      <c r="A344" s="13">
        <v>21002</v>
      </c>
      <c r="B344" s="14" t="s">
        <v>2136</v>
      </c>
      <c r="C344" s="15" t="s">
        <v>2137</v>
      </c>
      <c r="D344" s="15" t="s">
        <v>2138</v>
      </c>
      <c r="E344" s="15" t="s">
        <v>2136</v>
      </c>
      <c r="F344" s="15" t="s">
        <v>2139</v>
      </c>
      <c r="G344" s="15" t="s">
        <v>2140</v>
      </c>
      <c r="H344" s="16" t="s">
        <v>2141</v>
      </c>
    </row>
    <row r="345" spans="1:8" ht="33.75" x14ac:dyDescent="0.3">
      <c r="A345" s="13">
        <v>21003</v>
      </c>
      <c r="B345" s="14" t="s">
        <v>2142</v>
      </c>
      <c r="C345" s="15" t="s">
        <v>2143</v>
      </c>
      <c r="D345" s="15" t="s">
        <v>2144</v>
      </c>
      <c r="E345" s="15" t="s">
        <v>2142</v>
      </c>
      <c r="F345" s="15" t="s">
        <v>2145</v>
      </c>
      <c r="G345" s="15" t="s">
        <v>2146</v>
      </c>
      <c r="H345" s="16" t="s">
        <v>2142</v>
      </c>
    </row>
    <row r="346" spans="1:8" ht="22.5" x14ac:dyDescent="0.3">
      <c r="A346" s="13">
        <v>21004</v>
      </c>
      <c r="B346" s="14" t="s">
        <v>2147</v>
      </c>
      <c r="C346" s="15" t="s">
        <v>2148</v>
      </c>
      <c r="D346" s="15" t="s">
        <v>2149</v>
      </c>
      <c r="E346" s="15" t="s">
        <v>2150</v>
      </c>
      <c r="F346" s="15"/>
      <c r="G346" s="15" t="s">
        <v>57</v>
      </c>
      <c r="H346" s="16" t="s">
        <v>2151</v>
      </c>
    </row>
    <row r="347" spans="1:8" ht="22.5" x14ac:dyDescent="0.3">
      <c r="A347" s="13">
        <v>21005</v>
      </c>
      <c r="B347" s="14" t="s">
        <v>2152</v>
      </c>
      <c r="C347" s="15" t="s">
        <v>2148</v>
      </c>
      <c r="D347" s="15" t="s">
        <v>2153</v>
      </c>
      <c r="E347" s="15" t="s">
        <v>2150</v>
      </c>
      <c r="F347" s="15"/>
      <c r="G347" s="15" t="s">
        <v>57</v>
      </c>
      <c r="H347" s="16" t="s">
        <v>57</v>
      </c>
    </row>
    <row r="348" spans="1:8" ht="22.5" x14ac:dyDescent="0.3">
      <c r="A348" s="13">
        <v>21006</v>
      </c>
      <c r="B348" s="14" t="s">
        <v>2154</v>
      </c>
      <c r="C348" s="15" t="s">
        <v>2155</v>
      </c>
      <c r="D348" s="15" t="s">
        <v>2156</v>
      </c>
      <c r="E348" s="15" t="s">
        <v>2157</v>
      </c>
      <c r="F348" s="15" t="s">
        <v>2158</v>
      </c>
      <c r="G348" s="15" t="s">
        <v>2159</v>
      </c>
      <c r="H348" s="16" t="s">
        <v>2157</v>
      </c>
    </row>
    <row r="349" spans="1:8" x14ac:dyDescent="0.3">
      <c r="A349" s="13">
        <v>21007</v>
      </c>
      <c r="B349" s="14" t="s">
        <v>2160</v>
      </c>
      <c r="C349" s="15" t="s">
        <v>2161</v>
      </c>
      <c r="D349" s="15" t="s">
        <v>2160</v>
      </c>
      <c r="E349" s="15" t="s">
        <v>2160</v>
      </c>
      <c r="F349" s="15" t="s">
        <v>2160</v>
      </c>
      <c r="G349" s="15" t="s">
        <v>2162</v>
      </c>
      <c r="H349" s="16" t="s">
        <v>2160</v>
      </c>
    </row>
    <row r="350" spans="1:8" ht="22.5" x14ac:dyDescent="0.3">
      <c r="A350" s="13">
        <v>21008</v>
      </c>
      <c r="B350" s="14" t="s">
        <v>2163</v>
      </c>
      <c r="C350" s="15" t="s">
        <v>2164</v>
      </c>
      <c r="D350" s="15" t="s">
        <v>2165</v>
      </c>
      <c r="E350" s="15" t="s">
        <v>2166</v>
      </c>
      <c r="F350" s="15" t="s">
        <v>2167</v>
      </c>
      <c r="G350" s="15" t="s">
        <v>2168</v>
      </c>
      <c r="H350" s="16" t="s">
        <v>2169</v>
      </c>
    </row>
    <row r="351" spans="1:8" ht="22.5" x14ac:dyDescent="0.3">
      <c r="A351" s="13">
        <v>21009</v>
      </c>
      <c r="B351" s="14" t="s">
        <v>2170</v>
      </c>
      <c r="C351" s="15" t="s">
        <v>2171</v>
      </c>
      <c r="D351" s="15" t="s">
        <v>2172</v>
      </c>
      <c r="E351" s="15" t="s">
        <v>2173</v>
      </c>
      <c r="F351" s="15" t="s">
        <v>2174</v>
      </c>
      <c r="G351" s="15" t="s">
        <v>2175</v>
      </c>
      <c r="H351" s="16" t="s">
        <v>2176</v>
      </c>
    </row>
    <row r="352" spans="1:8" ht="22.5" x14ac:dyDescent="0.3">
      <c r="A352" s="13">
        <v>21010</v>
      </c>
      <c r="B352" s="14" t="s">
        <v>2177</v>
      </c>
      <c r="C352" s="15" t="s">
        <v>2178</v>
      </c>
      <c r="D352" s="15" t="s">
        <v>2179</v>
      </c>
      <c r="E352" s="15"/>
      <c r="F352" s="15" t="s">
        <v>2179</v>
      </c>
      <c r="G352" s="15" t="s">
        <v>2180</v>
      </c>
      <c r="H352" s="16" t="s">
        <v>2181</v>
      </c>
    </row>
    <row r="353" spans="1:8" ht="22.5" x14ac:dyDescent="0.3">
      <c r="A353" s="13">
        <v>21011</v>
      </c>
      <c r="B353" s="14" t="s">
        <v>2182</v>
      </c>
      <c r="C353" s="15" t="s">
        <v>2183</v>
      </c>
      <c r="D353" s="15" t="s">
        <v>2182</v>
      </c>
      <c r="E353" s="15" t="s">
        <v>2184</v>
      </c>
      <c r="F353" s="15" t="s">
        <v>2185</v>
      </c>
      <c r="G353" s="15" t="s">
        <v>2186</v>
      </c>
      <c r="H353" s="16" t="s">
        <v>2187</v>
      </c>
    </row>
    <row r="354" spans="1:8" ht="22.5" x14ac:dyDescent="0.3">
      <c r="A354" s="13">
        <v>21012</v>
      </c>
      <c r="B354" s="14" t="s">
        <v>2188</v>
      </c>
      <c r="C354" s="15" t="s">
        <v>2189</v>
      </c>
      <c r="D354" s="15" t="s">
        <v>2190</v>
      </c>
      <c r="E354" s="15" t="s">
        <v>2191</v>
      </c>
      <c r="F354" s="15" t="s">
        <v>2192</v>
      </c>
      <c r="G354" s="15" t="s">
        <v>2188</v>
      </c>
      <c r="H354" s="16" t="s">
        <v>2193</v>
      </c>
    </row>
    <row r="355" spans="1:8" ht="33.75" x14ac:dyDescent="0.3">
      <c r="A355" s="13" t="s">
        <v>2194</v>
      </c>
      <c r="B355" s="14" t="s">
        <v>19728</v>
      </c>
      <c r="C355" s="15" t="s">
        <v>2195</v>
      </c>
      <c r="D355" s="15"/>
      <c r="E355" s="15"/>
      <c r="F355" s="15" t="s">
        <v>2196</v>
      </c>
      <c r="G355" s="15" t="s">
        <v>2197</v>
      </c>
      <c r="H355" s="16" t="s">
        <v>2198</v>
      </c>
    </row>
    <row r="356" spans="1:8" ht="45" x14ac:dyDescent="0.3">
      <c r="A356" s="13">
        <v>21013</v>
      </c>
      <c r="B356" s="14" t="s">
        <v>2199</v>
      </c>
      <c r="C356" s="15" t="s">
        <v>2200</v>
      </c>
      <c r="D356" s="15" t="s">
        <v>2201</v>
      </c>
      <c r="E356" s="15" t="s">
        <v>2202</v>
      </c>
      <c r="F356" s="15" t="s">
        <v>2203</v>
      </c>
      <c r="G356" s="15" t="s">
        <v>2204</v>
      </c>
      <c r="H356" s="16" t="s">
        <v>2205</v>
      </c>
    </row>
    <row r="357" spans="1:8" ht="33.75" x14ac:dyDescent="0.3">
      <c r="A357" s="13">
        <v>21014</v>
      </c>
      <c r="B357" s="14" t="s">
        <v>2206</v>
      </c>
      <c r="C357" s="15" t="s">
        <v>2207</v>
      </c>
      <c r="D357" s="15" t="s">
        <v>2208</v>
      </c>
      <c r="E357" s="15" t="s">
        <v>57</v>
      </c>
      <c r="F357" s="15" t="s">
        <v>2209</v>
      </c>
      <c r="G357" s="15" t="s">
        <v>2210</v>
      </c>
      <c r="H357" s="16" t="s">
        <v>2211</v>
      </c>
    </row>
    <row r="358" spans="1:8" ht="33.75" x14ac:dyDescent="0.3">
      <c r="A358" s="13">
        <v>21015</v>
      </c>
      <c r="B358" s="14" t="s">
        <v>2212</v>
      </c>
      <c r="C358" s="15" t="s">
        <v>2213</v>
      </c>
      <c r="D358" s="15" t="s">
        <v>2214</v>
      </c>
      <c r="E358" s="15" t="s">
        <v>2215</v>
      </c>
      <c r="F358" s="15" t="s">
        <v>2216</v>
      </c>
      <c r="G358" s="15" t="s">
        <v>2217</v>
      </c>
      <c r="H358" s="16" t="s">
        <v>2218</v>
      </c>
    </row>
    <row r="359" spans="1:8" ht="33.75" x14ac:dyDescent="0.3">
      <c r="A359" s="13" t="s">
        <v>2219</v>
      </c>
      <c r="B359" s="14" t="s">
        <v>2220</v>
      </c>
      <c r="C359" s="15" t="s">
        <v>2221</v>
      </c>
      <c r="D359" s="15" t="s">
        <v>2222</v>
      </c>
      <c r="E359" s="15" t="s">
        <v>2223</v>
      </c>
      <c r="F359" s="15" t="s">
        <v>2224</v>
      </c>
      <c r="G359" s="15" t="s">
        <v>2225</v>
      </c>
      <c r="H359" s="16" t="s">
        <v>2226</v>
      </c>
    </row>
    <row r="360" spans="1:8" ht="22.5" x14ac:dyDescent="0.3">
      <c r="A360" s="13">
        <v>21016</v>
      </c>
      <c r="B360" s="14" t="s">
        <v>2227</v>
      </c>
      <c r="C360" s="15" t="s">
        <v>2228</v>
      </c>
      <c r="D360" s="15" t="s">
        <v>2229</v>
      </c>
      <c r="E360" s="15" t="s">
        <v>2230</v>
      </c>
      <c r="F360" s="15" t="s">
        <v>2231</v>
      </c>
      <c r="G360" s="15" t="s">
        <v>2231</v>
      </c>
      <c r="H360" s="16" t="s">
        <v>2229</v>
      </c>
    </row>
    <row r="361" spans="1:8" ht="33.75" x14ac:dyDescent="0.3">
      <c r="A361" s="13">
        <v>21017</v>
      </c>
      <c r="B361" s="14" t="s">
        <v>2232</v>
      </c>
      <c r="C361" s="15" t="s">
        <v>57</v>
      </c>
      <c r="D361" s="15" t="s">
        <v>57</v>
      </c>
      <c r="E361" s="15" t="s">
        <v>57</v>
      </c>
      <c r="F361" s="15" t="s">
        <v>57</v>
      </c>
      <c r="G361" s="15" t="s">
        <v>57</v>
      </c>
      <c r="H361" s="16" t="s">
        <v>2233</v>
      </c>
    </row>
    <row r="362" spans="1:8" x14ac:dyDescent="0.3">
      <c r="A362" s="13">
        <v>21018</v>
      </c>
      <c r="B362" s="14" t="s">
        <v>2234</v>
      </c>
      <c r="C362" s="15" t="s">
        <v>2235</v>
      </c>
      <c r="D362" s="15" t="s">
        <v>2236</v>
      </c>
      <c r="E362" s="15" t="s">
        <v>57</v>
      </c>
      <c r="F362" s="15" t="s">
        <v>2237</v>
      </c>
      <c r="G362" s="15" t="s">
        <v>57</v>
      </c>
      <c r="H362" s="16" t="s">
        <v>57</v>
      </c>
    </row>
    <row r="363" spans="1:8" ht="56.25" x14ac:dyDescent="0.3">
      <c r="A363" s="13">
        <v>21019</v>
      </c>
      <c r="B363" s="14" t="s">
        <v>2238</v>
      </c>
      <c r="C363" s="15" t="s">
        <v>2239</v>
      </c>
      <c r="D363" s="15" t="s">
        <v>2240</v>
      </c>
      <c r="E363" s="15" t="s">
        <v>2241</v>
      </c>
      <c r="F363" s="15" t="s">
        <v>2242</v>
      </c>
      <c r="G363" s="15" t="s">
        <v>57</v>
      </c>
      <c r="H363" s="16" t="s">
        <v>2243</v>
      </c>
    </row>
    <row r="364" spans="1:8" x14ac:dyDescent="0.3">
      <c r="A364" s="13" t="s">
        <v>2244</v>
      </c>
      <c r="B364" s="14" t="s">
        <v>2245</v>
      </c>
      <c r="C364" s="15" t="s">
        <v>2246</v>
      </c>
      <c r="D364" s="15"/>
      <c r="E364" s="15"/>
      <c r="F364" s="15"/>
      <c r="G364" s="15" t="s">
        <v>2247</v>
      </c>
      <c r="H364" s="16" t="s">
        <v>57</v>
      </c>
    </row>
    <row r="365" spans="1:8" ht="22.5" x14ac:dyDescent="0.3">
      <c r="A365" s="13">
        <v>21020</v>
      </c>
      <c r="B365" s="14" t="s">
        <v>2248</v>
      </c>
      <c r="C365" s="15" t="s">
        <v>2249</v>
      </c>
      <c r="D365" s="15" t="s">
        <v>2250</v>
      </c>
      <c r="E365" s="15" t="s">
        <v>2251</v>
      </c>
      <c r="F365" s="15" t="s">
        <v>2252</v>
      </c>
      <c r="G365" s="15" t="s">
        <v>2253</v>
      </c>
      <c r="H365" s="16" t="s">
        <v>2254</v>
      </c>
    </row>
    <row r="366" spans="1:8" ht="33.75" x14ac:dyDescent="0.3">
      <c r="A366" s="13" t="s">
        <v>2255</v>
      </c>
      <c r="B366" s="14" t="s">
        <v>19725</v>
      </c>
      <c r="C366" s="15" t="s">
        <v>2256</v>
      </c>
      <c r="D366" s="15" t="s">
        <v>2257</v>
      </c>
      <c r="E366" s="15" t="s">
        <v>2258</v>
      </c>
      <c r="F366" s="15" t="s">
        <v>2259</v>
      </c>
      <c r="G366" s="15" t="s">
        <v>2260</v>
      </c>
      <c r="H366" s="16" t="s">
        <v>2258</v>
      </c>
    </row>
    <row r="367" spans="1:8" x14ac:dyDescent="0.3">
      <c r="A367" s="13">
        <v>21021</v>
      </c>
      <c r="B367" s="14" t="s">
        <v>2261</v>
      </c>
      <c r="C367" s="15" t="s">
        <v>2262</v>
      </c>
      <c r="D367" s="15" t="s">
        <v>2263</v>
      </c>
      <c r="E367" s="15" t="s">
        <v>2264</v>
      </c>
      <c r="F367" s="15" t="s">
        <v>2265</v>
      </c>
      <c r="G367" s="15" t="s">
        <v>2265</v>
      </c>
      <c r="H367" s="16" t="s">
        <v>2264</v>
      </c>
    </row>
    <row r="368" spans="1:8" ht="22.5" x14ac:dyDescent="0.3">
      <c r="A368" s="13">
        <v>21022</v>
      </c>
      <c r="B368" s="14" t="s">
        <v>2266</v>
      </c>
      <c r="C368" s="15" t="s">
        <v>2267</v>
      </c>
      <c r="D368" s="15" t="s">
        <v>2268</v>
      </c>
      <c r="E368" s="15" t="s">
        <v>2269</v>
      </c>
      <c r="F368" s="15" t="s">
        <v>2269</v>
      </c>
      <c r="G368" s="15" t="s">
        <v>2270</v>
      </c>
      <c r="H368" s="16" t="s">
        <v>2271</v>
      </c>
    </row>
    <row r="369" spans="1:8" ht="22.5" x14ac:dyDescent="0.3">
      <c r="A369" s="13">
        <v>21023</v>
      </c>
      <c r="B369" s="14" t="s">
        <v>2272</v>
      </c>
      <c r="C369" s="15" t="s">
        <v>2273</v>
      </c>
      <c r="D369" s="15" t="s">
        <v>2274</v>
      </c>
      <c r="E369" s="15" t="s">
        <v>2274</v>
      </c>
      <c r="F369" s="15" t="s">
        <v>2275</v>
      </c>
      <c r="G369" s="15" t="s">
        <v>2276</v>
      </c>
      <c r="H369" s="16" t="s">
        <v>2277</v>
      </c>
    </row>
    <row r="370" spans="1:8" ht="45" x14ac:dyDescent="0.3">
      <c r="A370" s="13" t="s">
        <v>2278</v>
      </c>
      <c r="B370" s="14" t="s">
        <v>19725</v>
      </c>
      <c r="C370" s="15" t="s">
        <v>2279</v>
      </c>
      <c r="D370" s="15"/>
      <c r="E370" s="15" t="s">
        <v>2280</v>
      </c>
      <c r="F370" s="15" t="s">
        <v>2281</v>
      </c>
      <c r="G370" s="15" t="s">
        <v>2282</v>
      </c>
      <c r="H370" s="16" t="s">
        <v>2283</v>
      </c>
    </row>
    <row r="371" spans="1:8" ht="22.5" x14ac:dyDescent="0.3">
      <c r="A371" s="13">
        <v>21024</v>
      </c>
      <c r="B371" s="14" t="s">
        <v>2284</v>
      </c>
      <c r="C371" s="15" t="s">
        <v>2285</v>
      </c>
      <c r="D371" s="15" t="s">
        <v>2286</v>
      </c>
      <c r="E371" s="15" t="s">
        <v>2287</v>
      </c>
      <c r="F371" s="15" t="s">
        <v>2288</v>
      </c>
      <c r="G371" s="15" t="s">
        <v>2287</v>
      </c>
      <c r="H371" s="16" t="s">
        <v>2287</v>
      </c>
    </row>
    <row r="372" spans="1:8" ht="45" x14ac:dyDescent="0.3">
      <c r="A372" s="13">
        <v>21101</v>
      </c>
      <c r="B372" s="14" t="s">
        <v>2289</v>
      </c>
      <c r="C372" s="15" t="s">
        <v>2290</v>
      </c>
      <c r="D372" s="15" t="s">
        <v>2291</v>
      </c>
      <c r="E372" s="15" t="s">
        <v>2292</v>
      </c>
      <c r="F372" s="15" t="s">
        <v>2293</v>
      </c>
      <c r="G372" s="15" t="s">
        <v>2294</v>
      </c>
      <c r="H372" s="16" t="s">
        <v>2295</v>
      </c>
    </row>
    <row r="373" spans="1:8" ht="33.75" x14ac:dyDescent="0.3">
      <c r="A373" s="13">
        <v>21102</v>
      </c>
      <c r="B373" s="14" t="s">
        <v>2296</v>
      </c>
      <c r="C373" s="15" t="s">
        <v>2297</v>
      </c>
      <c r="D373" s="15" t="s">
        <v>2296</v>
      </c>
      <c r="E373" s="15" t="s">
        <v>2298</v>
      </c>
      <c r="F373" s="15" t="s">
        <v>2299</v>
      </c>
      <c r="G373" s="15" t="s">
        <v>2300</v>
      </c>
      <c r="H373" s="16" t="s">
        <v>2301</v>
      </c>
    </row>
    <row r="374" spans="1:8" ht="78.75" x14ac:dyDescent="0.3">
      <c r="A374" s="13">
        <v>21103</v>
      </c>
      <c r="B374" s="14" t="s">
        <v>2302</v>
      </c>
      <c r="C374" s="15" t="s">
        <v>2303</v>
      </c>
      <c r="D374" s="15" t="s">
        <v>2304</v>
      </c>
      <c r="E374" s="15" t="s">
        <v>2305</v>
      </c>
      <c r="F374" s="15" t="s">
        <v>2306</v>
      </c>
      <c r="G374" s="15" t="s">
        <v>2307</v>
      </c>
      <c r="H374" s="16" t="s">
        <v>2308</v>
      </c>
    </row>
    <row r="375" spans="1:8" ht="33.75" x14ac:dyDescent="0.3">
      <c r="A375" s="13" t="s">
        <v>2309</v>
      </c>
      <c r="B375" s="14" t="s">
        <v>19729</v>
      </c>
      <c r="C375" s="15" t="s">
        <v>2310</v>
      </c>
      <c r="D375" s="15" t="s">
        <v>2311</v>
      </c>
      <c r="E375" s="15" t="s">
        <v>2312</v>
      </c>
      <c r="F375" s="15" t="s">
        <v>2313</v>
      </c>
      <c r="G375" s="15" t="s">
        <v>2314</v>
      </c>
      <c r="H375" s="16" t="s">
        <v>2315</v>
      </c>
    </row>
    <row r="376" spans="1:8" ht="33.75" x14ac:dyDescent="0.3">
      <c r="A376" s="13">
        <v>21104</v>
      </c>
      <c r="B376" s="14" t="s">
        <v>2316</v>
      </c>
      <c r="C376" s="15" t="s">
        <v>2317</v>
      </c>
      <c r="D376" s="15" t="s">
        <v>2318</v>
      </c>
      <c r="E376" s="15" t="s">
        <v>2319</v>
      </c>
      <c r="F376" s="15" t="s">
        <v>2320</v>
      </c>
      <c r="G376" s="15" t="s">
        <v>2321</v>
      </c>
      <c r="H376" s="16" t="s">
        <v>2322</v>
      </c>
    </row>
    <row r="377" spans="1:8" ht="22.5" x14ac:dyDescent="0.3">
      <c r="A377" s="13">
        <v>21105</v>
      </c>
      <c r="B377" s="14" t="s">
        <v>2323</v>
      </c>
      <c r="C377" s="15" t="s">
        <v>2324</v>
      </c>
      <c r="D377" s="15" t="s">
        <v>2325</v>
      </c>
      <c r="E377" s="15" t="s">
        <v>2326</v>
      </c>
      <c r="F377" s="15" t="s">
        <v>2327</v>
      </c>
      <c r="G377" s="15" t="s">
        <v>2328</v>
      </c>
      <c r="H377" s="16" t="s">
        <v>2329</v>
      </c>
    </row>
    <row r="378" spans="1:8" ht="56.25" x14ac:dyDescent="0.3">
      <c r="A378" s="13">
        <v>21106</v>
      </c>
      <c r="B378" s="14" t="s">
        <v>2330</v>
      </c>
      <c r="C378" s="15" t="s">
        <v>2331</v>
      </c>
      <c r="D378" s="15" t="s">
        <v>2332</v>
      </c>
      <c r="E378" s="15" t="s">
        <v>2333</v>
      </c>
      <c r="F378" s="15" t="s">
        <v>2334</v>
      </c>
      <c r="G378" s="15" t="s">
        <v>2335</v>
      </c>
      <c r="H378" s="16" t="s">
        <v>2336</v>
      </c>
    </row>
    <row r="379" spans="1:8" ht="22.5" x14ac:dyDescent="0.3">
      <c r="A379" s="13">
        <v>21107</v>
      </c>
      <c r="B379" s="14" t="s">
        <v>2337</v>
      </c>
      <c r="C379" s="15" t="s">
        <v>2338</v>
      </c>
      <c r="D379" s="15" t="s">
        <v>2339</v>
      </c>
      <c r="E379" s="15" t="s">
        <v>2340</v>
      </c>
      <c r="F379" s="15" t="s">
        <v>2341</v>
      </c>
      <c r="G379" s="15" t="s">
        <v>57</v>
      </c>
      <c r="H379" s="16" t="s">
        <v>2342</v>
      </c>
    </row>
    <row r="380" spans="1:8" ht="22.5" x14ac:dyDescent="0.3">
      <c r="A380" s="13">
        <v>21108</v>
      </c>
      <c r="B380" s="14" t="s">
        <v>2343</v>
      </c>
      <c r="C380" s="15" t="s">
        <v>2344</v>
      </c>
      <c r="D380" s="15" t="s">
        <v>2345</v>
      </c>
      <c r="E380" s="15" t="s">
        <v>2346</v>
      </c>
      <c r="F380" s="15" t="s">
        <v>2347</v>
      </c>
      <c r="G380" s="15" t="s">
        <v>2348</v>
      </c>
      <c r="H380" s="16" t="s">
        <v>2349</v>
      </c>
    </row>
    <row r="381" spans="1:8" x14ac:dyDescent="0.3">
      <c r="A381" s="13">
        <v>21109</v>
      </c>
      <c r="B381" s="14" t="s">
        <v>2350</v>
      </c>
      <c r="C381" s="15" t="s">
        <v>2351</v>
      </c>
      <c r="D381" s="15" t="s">
        <v>2352</v>
      </c>
      <c r="E381" s="15" t="s">
        <v>2353</v>
      </c>
      <c r="F381" s="15" t="s">
        <v>2354</v>
      </c>
      <c r="G381" s="15" t="s">
        <v>2355</v>
      </c>
      <c r="H381" s="16" t="s">
        <v>2356</v>
      </c>
    </row>
    <row r="382" spans="1:8" ht="22.5" x14ac:dyDescent="0.3">
      <c r="A382" s="13">
        <v>21110</v>
      </c>
      <c r="B382" s="14" t="s">
        <v>2357</v>
      </c>
      <c r="C382" s="15" t="s">
        <v>2358</v>
      </c>
      <c r="D382" s="15" t="s">
        <v>2359</v>
      </c>
      <c r="E382" s="15" t="s">
        <v>2357</v>
      </c>
      <c r="F382" s="15" t="s">
        <v>2359</v>
      </c>
      <c r="G382" s="15" t="s">
        <v>2360</v>
      </c>
      <c r="H382" s="16" t="s">
        <v>2361</v>
      </c>
    </row>
    <row r="383" spans="1:8" ht="33.75" x14ac:dyDescent="0.3">
      <c r="A383" s="13">
        <v>21111</v>
      </c>
      <c r="B383" s="14" t="s">
        <v>2362</v>
      </c>
      <c r="C383" s="15"/>
      <c r="D383" s="15" t="s">
        <v>2363</v>
      </c>
      <c r="E383" s="15" t="s">
        <v>2364</v>
      </c>
      <c r="F383" s="15" t="s">
        <v>2365</v>
      </c>
      <c r="G383" s="15" t="s">
        <v>2366</v>
      </c>
      <c r="H383" s="16" t="s">
        <v>2364</v>
      </c>
    </row>
    <row r="384" spans="1:8" ht="33.75" x14ac:dyDescent="0.3">
      <c r="A384" s="13">
        <v>21112</v>
      </c>
      <c r="B384" s="14" t="s">
        <v>2367</v>
      </c>
      <c r="C384" s="15" t="s">
        <v>2368</v>
      </c>
      <c r="D384" s="15" t="s">
        <v>2369</v>
      </c>
      <c r="E384" s="15" t="s">
        <v>2370</v>
      </c>
      <c r="F384" s="15" t="s">
        <v>2371</v>
      </c>
      <c r="G384" s="15" t="s">
        <v>2372</v>
      </c>
      <c r="H384" s="16" t="s">
        <v>2373</v>
      </c>
    </row>
    <row r="385" spans="1:8" ht="22.5" x14ac:dyDescent="0.3">
      <c r="A385" s="13">
        <v>21113</v>
      </c>
      <c r="B385" s="14" t="s">
        <v>2374</v>
      </c>
      <c r="C385" s="15" t="s">
        <v>2375</v>
      </c>
      <c r="D385" s="15" t="s">
        <v>2376</v>
      </c>
      <c r="E385" s="15" t="s">
        <v>2377</v>
      </c>
      <c r="F385" s="15" t="s">
        <v>2378</v>
      </c>
      <c r="G385" s="15" t="s">
        <v>2379</v>
      </c>
      <c r="H385" s="16" t="s">
        <v>2376</v>
      </c>
    </row>
    <row r="386" spans="1:8" ht="33.75" x14ac:dyDescent="0.3">
      <c r="A386" s="13" t="s">
        <v>2380</v>
      </c>
      <c r="B386" s="14" t="s">
        <v>2381</v>
      </c>
      <c r="C386" s="15" t="s">
        <v>2382</v>
      </c>
      <c r="D386" s="15" t="s">
        <v>2383</v>
      </c>
      <c r="E386" s="15" t="s">
        <v>2384</v>
      </c>
      <c r="F386" s="15" t="s">
        <v>2385</v>
      </c>
      <c r="G386" s="15" t="s">
        <v>2386</v>
      </c>
      <c r="H386" s="16" t="s">
        <v>2387</v>
      </c>
    </row>
    <row r="387" spans="1:8" x14ac:dyDescent="0.3">
      <c r="A387" s="13">
        <v>21114</v>
      </c>
      <c r="B387" s="14" t="s">
        <v>2388</v>
      </c>
      <c r="C387" s="15" t="s">
        <v>2389</v>
      </c>
      <c r="D387" s="15" t="s">
        <v>2388</v>
      </c>
      <c r="E387" s="15" t="s">
        <v>2388</v>
      </c>
      <c r="F387" s="15" t="s">
        <v>2390</v>
      </c>
      <c r="G387" s="15" t="s">
        <v>2391</v>
      </c>
      <c r="H387" s="16" t="s">
        <v>2388</v>
      </c>
    </row>
    <row r="388" spans="1:8" ht="22.5" x14ac:dyDescent="0.3">
      <c r="A388" s="13">
        <v>21115</v>
      </c>
      <c r="B388" s="14" t="s">
        <v>2392</v>
      </c>
      <c r="C388" s="15" t="s">
        <v>2393</v>
      </c>
      <c r="D388" s="15" t="s">
        <v>2394</v>
      </c>
      <c r="E388" s="15" t="s">
        <v>2392</v>
      </c>
      <c r="F388" s="15" t="s">
        <v>2395</v>
      </c>
      <c r="G388" s="15" t="s">
        <v>2396</v>
      </c>
      <c r="H388" s="16" t="s">
        <v>2397</v>
      </c>
    </row>
    <row r="389" spans="1:8" ht="33.75" x14ac:dyDescent="0.3">
      <c r="A389" s="13" t="s">
        <v>2398</v>
      </c>
      <c r="B389" s="14" t="s">
        <v>19726</v>
      </c>
      <c r="C389" s="15" t="s">
        <v>2399</v>
      </c>
      <c r="D389" s="15" t="s">
        <v>2400</v>
      </c>
      <c r="E389" s="15" t="s">
        <v>2401</v>
      </c>
      <c r="F389" s="15" t="s">
        <v>2402</v>
      </c>
      <c r="G389" s="15" t="s">
        <v>2403</v>
      </c>
      <c r="H389" s="16" t="s">
        <v>2404</v>
      </c>
    </row>
    <row r="390" spans="1:8" x14ac:dyDescent="0.3">
      <c r="A390" s="13" t="s">
        <v>2405</v>
      </c>
      <c r="B390" s="14" t="s">
        <v>19723</v>
      </c>
      <c r="C390" s="15" t="s">
        <v>2406</v>
      </c>
      <c r="D390" s="15" t="s">
        <v>2407</v>
      </c>
      <c r="E390" s="15" t="s">
        <v>2408</v>
      </c>
      <c r="F390" s="15" t="s">
        <v>2409</v>
      </c>
      <c r="G390" s="15" t="s">
        <v>2410</v>
      </c>
      <c r="H390" s="16" t="s">
        <v>2411</v>
      </c>
    </row>
    <row r="391" spans="1:8" ht="22.5" x14ac:dyDescent="0.3">
      <c r="A391" s="13">
        <v>21116</v>
      </c>
      <c r="B391" s="14" t="s">
        <v>2412</v>
      </c>
      <c r="C391" s="15" t="s">
        <v>2413</v>
      </c>
      <c r="D391" s="15" t="s">
        <v>2414</v>
      </c>
      <c r="E391" s="15" t="s">
        <v>2415</v>
      </c>
      <c r="F391" s="15" t="s">
        <v>2416</v>
      </c>
      <c r="G391" s="15" t="s">
        <v>2417</v>
      </c>
      <c r="H391" s="16" t="s">
        <v>2416</v>
      </c>
    </row>
    <row r="392" spans="1:8" ht="33.75" x14ac:dyDescent="0.3">
      <c r="A392" s="13">
        <v>21117</v>
      </c>
      <c r="B392" s="14" t="s">
        <v>2418</v>
      </c>
      <c r="C392" s="15" t="s">
        <v>2419</v>
      </c>
      <c r="D392" s="15" t="s">
        <v>2420</v>
      </c>
      <c r="E392" s="15" t="s">
        <v>2421</v>
      </c>
      <c r="F392" s="15" t="s">
        <v>2422</v>
      </c>
      <c r="G392" s="15" t="s">
        <v>2423</v>
      </c>
      <c r="H392" s="16" t="s">
        <v>2424</v>
      </c>
    </row>
    <row r="393" spans="1:8" ht="22.5" x14ac:dyDescent="0.3">
      <c r="A393" s="13" t="s">
        <v>2425</v>
      </c>
      <c r="B393" s="14" t="s">
        <v>19728</v>
      </c>
      <c r="C393" s="15" t="s">
        <v>2426</v>
      </c>
      <c r="D393" s="15" t="s">
        <v>2427</v>
      </c>
      <c r="E393" s="15"/>
      <c r="F393" s="15" t="s">
        <v>2428</v>
      </c>
      <c r="G393" s="15" t="s">
        <v>2429</v>
      </c>
      <c r="H393" s="16" t="s">
        <v>2430</v>
      </c>
    </row>
    <row r="394" spans="1:8" ht="22.5" x14ac:dyDescent="0.3">
      <c r="A394" s="13">
        <v>21118</v>
      </c>
      <c r="B394" s="14" t="s">
        <v>2431</v>
      </c>
      <c r="C394" s="15"/>
      <c r="D394" s="15" t="s">
        <v>2432</v>
      </c>
      <c r="E394" s="15" t="s">
        <v>2433</v>
      </c>
      <c r="F394" s="15" t="s">
        <v>2434</v>
      </c>
      <c r="G394" s="15" t="s">
        <v>2435</v>
      </c>
      <c r="H394" s="16" t="s">
        <v>2436</v>
      </c>
    </row>
    <row r="395" spans="1:8" ht="45" x14ac:dyDescent="0.3">
      <c r="A395" s="13" t="s">
        <v>2437</v>
      </c>
      <c r="B395" s="14" t="s">
        <v>19726</v>
      </c>
      <c r="C395" s="15" t="s">
        <v>2438</v>
      </c>
      <c r="D395" s="15"/>
      <c r="E395" s="15" t="s">
        <v>2439</v>
      </c>
      <c r="F395" s="15" t="s">
        <v>2440</v>
      </c>
      <c r="G395" s="15" t="s">
        <v>2441</v>
      </c>
      <c r="H395" s="16" t="s">
        <v>2442</v>
      </c>
    </row>
    <row r="396" spans="1:8" ht="33.75" x14ac:dyDescent="0.3">
      <c r="A396" s="13">
        <v>21119</v>
      </c>
      <c r="B396" s="14" t="s">
        <v>2443</v>
      </c>
      <c r="C396" s="15" t="s">
        <v>2444</v>
      </c>
      <c r="D396" s="15" t="s">
        <v>2445</v>
      </c>
      <c r="E396" s="15" t="s">
        <v>2446</v>
      </c>
      <c r="F396" s="15" t="s">
        <v>2447</v>
      </c>
      <c r="G396" s="15" t="s">
        <v>2448</v>
      </c>
      <c r="H396" s="16" t="s">
        <v>2449</v>
      </c>
    </row>
    <row r="397" spans="1:8" ht="33.75" x14ac:dyDescent="0.3">
      <c r="A397" s="13">
        <v>21120</v>
      </c>
      <c r="B397" s="14" t="s">
        <v>2450</v>
      </c>
      <c r="C397" s="15" t="s">
        <v>2451</v>
      </c>
      <c r="D397" s="15" t="s">
        <v>2452</v>
      </c>
      <c r="E397" s="15" t="s">
        <v>2453</v>
      </c>
      <c r="F397" s="15" t="s">
        <v>2454</v>
      </c>
      <c r="G397" s="15" t="s">
        <v>2455</v>
      </c>
      <c r="H397" s="16" t="s">
        <v>2453</v>
      </c>
    </row>
    <row r="398" spans="1:8" ht="22.5" x14ac:dyDescent="0.3">
      <c r="A398" s="13">
        <v>21201</v>
      </c>
      <c r="B398" s="14" t="s">
        <v>2456</v>
      </c>
      <c r="C398" s="15" t="s">
        <v>2457</v>
      </c>
      <c r="D398" s="15" t="s">
        <v>2458</v>
      </c>
      <c r="E398" s="15" t="s">
        <v>2459</v>
      </c>
      <c r="F398" s="15" t="s">
        <v>2460</v>
      </c>
      <c r="G398" s="15" t="s">
        <v>2461</v>
      </c>
      <c r="H398" s="16" t="s">
        <v>2462</v>
      </c>
    </row>
    <row r="399" spans="1:8" ht="22.5" x14ac:dyDescent="0.3">
      <c r="A399" s="13">
        <v>21202</v>
      </c>
      <c r="B399" s="14" t="s">
        <v>2463</v>
      </c>
      <c r="C399" s="15" t="s">
        <v>2464</v>
      </c>
      <c r="D399" s="15" t="s">
        <v>2465</v>
      </c>
      <c r="E399" s="15" t="s">
        <v>2466</v>
      </c>
      <c r="F399" s="15" t="s">
        <v>2467</v>
      </c>
      <c r="G399" s="15" t="s">
        <v>2468</v>
      </c>
      <c r="H399" s="16" t="s">
        <v>2469</v>
      </c>
    </row>
    <row r="400" spans="1:8" ht="22.5" x14ac:dyDescent="0.3">
      <c r="A400" s="13">
        <v>21203</v>
      </c>
      <c r="B400" s="14" t="s">
        <v>2470</v>
      </c>
      <c r="C400" s="15" t="s">
        <v>2471</v>
      </c>
      <c r="D400" s="15" t="s">
        <v>2472</v>
      </c>
      <c r="E400" s="15" t="s">
        <v>2473</v>
      </c>
      <c r="F400" s="15" t="s">
        <v>57</v>
      </c>
      <c r="G400" s="15" t="s">
        <v>2474</v>
      </c>
      <c r="H400" s="16" t="s">
        <v>2475</v>
      </c>
    </row>
    <row r="401" spans="1:8" ht="33.75" x14ac:dyDescent="0.3">
      <c r="A401" s="13" t="s">
        <v>2476</v>
      </c>
      <c r="B401" s="14" t="s">
        <v>19724</v>
      </c>
      <c r="C401" s="15" t="s">
        <v>2477</v>
      </c>
      <c r="D401" s="15"/>
      <c r="E401" s="15" t="s">
        <v>2478</v>
      </c>
      <c r="F401" s="15" t="s">
        <v>2479</v>
      </c>
      <c r="G401" s="15" t="s">
        <v>2480</v>
      </c>
      <c r="H401" s="16" t="s">
        <v>2481</v>
      </c>
    </row>
    <row r="402" spans="1:8" ht="33.75" x14ac:dyDescent="0.3">
      <c r="A402" s="13" t="s">
        <v>2482</v>
      </c>
      <c r="B402" s="14" t="s">
        <v>19726</v>
      </c>
      <c r="C402" s="15" t="s">
        <v>2483</v>
      </c>
      <c r="D402" s="15" t="s">
        <v>2484</v>
      </c>
      <c r="E402" s="15" t="s">
        <v>2485</v>
      </c>
      <c r="F402" s="15" t="s">
        <v>2486</v>
      </c>
      <c r="G402" s="15" t="s">
        <v>2487</v>
      </c>
      <c r="H402" s="16" t="s">
        <v>2488</v>
      </c>
    </row>
    <row r="403" spans="1:8" ht="33.75" x14ac:dyDescent="0.3">
      <c r="A403" s="13">
        <v>21204</v>
      </c>
      <c r="B403" s="14" t="s">
        <v>2489</v>
      </c>
      <c r="C403" s="15" t="s">
        <v>2490</v>
      </c>
      <c r="D403" s="15" t="s">
        <v>2491</v>
      </c>
      <c r="E403" s="15" t="s">
        <v>2492</v>
      </c>
      <c r="F403" s="15" t="s">
        <v>2493</v>
      </c>
      <c r="G403" s="15" t="s">
        <v>2494</v>
      </c>
      <c r="H403" s="16" t="s">
        <v>2495</v>
      </c>
    </row>
    <row r="404" spans="1:8" ht="67.5" x14ac:dyDescent="0.3">
      <c r="A404" s="13">
        <v>21205</v>
      </c>
      <c r="B404" s="14" t="s">
        <v>2496</v>
      </c>
      <c r="C404" s="15" t="s">
        <v>2497</v>
      </c>
      <c r="D404" s="15" t="s">
        <v>2498</v>
      </c>
      <c r="E404" s="15" t="s">
        <v>2499</v>
      </c>
      <c r="F404" s="15" t="s">
        <v>2500</v>
      </c>
      <c r="G404" s="15" t="s">
        <v>2501</v>
      </c>
      <c r="H404" s="16" t="s">
        <v>2502</v>
      </c>
    </row>
    <row r="405" spans="1:8" ht="22.5" x14ac:dyDescent="0.3">
      <c r="A405" s="13">
        <v>21206</v>
      </c>
      <c r="B405" s="14" t="s">
        <v>2503</v>
      </c>
      <c r="C405" s="15" t="s">
        <v>2504</v>
      </c>
      <c r="D405" s="15" t="s">
        <v>2505</v>
      </c>
      <c r="E405" s="15" t="s">
        <v>2503</v>
      </c>
      <c r="F405" s="15" t="s">
        <v>2506</v>
      </c>
      <c r="G405" s="15" t="s">
        <v>2507</v>
      </c>
      <c r="H405" s="16" t="s">
        <v>2508</v>
      </c>
    </row>
    <row r="406" spans="1:8" ht="22.5" x14ac:dyDescent="0.3">
      <c r="A406" s="13">
        <v>21207</v>
      </c>
      <c r="B406" s="14" t="s">
        <v>2509</v>
      </c>
      <c r="C406" s="15" t="s">
        <v>2510</v>
      </c>
      <c r="D406" s="15" t="s">
        <v>2511</v>
      </c>
      <c r="E406" s="15" t="s">
        <v>2512</v>
      </c>
      <c r="F406" s="15" t="s">
        <v>2513</v>
      </c>
      <c r="G406" s="15" t="s">
        <v>2514</v>
      </c>
      <c r="H406" s="16" t="s">
        <v>2515</v>
      </c>
    </row>
    <row r="407" spans="1:8" ht="45" x14ac:dyDescent="0.3">
      <c r="A407" s="13">
        <v>21208</v>
      </c>
      <c r="B407" s="14" t="s">
        <v>2516</v>
      </c>
      <c r="C407" s="15" t="s">
        <v>2517</v>
      </c>
      <c r="D407" s="15" t="s">
        <v>2518</v>
      </c>
      <c r="E407" s="15" t="s">
        <v>2519</v>
      </c>
      <c r="F407" s="15" t="s">
        <v>2520</v>
      </c>
      <c r="G407" s="15" t="s">
        <v>2521</v>
      </c>
      <c r="H407" s="16" t="s">
        <v>2522</v>
      </c>
    </row>
    <row r="408" spans="1:8" ht="45" x14ac:dyDescent="0.3">
      <c r="A408" s="13" t="s">
        <v>2523</v>
      </c>
      <c r="B408" s="14" t="s">
        <v>19725</v>
      </c>
      <c r="C408" s="15" t="s">
        <v>2524</v>
      </c>
      <c r="D408" s="15" t="s">
        <v>2525</v>
      </c>
      <c r="E408" s="15" t="s">
        <v>2526</v>
      </c>
      <c r="F408" s="15" t="s">
        <v>57</v>
      </c>
      <c r="G408" s="15" t="s">
        <v>2527</v>
      </c>
      <c r="H408" s="16" t="s">
        <v>2528</v>
      </c>
    </row>
    <row r="409" spans="1:8" ht="33.75" x14ac:dyDescent="0.3">
      <c r="A409" s="13" t="s">
        <v>2529</v>
      </c>
      <c r="B409" s="14" t="s">
        <v>19726</v>
      </c>
      <c r="C409" s="15" t="s">
        <v>2530</v>
      </c>
      <c r="D409" s="15"/>
      <c r="E409" s="15" t="s">
        <v>2531</v>
      </c>
      <c r="F409" s="15" t="s">
        <v>2532</v>
      </c>
      <c r="G409" s="15" t="s">
        <v>2533</v>
      </c>
      <c r="H409" s="16" t="s">
        <v>2534</v>
      </c>
    </row>
    <row r="410" spans="1:8" ht="33.75" x14ac:dyDescent="0.3">
      <c r="A410" s="13">
        <v>21209</v>
      </c>
      <c r="B410" s="14" t="s">
        <v>2535</v>
      </c>
      <c r="C410" s="15" t="s">
        <v>2536</v>
      </c>
      <c r="D410" s="15" t="s">
        <v>2537</v>
      </c>
      <c r="E410" s="15" t="s">
        <v>2538</v>
      </c>
      <c r="F410" s="15" t="s">
        <v>2539</v>
      </c>
      <c r="G410" s="15" t="s">
        <v>2538</v>
      </c>
      <c r="H410" s="16" t="s">
        <v>2540</v>
      </c>
    </row>
    <row r="411" spans="1:8" ht="33.75" x14ac:dyDescent="0.3">
      <c r="A411" s="13">
        <v>21210</v>
      </c>
      <c r="B411" s="14" t="s">
        <v>2541</v>
      </c>
      <c r="C411" s="15" t="s">
        <v>2542</v>
      </c>
      <c r="D411" s="15" t="s">
        <v>2543</v>
      </c>
      <c r="E411" s="15" t="s">
        <v>2544</v>
      </c>
      <c r="F411" s="15" t="s">
        <v>2545</v>
      </c>
      <c r="G411" s="15" t="s">
        <v>2546</v>
      </c>
      <c r="H411" s="16" t="s">
        <v>2547</v>
      </c>
    </row>
    <row r="412" spans="1:8" ht="56.25" x14ac:dyDescent="0.3">
      <c r="A412" s="13">
        <v>21211</v>
      </c>
      <c r="B412" s="14" t="s">
        <v>2548</v>
      </c>
      <c r="C412" s="15" t="s">
        <v>2549</v>
      </c>
      <c r="D412" s="15" t="s">
        <v>2550</v>
      </c>
      <c r="E412" s="15" t="s">
        <v>2551</v>
      </c>
      <c r="F412" s="15" t="s">
        <v>2552</v>
      </c>
      <c r="G412" s="15" t="s">
        <v>2553</v>
      </c>
      <c r="H412" s="16" t="s">
        <v>2548</v>
      </c>
    </row>
    <row r="413" spans="1:8" ht="67.5" x14ac:dyDescent="0.3">
      <c r="A413" s="13">
        <v>21212</v>
      </c>
      <c r="B413" s="14" t="s">
        <v>2554</v>
      </c>
      <c r="C413" s="15" t="s">
        <v>2555</v>
      </c>
      <c r="D413" s="15" t="s">
        <v>2556</v>
      </c>
      <c r="E413" s="15" t="s">
        <v>2557</v>
      </c>
      <c r="F413" s="15" t="s">
        <v>2558</v>
      </c>
      <c r="G413" s="15" t="s">
        <v>2559</v>
      </c>
      <c r="H413" s="16" t="s">
        <v>2554</v>
      </c>
    </row>
    <row r="414" spans="1:8" ht="45" x14ac:dyDescent="0.3">
      <c r="A414" s="13">
        <v>21213</v>
      </c>
      <c r="B414" s="14" t="s">
        <v>2560</v>
      </c>
      <c r="C414" s="15" t="s">
        <v>2561</v>
      </c>
      <c r="D414" s="15" t="s">
        <v>2562</v>
      </c>
      <c r="E414" s="15" t="s">
        <v>2563</v>
      </c>
      <c r="F414" s="15" t="s">
        <v>2564</v>
      </c>
      <c r="G414" s="15" t="s">
        <v>2560</v>
      </c>
      <c r="H414" s="16" t="s">
        <v>2560</v>
      </c>
    </row>
    <row r="415" spans="1:8" ht="22.5" x14ac:dyDescent="0.3">
      <c r="A415" s="13">
        <v>21214</v>
      </c>
      <c r="B415" s="14" t="s">
        <v>2565</v>
      </c>
      <c r="C415" s="15" t="s">
        <v>2566</v>
      </c>
      <c r="D415" s="15" t="s">
        <v>2567</v>
      </c>
      <c r="E415" s="15" t="s">
        <v>2568</v>
      </c>
      <c r="F415" s="15" t="s">
        <v>2569</v>
      </c>
      <c r="G415" s="15" t="s">
        <v>2570</v>
      </c>
      <c r="H415" s="16" t="s">
        <v>2571</v>
      </c>
    </row>
    <row r="416" spans="1:8" ht="33.75" x14ac:dyDescent="0.3">
      <c r="A416" s="13">
        <v>21215</v>
      </c>
      <c r="B416" s="14" t="s">
        <v>2572</v>
      </c>
      <c r="C416" s="15" t="s">
        <v>2573</v>
      </c>
      <c r="D416" s="15" t="s">
        <v>2574</v>
      </c>
      <c r="E416" s="15" t="s">
        <v>2575</v>
      </c>
      <c r="F416" s="15" t="s">
        <v>2576</v>
      </c>
      <c r="G416" s="15" t="s">
        <v>2577</v>
      </c>
      <c r="H416" s="16" t="s">
        <v>2578</v>
      </c>
    </row>
    <row r="417" spans="1:8" ht="33.75" x14ac:dyDescent="0.3">
      <c r="A417" s="13">
        <v>21216</v>
      </c>
      <c r="B417" s="14" t="s">
        <v>2579</v>
      </c>
      <c r="C417" s="15" t="s">
        <v>2580</v>
      </c>
      <c r="D417" s="15" t="s">
        <v>2579</v>
      </c>
      <c r="E417" s="15" t="s">
        <v>2581</v>
      </c>
      <c r="F417" s="15" t="s">
        <v>2579</v>
      </c>
      <c r="G417" s="15" t="s">
        <v>2582</v>
      </c>
      <c r="H417" s="16" t="s">
        <v>2583</v>
      </c>
    </row>
    <row r="418" spans="1:8" ht="22.5" x14ac:dyDescent="0.3">
      <c r="A418" s="13">
        <v>21217</v>
      </c>
      <c r="B418" s="14" t="s">
        <v>2584</v>
      </c>
      <c r="C418" s="15" t="s">
        <v>2585</v>
      </c>
      <c r="D418" s="15" t="s">
        <v>2586</v>
      </c>
      <c r="E418" s="15" t="s">
        <v>2587</v>
      </c>
      <c r="F418" s="15" t="s">
        <v>2588</v>
      </c>
      <c r="G418" s="15" t="s">
        <v>2589</v>
      </c>
      <c r="H418" s="16" t="s">
        <v>2588</v>
      </c>
    </row>
    <row r="419" spans="1:8" ht="67.5" x14ac:dyDescent="0.3">
      <c r="A419" s="13">
        <v>21218</v>
      </c>
      <c r="B419" s="14" t="s">
        <v>2590</v>
      </c>
      <c r="C419" s="15" t="s">
        <v>2591</v>
      </c>
      <c r="D419" s="15" t="s">
        <v>2592</v>
      </c>
      <c r="E419" s="15" t="s">
        <v>2593</v>
      </c>
      <c r="F419" s="15" t="s">
        <v>2594</v>
      </c>
      <c r="G419" s="15" t="s">
        <v>2595</v>
      </c>
      <c r="H419" s="16" t="s">
        <v>2596</v>
      </c>
    </row>
    <row r="420" spans="1:8" ht="67.5" x14ac:dyDescent="0.3">
      <c r="A420" s="13">
        <v>21219</v>
      </c>
      <c r="B420" s="14" t="s">
        <v>2597</v>
      </c>
      <c r="C420" s="15" t="s">
        <v>2598</v>
      </c>
      <c r="D420" s="15"/>
      <c r="E420" s="15" t="s">
        <v>2599</v>
      </c>
      <c r="F420" s="15" t="s">
        <v>2600</v>
      </c>
      <c r="G420" s="15" t="s">
        <v>2601</v>
      </c>
      <c r="H420" s="16" t="s">
        <v>2602</v>
      </c>
    </row>
    <row r="421" spans="1:8" ht="33.75" x14ac:dyDescent="0.3">
      <c r="A421" s="13" t="s">
        <v>2603</v>
      </c>
      <c r="B421" s="14" t="s">
        <v>19730</v>
      </c>
      <c r="C421" s="15" t="s">
        <v>2604</v>
      </c>
      <c r="D421" s="15" t="s">
        <v>2605</v>
      </c>
      <c r="E421" s="15" t="s">
        <v>2606</v>
      </c>
      <c r="F421" s="15" t="s">
        <v>2607</v>
      </c>
      <c r="G421" s="15" t="s">
        <v>2608</v>
      </c>
      <c r="H421" s="16" t="s">
        <v>2609</v>
      </c>
    </row>
    <row r="422" spans="1:8" ht="101.25" x14ac:dyDescent="0.3">
      <c r="A422" s="13">
        <v>21220</v>
      </c>
      <c r="B422" s="14" t="s">
        <v>2610</v>
      </c>
      <c r="C422" s="15" t="s">
        <v>2611</v>
      </c>
      <c r="D422" s="15" t="s">
        <v>2612</v>
      </c>
      <c r="E422" s="15" t="s">
        <v>2613</v>
      </c>
      <c r="F422" s="15" t="s">
        <v>2614</v>
      </c>
      <c r="G422" s="15" t="s">
        <v>2615</v>
      </c>
      <c r="H422" s="16" t="s">
        <v>2616</v>
      </c>
    </row>
    <row r="423" spans="1:8" ht="45" x14ac:dyDescent="0.3">
      <c r="A423" s="13">
        <v>21221</v>
      </c>
      <c r="B423" s="14" t="s">
        <v>2617</v>
      </c>
      <c r="C423" s="15" t="s">
        <v>2618</v>
      </c>
      <c r="D423" s="15" t="s">
        <v>2619</v>
      </c>
      <c r="E423" s="15" t="s">
        <v>2620</v>
      </c>
      <c r="F423" s="15" t="s">
        <v>2621</v>
      </c>
      <c r="G423" s="15" t="s">
        <v>2622</v>
      </c>
      <c r="H423" s="16" t="s">
        <v>2623</v>
      </c>
    </row>
    <row r="424" spans="1:8" ht="33.75" x14ac:dyDescent="0.3">
      <c r="A424" s="13">
        <v>21222</v>
      </c>
      <c r="B424" s="14" t="s">
        <v>2624</v>
      </c>
      <c r="C424" s="15" t="s">
        <v>2625</v>
      </c>
      <c r="D424" s="15" t="s">
        <v>2626</v>
      </c>
      <c r="E424" s="15" t="s">
        <v>2627</v>
      </c>
      <c r="F424" s="15" t="s">
        <v>2628</v>
      </c>
      <c r="G424" s="15" t="s">
        <v>2629</v>
      </c>
      <c r="H424" s="16" t="s">
        <v>2630</v>
      </c>
    </row>
    <row r="425" spans="1:8" x14ac:dyDescent="0.3">
      <c r="A425" s="13">
        <v>21223</v>
      </c>
      <c r="B425" s="14" t="s">
        <v>2631</v>
      </c>
      <c r="C425" s="15" t="s">
        <v>2632</v>
      </c>
      <c r="D425" s="15" t="s">
        <v>2633</v>
      </c>
      <c r="E425" s="15"/>
      <c r="F425" s="15" t="s">
        <v>2634</v>
      </c>
      <c r="G425" s="15" t="s">
        <v>2633</v>
      </c>
      <c r="H425" s="16" t="s">
        <v>2633</v>
      </c>
    </row>
    <row r="426" spans="1:8" ht="45" x14ac:dyDescent="0.3">
      <c r="A426" s="13">
        <v>21224</v>
      </c>
      <c r="B426" s="14" t="s">
        <v>2635</v>
      </c>
      <c r="C426" s="15" t="s">
        <v>2636</v>
      </c>
      <c r="D426" s="15" t="s">
        <v>2637</v>
      </c>
      <c r="E426" s="15" t="s">
        <v>2638</v>
      </c>
      <c r="F426" s="15" t="s">
        <v>2639</v>
      </c>
      <c r="G426" s="15" t="s">
        <v>2640</v>
      </c>
      <c r="H426" s="16" t="s">
        <v>2641</v>
      </c>
    </row>
    <row r="427" spans="1:8" ht="22.5" x14ac:dyDescent="0.3">
      <c r="A427" s="13" t="s">
        <v>2642</v>
      </c>
      <c r="B427" s="14" t="s">
        <v>19725</v>
      </c>
      <c r="C427" s="15" t="s">
        <v>2643</v>
      </c>
      <c r="D427" s="15" t="s">
        <v>2644</v>
      </c>
      <c r="E427" s="15" t="s">
        <v>2645</v>
      </c>
      <c r="F427" s="15" t="s">
        <v>2646</v>
      </c>
      <c r="G427" s="15" t="s">
        <v>2647</v>
      </c>
      <c r="H427" s="16" t="s">
        <v>2648</v>
      </c>
    </row>
    <row r="428" spans="1:8" ht="101.25" x14ac:dyDescent="0.3">
      <c r="A428" s="13">
        <v>21225</v>
      </c>
      <c r="B428" s="14" t="s">
        <v>2649</v>
      </c>
      <c r="C428" s="15" t="s">
        <v>2650</v>
      </c>
      <c r="D428" s="15"/>
      <c r="E428" s="15" t="s">
        <v>2651</v>
      </c>
      <c r="F428" s="15" t="s">
        <v>57</v>
      </c>
      <c r="G428" s="15" t="s">
        <v>2652</v>
      </c>
      <c r="H428" s="16" t="s">
        <v>2653</v>
      </c>
    </row>
    <row r="429" spans="1:8" ht="45" x14ac:dyDescent="0.3">
      <c r="A429" s="13" t="s">
        <v>2654</v>
      </c>
      <c r="B429" s="14" t="s">
        <v>19725</v>
      </c>
      <c r="C429" s="15" t="s">
        <v>2655</v>
      </c>
      <c r="D429" s="15" t="s">
        <v>2656</v>
      </c>
      <c r="E429" s="15" t="s">
        <v>2657</v>
      </c>
      <c r="F429" s="15" t="s">
        <v>2658</v>
      </c>
      <c r="G429" s="15" t="s">
        <v>2659</v>
      </c>
      <c r="H429" s="16" t="s">
        <v>2660</v>
      </c>
    </row>
    <row r="430" spans="1:8" ht="22.5" x14ac:dyDescent="0.3">
      <c r="A430" s="13" t="s">
        <v>2661</v>
      </c>
      <c r="B430" s="14" t="s">
        <v>19726</v>
      </c>
      <c r="C430" s="15" t="s">
        <v>2662</v>
      </c>
      <c r="D430" s="15"/>
      <c r="E430" s="15" t="s">
        <v>2663</v>
      </c>
      <c r="F430" s="15" t="s">
        <v>2664</v>
      </c>
      <c r="G430" s="15" t="s">
        <v>2665</v>
      </c>
      <c r="H430" s="16" t="s">
        <v>2663</v>
      </c>
    </row>
    <row r="431" spans="1:8" ht="33.75" x14ac:dyDescent="0.3">
      <c r="A431" s="13">
        <v>21226</v>
      </c>
      <c r="B431" s="14" t="s">
        <v>2666</v>
      </c>
      <c r="C431" s="15" t="s">
        <v>2667</v>
      </c>
      <c r="D431" s="15" t="s">
        <v>2668</v>
      </c>
      <c r="E431" s="15" t="s">
        <v>2669</v>
      </c>
      <c r="F431" s="15" t="s">
        <v>2670</v>
      </c>
      <c r="G431" s="15" t="s">
        <v>2671</v>
      </c>
      <c r="H431" s="16" t="s">
        <v>2669</v>
      </c>
    </row>
    <row r="432" spans="1:8" ht="22.5" x14ac:dyDescent="0.3">
      <c r="A432" s="13">
        <v>21227</v>
      </c>
      <c r="B432" s="14" t="s">
        <v>2672</v>
      </c>
      <c r="C432" s="15" t="s">
        <v>2673</v>
      </c>
      <c r="D432" s="15" t="s">
        <v>2674</v>
      </c>
      <c r="E432" s="15" t="s">
        <v>2672</v>
      </c>
      <c r="F432" s="15" t="s">
        <v>2675</v>
      </c>
      <c r="G432" s="15" t="s">
        <v>2676</v>
      </c>
      <c r="H432" s="16" t="s">
        <v>2677</v>
      </c>
    </row>
    <row r="433" spans="1:8" ht="33.75" x14ac:dyDescent="0.3">
      <c r="A433" s="13">
        <v>21228</v>
      </c>
      <c r="B433" s="14" t="s">
        <v>2678</v>
      </c>
      <c r="C433" s="15" t="s">
        <v>2679</v>
      </c>
      <c r="D433" s="15" t="s">
        <v>2680</v>
      </c>
      <c r="E433" s="15" t="s">
        <v>2681</v>
      </c>
      <c r="F433" s="15" t="s">
        <v>2682</v>
      </c>
      <c r="G433" s="15" t="s">
        <v>2683</v>
      </c>
      <c r="H433" s="16" t="s">
        <v>2684</v>
      </c>
    </row>
    <row r="434" spans="1:8" ht="33.75" x14ac:dyDescent="0.3">
      <c r="A434" s="13" t="s">
        <v>2685</v>
      </c>
      <c r="B434" s="14" t="s">
        <v>2686</v>
      </c>
      <c r="C434" s="15" t="s">
        <v>2687</v>
      </c>
      <c r="D434" s="15" t="s">
        <v>2688</v>
      </c>
      <c r="E434" s="15" t="s">
        <v>2689</v>
      </c>
      <c r="F434" s="15" t="s">
        <v>2690</v>
      </c>
      <c r="G434" s="15" t="s">
        <v>2691</v>
      </c>
      <c r="H434" s="16" t="s">
        <v>2692</v>
      </c>
    </row>
    <row r="435" spans="1:8" ht="22.5" x14ac:dyDescent="0.3">
      <c r="A435" s="13" t="s">
        <v>2693</v>
      </c>
      <c r="B435" s="14" t="s">
        <v>2694</v>
      </c>
      <c r="C435" s="15" t="s">
        <v>2695</v>
      </c>
      <c r="D435" s="15" t="s">
        <v>2696</v>
      </c>
      <c r="E435" s="15" t="s">
        <v>2697</v>
      </c>
      <c r="F435" s="15" t="s">
        <v>2698</v>
      </c>
      <c r="G435" s="15" t="s">
        <v>2699</v>
      </c>
      <c r="H435" s="16" t="s">
        <v>2700</v>
      </c>
    </row>
    <row r="436" spans="1:8" ht="33.75" x14ac:dyDescent="0.3">
      <c r="A436" s="13" t="s">
        <v>2701</v>
      </c>
      <c r="B436" s="14" t="s">
        <v>2702</v>
      </c>
      <c r="C436" s="15" t="s">
        <v>2703</v>
      </c>
      <c r="D436" s="15" t="s">
        <v>2704</v>
      </c>
      <c r="E436" s="15" t="s">
        <v>2705</v>
      </c>
      <c r="F436" s="15" t="s">
        <v>2706</v>
      </c>
      <c r="G436" s="15" t="s">
        <v>2707</v>
      </c>
      <c r="H436" s="16" t="s">
        <v>2708</v>
      </c>
    </row>
    <row r="437" spans="1:8" ht="33.75" x14ac:dyDescent="0.3">
      <c r="A437" s="13" t="s">
        <v>2709</v>
      </c>
      <c r="B437" s="14" t="s">
        <v>2710</v>
      </c>
      <c r="C437" s="15" t="s">
        <v>2711</v>
      </c>
      <c r="D437" s="15" t="s">
        <v>2712</v>
      </c>
      <c r="E437" s="15" t="s">
        <v>2713</v>
      </c>
      <c r="F437" s="15" t="s">
        <v>2714</v>
      </c>
      <c r="G437" s="15" t="s">
        <v>2715</v>
      </c>
      <c r="H437" s="16" t="s">
        <v>2716</v>
      </c>
    </row>
    <row r="438" spans="1:8" ht="33.75" x14ac:dyDescent="0.3">
      <c r="A438" s="13" t="s">
        <v>2717</v>
      </c>
      <c r="B438" s="14" t="s">
        <v>2678</v>
      </c>
      <c r="C438" s="15" t="s">
        <v>2718</v>
      </c>
      <c r="D438" s="15" t="s">
        <v>2719</v>
      </c>
      <c r="E438" s="15" t="s">
        <v>2720</v>
      </c>
      <c r="F438" s="15" t="s">
        <v>2721</v>
      </c>
      <c r="G438" s="15" t="s">
        <v>57</v>
      </c>
      <c r="H438" s="16" t="s">
        <v>2722</v>
      </c>
    </row>
    <row r="439" spans="1:8" ht="56.25" x14ac:dyDescent="0.3">
      <c r="A439" s="13" t="s">
        <v>2723</v>
      </c>
      <c r="B439" s="14" t="s">
        <v>2724</v>
      </c>
      <c r="C439" s="15" t="s">
        <v>2725</v>
      </c>
      <c r="D439" s="15" t="s">
        <v>2726</v>
      </c>
      <c r="E439" s="15" t="s">
        <v>2727</v>
      </c>
      <c r="F439" s="15" t="s">
        <v>2728</v>
      </c>
      <c r="G439" s="15" t="s">
        <v>2729</v>
      </c>
      <c r="H439" s="16" t="s">
        <v>2730</v>
      </c>
    </row>
    <row r="440" spans="1:8" ht="33.75" x14ac:dyDescent="0.3">
      <c r="A440" s="13" t="s">
        <v>2731</v>
      </c>
      <c r="B440" s="14" t="s">
        <v>2724</v>
      </c>
      <c r="C440" s="15" t="s">
        <v>2732</v>
      </c>
      <c r="D440" s="15" t="s">
        <v>2733</v>
      </c>
      <c r="E440" s="15" t="s">
        <v>2734</v>
      </c>
      <c r="F440" s="15" t="s">
        <v>2735</v>
      </c>
      <c r="G440" s="15" t="s">
        <v>57</v>
      </c>
      <c r="H440" s="16" t="s">
        <v>2736</v>
      </c>
    </row>
    <row r="441" spans="1:8" ht="33.75" x14ac:dyDescent="0.3">
      <c r="A441" s="13" t="s">
        <v>2737</v>
      </c>
      <c r="B441" s="14" t="s">
        <v>2738</v>
      </c>
      <c r="C441" s="15" t="s">
        <v>2739</v>
      </c>
      <c r="D441" s="15" t="s">
        <v>2740</v>
      </c>
      <c r="E441" s="15" t="s">
        <v>2741</v>
      </c>
      <c r="F441" s="15" t="s">
        <v>2742</v>
      </c>
      <c r="G441" s="15" t="s">
        <v>57</v>
      </c>
      <c r="H441" s="16" t="s">
        <v>2743</v>
      </c>
    </row>
    <row r="442" spans="1:8" ht="67.5" x14ac:dyDescent="0.3">
      <c r="A442" s="13" t="s">
        <v>2744</v>
      </c>
      <c r="B442" s="14" t="s">
        <v>2745</v>
      </c>
      <c r="C442" s="15" t="s">
        <v>2746</v>
      </c>
      <c r="D442" s="15" t="s">
        <v>2747</v>
      </c>
      <c r="E442" s="15" t="s">
        <v>2748</v>
      </c>
      <c r="F442" s="15" t="s">
        <v>2749</v>
      </c>
      <c r="G442" s="15" t="s">
        <v>2750</v>
      </c>
      <c r="H442" s="16" t="s">
        <v>2751</v>
      </c>
    </row>
    <row r="443" spans="1:8" x14ac:dyDescent="0.3">
      <c r="A443" s="13">
        <v>21229</v>
      </c>
      <c r="B443" s="14" t="s">
        <v>2752</v>
      </c>
      <c r="C443" s="15" t="s">
        <v>2753</v>
      </c>
      <c r="D443" s="15" t="s">
        <v>2754</v>
      </c>
      <c r="E443" s="15" t="s">
        <v>2755</v>
      </c>
      <c r="F443" s="15" t="s">
        <v>2756</v>
      </c>
      <c r="G443" s="15" t="s">
        <v>2757</v>
      </c>
      <c r="H443" s="16" t="s">
        <v>2758</v>
      </c>
    </row>
    <row r="444" spans="1:8" ht="56.25" x14ac:dyDescent="0.3">
      <c r="A444" s="13">
        <v>21230</v>
      </c>
      <c r="B444" s="14" t="s">
        <v>2759</v>
      </c>
      <c r="C444" s="15" t="s">
        <v>2760</v>
      </c>
      <c r="D444" s="15" t="s">
        <v>2761</v>
      </c>
      <c r="E444" s="15" t="s">
        <v>2762</v>
      </c>
      <c r="F444" s="15" t="s">
        <v>2763</v>
      </c>
      <c r="G444" s="15" t="s">
        <v>2764</v>
      </c>
      <c r="H444" s="16" t="s">
        <v>2765</v>
      </c>
    </row>
    <row r="445" spans="1:8" ht="56.25" x14ac:dyDescent="0.3">
      <c r="A445" s="13" t="s">
        <v>2766</v>
      </c>
      <c r="B445" s="14" t="s">
        <v>2767</v>
      </c>
      <c r="C445" s="15" t="s">
        <v>2768</v>
      </c>
      <c r="D445" s="15" t="s">
        <v>2769</v>
      </c>
      <c r="E445" s="15" t="s">
        <v>2770</v>
      </c>
      <c r="F445" s="15" t="s">
        <v>2771</v>
      </c>
      <c r="G445" s="15" t="s">
        <v>2772</v>
      </c>
      <c r="H445" s="16" t="s">
        <v>2773</v>
      </c>
    </row>
    <row r="446" spans="1:8" ht="22.5" x14ac:dyDescent="0.3">
      <c r="A446" s="13">
        <v>21231</v>
      </c>
      <c r="B446" s="14" t="s">
        <v>2774</v>
      </c>
      <c r="C446" s="15" t="s">
        <v>2775</v>
      </c>
      <c r="D446" s="15" t="s">
        <v>2776</v>
      </c>
      <c r="E446" s="15" t="s">
        <v>2777</v>
      </c>
      <c r="F446" s="15" t="s">
        <v>2778</v>
      </c>
      <c r="G446" s="15" t="s">
        <v>2779</v>
      </c>
      <c r="H446" s="16" t="s">
        <v>2780</v>
      </c>
    </row>
    <row r="447" spans="1:8" ht="33.75" x14ac:dyDescent="0.3">
      <c r="A447" s="13">
        <v>21232</v>
      </c>
      <c r="B447" s="14" t="s">
        <v>2781</v>
      </c>
      <c r="C447" s="15" t="s">
        <v>2782</v>
      </c>
      <c r="D447" s="15" t="s">
        <v>2783</v>
      </c>
      <c r="E447" s="15" t="s">
        <v>2784</v>
      </c>
      <c r="F447" s="15" t="s">
        <v>2785</v>
      </c>
      <c r="G447" s="15" t="s">
        <v>2786</v>
      </c>
      <c r="H447" s="16" t="s">
        <v>2787</v>
      </c>
    </row>
    <row r="448" spans="1:8" ht="56.25" x14ac:dyDescent="0.3">
      <c r="A448" s="13">
        <v>21233</v>
      </c>
      <c r="B448" s="14" t="s">
        <v>2788</v>
      </c>
      <c r="C448" s="15" t="s">
        <v>2789</v>
      </c>
      <c r="D448" s="15" t="s">
        <v>2790</v>
      </c>
      <c r="E448" s="15" t="s">
        <v>2791</v>
      </c>
      <c r="F448" s="15" t="s">
        <v>2792</v>
      </c>
      <c r="G448" s="15" t="s">
        <v>2793</v>
      </c>
      <c r="H448" s="16" t="s">
        <v>2794</v>
      </c>
    </row>
    <row r="449" spans="1:8" x14ac:dyDescent="0.3">
      <c r="A449" s="13">
        <v>21234</v>
      </c>
      <c r="B449" s="14" t="s">
        <v>2795</v>
      </c>
      <c r="C449" s="15" t="s">
        <v>2796</v>
      </c>
      <c r="D449" s="15" t="s">
        <v>2797</v>
      </c>
      <c r="E449" s="15" t="s">
        <v>2798</v>
      </c>
      <c r="F449" s="15" t="s">
        <v>2795</v>
      </c>
      <c r="G449" s="15" t="s">
        <v>2799</v>
      </c>
      <c r="H449" s="16" t="s">
        <v>2800</v>
      </c>
    </row>
    <row r="450" spans="1:8" ht="90" x14ac:dyDescent="0.3">
      <c r="A450" s="13">
        <v>21235</v>
      </c>
      <c r="B450" s="14" t="s">
        <v>2801</v>
      </c>
      <c r="C450" s="15" t="s">
        <v>2802</v>
      </c>
      <c r="D450" s="15" t="s">
        <v>2803</v>
      </c>
      <c r="E450" s="15" t="s">
        <v>2804</v>
      </c>
      <c r="F450" s="15" t="s">
        <v>2805</v>
      </c>
      <c r="G450" s="15" t="s">
        <v>2806</v>
      </c>
      <c r="H450" s="16" t="s">
        <v>2807</v>
      </c>
    </row>
    <row r="451" spans="1:8" ht="45" x14ac:dyDescent="0.3">
      <c r="A451" s="13" t="s">
        <v>2808</v>
      </c>
      <c r="B451" s="14" t="s">
        <v>19725</v>
      </c>
      <c r="C451" s="15" t="s">
        <v>2809</v>
      </c>
      <c r="D451" s="15" t="s">
        <v>2810</v>
      </c>
      <c r="E451" s="15" t="s">
        <v>2811</v>
      </c>
      <c r="F451" s="15" t="s">
        <v>2812</v>
      </c>
      <c r="G451" s="15" t="s">
        <v>2813</v>
      </c>
      <c r="H451" s="16" t="s">
        <v>2814</v>
      </c>
    </row>
    <row r="452" spans="1:8" ht="45" x14ac:dyDescent="0.3">
      <c r="A452" s="13" t="s">
        <v>2815</v>
      </c>
      <c r="B452" s="14" t="s">
        <v>19726</v>
      </c>
      <c r="C452" s="15" t="s">
        <v>2816</v>
      </c>
      <c r="D452" s="15"/>
      <c r="E452" s="15" t="s">
        <v>2817</v>
      </c>
      <c r="F452" s="15" t="s">
        <v>2818</v>
      </c>
      <c r="G452" s="15" t="s">
        <v>2819</v>
      </c>
      <c r="H452" s="16" t="s">
        <v>2820</v>
      </c>
    </row>
    <row r="453" spans="1:8" ht="33.75" x14ac:dyDescent="0.3">
      <c r="A453" s="13">
        <v>21236</v>
      </c>
      <c r="B453" s="14" t="s">
        <v>2821</v>
      </c>
      <c r="C453" s="15" t="s">
        <v>2822</v>
      </c>
      <c r="D453" s="15" t="s">
        <v>2823</v>
      </c>
      <c r="E453" s="15" t="s">
        <v>2821</v>
      </c>
      <c r="F453" s="15" t="s">
        <v>2824</v>
      </c>
      <c r="G453" s="15" t="s">
        <v>2825</v>
      </c>
      <c r="H453" s="16" t="s">
        <v>2821</v>
      </c>
    </row>
    <row r="454" spans="1:8" ht="22.5" x14ac:dyDescent="0.3">
      <c r="A454" s="13" t="s">
        <v>2826</v>
      </c>
      <c r="B454" s="14" t="s">
        <v>2827</v>
      </c>
      <c r="C454" s="15" t="s">
        <v>2828</v>
      </c>
      <c r="D454" s="15" t="s">
        <v>2829</v>
      </c>
      <c r="E454" s="15" t="s">
        <v>2830</v>
      </c>
      <c r="F454" s="15" t="s">
        <v>2831</v>
      </c>
      <c r="G454" s="15" t="s">
        <v>2831</v>
      </c>
      <c r="H454" s="16" t="s">
        <v>2832</v>
      </c>
    </row>
    <row r="455" spans="1:8" x14ac:dyDescent="0.3">
      <c r="A455" s="13" t="s">
        <v>2833</v>
      </c>
      <c r="B455" s="14" t="s">
        <v>2834</v>
      </c>
      <c r="C455" s="15" t="s">
        <v>2835</v>
      </c>
      <c r="D455" s="15" t="s">
        <v>2836</v>
      </c>
      <c r="E455" s="15" t="s">
        <v>2837</v>
      </c>
      <c r="F455" s="15" t="s">
        <v>2836</v>
      </c>
      <c r="G455" s="15" t="s">
        <v>2836</v>
      </c>
      <c r="H455" s="16" t="s">
        <v>2836</v>
      </c>
    </row>
    <row r="456" spans="1:8" ht="33.75" x14ac:dyDescent="0.3">
      <c r="A456" s="13" t="s">
        <v>2838</v>
      </c>
      <c r="B456" s="14" t="s">
        <v>2839</v>
      </c>
      <c r="C456" s="15" t="s">
        <v>2840</v>
      </c>
      <c r="D456" s="15" t="s">
        <v>2841</v>
      </c>
      <c r="E456" s="15" t="s">
        <v>2842</v>
      </c>
      <c r="F456" s="15" t="s">
        <v>2843</v>
      </c>
      <c r="G456" s="15" t="s">
        <v>2843</v>
      </c>
      <c r="H456" s="16" t="s">
        <v>2844</v>
      </c>
    </row>
    <row r="457" spans="1:8" ht="22.5" x14ac:dyDescent="0.3">
      <c r="A457" s="13">
        <v>21237</v>
      </c>
      <c r="B457" s="14" t="s">
        <v>2845</v>
      </c>
      <c r="C457" s="15" t="s">
        <v>2846</v>
      </c>
      <c r="D457" s="15" t="s">
        <v>2847</v>
      </c>
      <c r="E457" s="15" t="s">
        <v>2847</v>
      </c>
      <c r="F457" s="15" t="s">
        <v>2847</v>
      </c>
      <c r="G457" s="15" t="s">
        <v>2847</v>
      </c>
      <c r="H457" s="16" t="s">
        <v>2847</v>
      </c>
    </row>
    <row r="458" spans="1:8" x14ac:dyDescent="0.3">
      <c r="A458" s="13" t="s">
        <v>2848</v>
      </c>
      <c r="B458" s="14" t="s">
        <v>2849</v>
      </c>
      <c r="C458" s="15" t="s">
        <v>2850</v>
      </c>
      <c r="D458" s="15" t="s">
        <v>2851</v>
      </c>
      <c r="E458" s="15" t="s">
        <v>2851</v>
      </c>
      <c r="F458" s="15" t="s">
        <v>2851</v>
      </c>
      <c r="G458" s="15" t="s">
        <v>2851</v>
      </c>
      <c r="H458" s="16" t="s">
        <v>2851</v>
      </c>
    </row>
    <row r="459" spans="1:8" x14ac:dyDescent="0.3">
      <c r="A459" s="13" t="s">
        <v>2852</v>
      </c>
      <c r="B459" s="14" t="s">
        <v>2853</v>
      </c>
      <c r="C459" s="15" t="s">
        <v>2854</v>
      </c>
      <c r="D459" s="15" t="s">
        <v>2855</v>
      </c>
      <c r="E459" s="15" t="s">
        <v>2856</v>
      </c>
      <c r="F459" s="15" t="s">
        <v>2856</v>
      </c>
      <c r="G459" s="15" t="s">
        <v>2856</v>
      </c>
      <c r="H459" s="16" t="s">
        <v>2856</v>
      </c>
    </row>
    <row r="460" spans="1:8" ht="22.5" x14ac:dyDescent="0.3">
      <c r="A460" s="13" t="s">
        <v>2857</v>
      </c>
      <c r="B460" s="14" t="s">
        <v>2858</v>
      </c>
      <c r="C460" s="15" t="s">
        <v>2859</v>
      </c>
      <c r="D460" s="15" t="s">
        <v>2860</v>
      </c>
      <c r="E460" s="15" t="s">
        <v>2861</v>
      </c>
      <c r="F460" s="15" t="s">
        <v>2861</v>
      </c>
      <c r="G460" s="15" t="s">
        <v>2861</v>
      </c>
      <c r="H460" s="16" t="s">
        <v>2861</v>
      </c>
    </row>
    <row r="461" spans="1:8" x14ac:dyDescent="0.3">
      <c r="A461" s="13">
        <v>21238</v>
      </c>
      <c r="B461" s="14" t="s">
        <v>2862</v>
      </c>
      <c r="C461" s="15" t="s">
        <v>2863</v>
      </c>
      <c r="D461" s="15" t="s">
        <v>2864</v>
      </c>
      <c r="E461" s="15" t="s">
        <v>2865</v>
      </c>
      <c r="F461" s="15" t="s">
        <v>2866</v>
      </c>
      <c r="G461" s="15" t="s">
        <v>2865</v>
      </c>
      <c r="H461" s="16" t="s">
        <v>2867</v>
      </c>
    </row>
    <row r="462" spans="1:8" x14ac:dyDescent="0.3">
      <c r="A462" s="13" t="s">
        <v>2868</v>
      </c>
      <c r="B462" s="14" t="s">
        <v>2869</v>
      </c>
      <c r="C462" s="15" t="s">
        <v>2870</v>
      </c>
      <c r="D462" s="15" t="s">
        <v>2871</v>
      </c>
      <c r="E462" s="15" t="s">
        <v>2871</v>
      </c>
      <c r="F462" s="15" t="s">
        <v>2871</v>
      </c>
      <c r="G462" s="15" t="s">
        <v>2871</v>
      </c>
      <c r="H462" s="16" t="s">
        <v>2871</v>
      </c>
    </row>
    <row r="463" spans="1:8" x14ac:dyDescent="0.3">
      <c r="A463" s="13" t="s">
        <v>2872</v>
      </c>
      <c r="B463" s="14" t="s">
        <v>2873</v>
      </c>
      <c r="C463" s="15" t="s">
        <v>2874</v>
      </c>
      <c r="D463" s="15" t="s">
        <v>2875</v>
      </c>
      <c r="E463" s="15" t="s">
        <v>2876</v>
      </c>
      <c r="F463" s="15" t="s">
        <v>2877</v>
      </c>
      <c r="G463" s="15" t="s">
        <v>2876</v>
      </c>
      <c r="H463" s="16" t="s">
        <v>2878</v>
      </c>
    </row>
    <row r="464" spans="1:8" x14ac:dyDescent="0.3">
      <c r="A464" s="13" t="s">
        <v>2879</v>
      </c>
      <c r="B464" s="14" t="s">
        <v>2880</v>
      </c>
      <c r="C464" s="15" t="s">
        <v>2881</v>
      </c>
      <c r="D464" s="15" t="s">
        <v>2882</v>
      </c>
      <c r="E464" s="15" t="s">
        <v>2883</v>
      </c>
      <c r="F464" s="15" t="s">
        <v>2883</v>
      </c>
      <c r="G464" s="15" t="s">
        <v>2884</v>
      </c>
      <c r="H464" s="16" t="s">
        <v>2884</v>
      </c>
    </row>
    <row r="465" spans="1:8" ht="22.5" x14ac:dyDescent="0.3">
      <c r="A465" s="13">
        <v>21239</v>
      </c>
      <c r="B465" s="14" t="s">
        <v>2885</v>
      </c>
      <c r="C465" s="15" t="s">
        <v>2886</v>
      </c>
      <c r="D465" s="15" t="s">
        <v>2887</v>
      </c>
      <c r="E465" s="15" t="s">
        <v>2888</v>
      </c>
      <c r="F465" s="15" t="s">
        <v>2889</v>
      </c>
      <c r="G465" s="15" t="s">
        <v>2890</v>
      </c>
      <c r="H465" s="16" t="s">
        <v>2891</v>
      </c>
    </row>
    <row r="466" spans="1:8" x14ac:dyDescent="0.3">
      <c r="A466" s="13" t="s">
        <v>2892</v>
      </c>
      <c r="B466" s="14" t="s">
        <v>2893</v>
      </c>
      <c r="C466" s="15" t="s">
        <v>2894</v>
      </c>
      <c r="D466" s="15" t="s">
        <v>2895</v>
      </c>
      <c r="E466" s="15" t="s">
        <v>2895</v>
      </c>
      <c r="F466" s="15" t="s">
        <v>2895</v>
      </c>
      <c r="G466" s="15" t="s">
        <v>2895</v>
      </c>
      <c r="H466" s="16" t="s">
        <v>2895</v>
      </c>
    </row>
    <row r="467" spans="1:8" x14ac:dyDescent="0.3">
      <c r="A467" s="13" t="s">
        <v>2896</v>
      </c>
      <c r="B467" s="14" t="s">
        <v>2897</v>
      </c>
      <c r="C467" s="15" t="s">
        <v>2898</v>
      </c>
      <c r="D467" s="15" t="s">
        <v>2899</v>
      </c>
      <c r="E467" s="15" t="s">
        <v>2900</v>
      </c>
      <c r="F467" s="15" t="s">
        <v>2901</v>
      </c>
      <c r="G467" s="15" t="s">
        <v>2900</v>
      </c>
      <c r="H467" s="16" t="s">
        <v>2902</v>
      </c>
    </row>
    <row r="468" spans="1:8" x14ac:dyDescent="0.3">
      <c r="A468" s="13" t="s">
        <v>2903</v>
      </c>
      <c r="B468" s="14" t="s">
        <v>2904</v>
      </c>
      <c r="C468" s="15" t="s">
        <v>2905</v>
      </c>
      <c r="D468" s="15" t="s">
        <v>2906</v>
      </c>
      <c r="E468" s="15" t="s">
        <v>2907</v>
      </c>
      <c r="F468" s="15" t="s">
        <v>2907</v>
      </c>
      <c r="G468" s="15" t="s">
        <v>2906</v>
      </c>
      <c r="H468" s="16" t="s">
        <v>2906</v>
      </c>
    </row>
    <row r="469" spans="1:8" x14ac:dyDescent="0.3">
      <c r="A469" s="13">
        <v>21240</v>
      </c>
      <c r="B469" s="14" t="s">
        <v>2908</v>
      </c>
      <c r="C469" s="15" t="s">
        <v>2909</v>
      </c>
      <c r="D469" s="15" t="s">
        <v>2910</v>
      </c>
      <c r="E469" s="15" t="s">
        <v>2911</v>
      </c>
      <c r="F469" s="15" t="s">
        <v>2912</v>
      </c>
      <c r="G469" s="15" t="s">
        <v>2913</v>
      </c>
      <c r="H469" s="16" t="s">
        <v>2914</v>
      </c>
    </row>
    <row r="470" spans="1:8" x14ac:dyDescent="0.3">
      <c r="A470" s="13" t="s">
        <v>2915</v>
      </c>
      <c r="B470" s="14" t="s">
        <v>2916</v>
      </c>
      <c r="C470" s="15" t="s">
        <v>2917</v>
      </c>
      <c r="D470" s="15" t="s">
        <v>2918</v>
      </c>
      <c r="E470" s="15" t="s">
        <v>2918</v>
      </c>
      <c r="F470" s="15" t="s">
        <v>2918</v>
      </c>
      <c r="G470" s="15" t="s">
        <v>2918</v>
      </c>
      <c r="H470" s="16" t="s">
        <v>2918</v>
      </c>
    </row>
    <row r="471" spans="1:8" ht="22.5" x14ac:dyDescent="0.3">
      <c r="A471" s="13" t="s">
        <v>2919</v>
      </c>
      <c r="B471" s="14" t="s">
        <v>2920</v>
      </c>
      <c r="C471" s="15" t="s">
        <v>2921</v>
      </c>
      <c r="D471" s="15" t="s">
        <v>2922</v>
      </c>
      <c r="E471" s="15" t="s">
        <v>2923</v>
      </c>
      <c r="F471" s="15" t="s">
        <v>2924</v>
      </c>
      <c r="G471" s="15" t="s">
        <v>2925</v>
      </c>
      <c r="H471" s="16" t="s">
        <v>2926</v>
      </c>
    </row>
    <row r="472" spans="1:8" x14ac:dyDescent="0.3">
      <c r="A472" s="13" t="s">
        <v>2927</v>
      </c>
      <c r="B472" s="14" t="s">
        <v>2928</v>
      </c>
      <c r="C472" s="15" t="s">
        <v>2929</v>
      </c>
      <c r="D472" s="15" t="s">
        <v>2930</v>
      </c>
      <c r="E472" s="15" t="s">
        <v>2931</v>
      </c>
      <c r="F472" s="15" t="s">
        <v>2932</v>
      </c>
      <c r="G472" s="15" t="s">
        <v>2931</v>
      </c>
      <c r="H472" s="16" t="s">
        <v>2930</v>
      </c>
    </row>
    <row r="473" spans="1:8" x14ac:dyDescent="0.3">
      <c r="A473" s="13">
        <v>21241</v>
      </c>
      <c r="B473" s="14" t="s">
        <v>2933</v>
      </c>
      <c r="C473" s="15" t="s">
        <v>2934</v>
      </c>
      <c r="D473" s="15" t="s">
        <v>2935</v>
      </c>
      <c r="E473" s="15" t="s">
        <v>2936</v>
      </c>
      <c r="F473" s="15" t="s">
        <v>2936</v>
      </c>
      <c r="G473" s="15" t="s">
        <v>2937</v>
      </c>
      <c r="H473" s="16" t="s">
        <v>2935</v>
      </c>
    </row>
    <row r="474" spans="1:8" x14ac:dyDescent="0.3">
      <c r="A474" s="13" t="s">
        <v>2938</v>
      </c>
      <c r="B474" s="14" t="s">
        <v>2939</v>
      </c>
      <c r="C474" s="15" t="s">
        <v>2940</v>
      </c>
      <c r="D474" s="15" t="s">
        <v>2941</v>
      </c>
      <c r="E474" s="15" t="s">
        <v>2940</v>
      </c>
      <c r="F474" s="15" t="s">
        <v>2940</v>
      </c>
      <c r="G474" s="15" t="s">
        <v>2940</v>
      </c>
      <c r="H474" s="16" t="s">
        <v>2940</v>
      </c>
    </row>
    <row r="475" spans="1:8" x14ac:dyDescent="0.3">
      <c r="A475" s="13" t="s">
        <v>2942</v>
      </c>
      <c r="B475" s="14" t="s">
        <v>2943</v>
      </c>
      <c r="C475" s="15" t="s">
        <v>2944</v>
      </c>
      <c r="D475" s="15" t="s">
        <v>2945</v>
      </c>
      <c r="E475" s="15" t="s">
        <v>2946</v>
      </c>
      <c r="F475" s="15" t="s">
        <v>2947</v>
      </c>
      <c r="G475" s="15" t="s">
        <v>2948</v>
      </c>
      <c r="H475" s="16" t="s">
        <v>2949</v>
      </c>
    </row>
    <row r="476" spans="1:8" x14ac:dyDescent="0.3">
      <c r="A476" s="13" t="s">
        <v>2950</v>
      </c>
      <c r="B476" s="14" t="s">
        <v>2951</v>
      </c>
      <c r="C476" s="15" t="s">
        <v>2952</v>
      </c>
      <c r="D476" s="15" t="s">
        <v>2953</v>
      </c>
      <c r="E476" s="15" t="s">
        <v>2954</v>
      </c>
      <c r="F476" s="15" t="s">
        <v>2955</v>
      </c>
      <c r="G476" s="15" t="s">
        <v>2954</v>
      </c>
      <c r="H476" s="16" t="s">
        <v>2953</v>
      </c>
    </row>
    <row r="477" spans="1:8" x14ac:dyDescent="0.3">
      <c r="A477" s="13">
        <v>21242</v>
      </c>
      <c r="B477" s="14" t="s">
        <v>2956</v>
      </c>
      <c r="C477" s="15" t="s">
        <v>2957</v>
      </c>
      <c r="D477" s="15" t="s">
        <v>2956</v>
      </c>
      <c r="E477" s="15" t="s">
        <v>2958</v>
      </c>
      <c r="F477" s="15" t="s">
        <v>2959</v>
      </c>
      <c r="G477" s="15" t="s">
        <v>2960</v>
      </c>
      <c r="H477" s="16" t="s">
        <v>2961</v>
      </c>
    </row>
    <row r="478" spans="1:8" x14ac:dyDescent="0.3">
      <c r="A478" s="13" t="s">
        <v>2962</v>
      </c>
      <c r="B478" s="14" t="s">
        <v>2963</v>
      </c>
      <c r="C478" s="15" t="s">
        <v>2964</v>
      </c>
      <c r="D478" s="15" t="s">
        <v>2965</v>
      </c>
      <c r="E478" s="15" t="s">
        <v>2966</v>
      </c>
      <c r="F478" s="15" t="s">
        <v>2966</v>
      </c>
      <c r="G478" s="15" t="s">
        <v>2967</v>
      </c>
      <c r="H478" s="16" t="s">
        <v>2966</v>
      </c>
    </row>
    <row r="479" spans="1:8" x14ac:dyDescent="0.3">
      <c r="A479" s="13" t="s">
        <v>2968</v>
      </c>
      <c r="B479" s="14" t="s">
        <v>2969</v>
      </c>
      <c r="C479" s="15" t="s">
        <v>2970</v>
      </c>
      <c r="D479" s="15" t="s">
        <v>2971</v>
      </c>
      <c r="E479" s="15" t="s">
        <v>2972</v>
      </c>
      <c r="F479" s="15" t="s">
        <v>2973</v>
      </c>
      <c r="G479" s="15" t="s">
        <v>2972</v>
      </c>
      <c r="H479" s="16" t="s">
        <v>2974</v>
      </c>
    </row>
    <row r="480" spans="1:8" x14ac:dyDescent="0.3">
      <c r="A480" s="13" t="s">
        <v>2975</v>
      </c>
      <c r="B480" s="14" t="s">
        <v>2976</v>
      </c>
      <c r="C480" s="15" t="s">
        <v>2977</v>
      </c>
      <c r="D480" s="15" t="s">
        <v>2978</v>
      </c>
      <c r="E480" s="15" t="s">
        <v>2979</v>
      </c>
      <c r="F480" s="15" t="s">
        <v>2980</v>
      </c>
      <c r="G480" s="15" t="s">
        <v>2980</v>
      </c>
      <c r="H480" s="16" t="s">
        <v>2980</v>
      </c>
    </row>
    <row r="481" spans="1:8" x14ac:dyDescent="0.3">
      <c r="A481" s="13">
        <v>21243</v>
      </c>
      <c r="B481" s="14" t="s">
        <v>2981</v>
      </c>
      <c r="C481" s="15" t="s">
        <v>2982</v>
      </c>
      <c r="D481" s="15" t="s">
        <v>2983</v>
      </c>
      <c r="E481" s="15" t="s">
        <v>2984</v>
      </c>
      <c r="F481" s="15" t="s">
        <v>2985</v>
      </c>
      <c r="G481" s="15" t="s">
        <v>2986</v>
      </c>
      <c r="H481" s="16" t="s">
        <v>2983</v>
      </c>
    </row>
    <row r="482" spans="1:8" x14ac:dyDescent="0.3">
      <c r="A482" s="13" t="s">
        <v>2987</v>
      </c>
      <c r="B482" s="14" t="s">
        <v>2988</v>
      </c>
      <c r="C482" s="15" t="s">
        <v>2989</v>
      </c>
      <c r="D482" s="15" t="s">
        <v>2990</v>
      </c>
      <c r="E482" s="15" t="s">
        <v>2991</v>
      </c>
      <c r="F482" s="15" t="s">
        <v>2990</v>
      </c>
      <c r="G482" s="15" t="s">
        <v>2990</v>
      </c>
      <c r="H482" s="16" t="s">
        <v>2990</v>
      </c>
    </row>
    <row r="483" spans="1:8" x14ac:dyDescent="0.3">
      <c r="A483" s="13" t="s">
        <v>2992</v>
      </c>
      <c r="B483" s="14" t="s">
        <v>2993</v>
      </c>
      <c r="C483" s="15" t="s">
        <v>2994</v>
      </c>
      <c r="D483" s="15" t="s">
        <v>2995</v>
      </c>
      <c r="E483" s="15" t="s">
        <v>2996</v>
      </c>
      <c r="F483" s="15" t="s">
        <v>2997</v>
      </c>
      <c r="G483" s="15" t="s">
        <v>2995</v>
      </c>
      <c r="H483" s="16" t="s">
        <v>2998</v>
      </c>
    </row>
    <row r="484" spans="1:8" x14ac:dyDescent="0.3">
      <c r="A484" s="13" t="s">
        <v>2999</v>
      </c>
      <c r="B484" s="14" t="s">
        <v>3000</v>
      </c>
      <c r="C484" s="15" t="s">
        <v>3001</v>
      </c>
      <c r="D484" s="15" t="s">
        <v>3002</v>
      </c>
      <c r="E484" s="15" t="s">
        <v>3003</v>
      </c>
      <c r="F484" s="15" t="s">
        <v>3002</v>
      </c>
      <c r="G484" s="15" t="s">
        <v>3002</v>
      </c>
      <c r="H484" s="16"/>
    </row>
    <row r="485" spans="1:8" x14ac:dyDescent="0.3">
      <c r="A485" s="13">
        <v>21244</v>
      </c>
      <c r="B485" s="14" t="s">
        <v>3004</v>
      </c>
      <c r="C485" s="15" t="s">
        <v>3005</v>
      </c>
      <c r="D485" s="15" t="s">
        <v>3006</v>
      </c>
      <c r="E485" s="15" t="s">
        <v>3007</v>
      </c>
      <c r="F485" s="15" t="s">
        <v>3006</v>
      </c>
      <c r="G485" s="15" t="s">
        <v>3006</v>
      </c>
      <c r="H485" s="16" t="s">
        <v>3004</v>
      </c>
    </row>
    <row r="486" spans="1:8" x14ac:dyDescent="0.3">
      <c r="A486" s="13" t="s">
        <v>3008</v>
      </c>
      <c r="B486" s="14" t="s">
        <v>3009</v>
      </c>
      <c r="C486" s="15" t="s">
        <v>3010</v>
      </c>
      <c r="D486" s="15" t="s">
        <v>3011</v>
      </c>
      <c r="E486" s="15" t="s">
        <v>3011</v>
      </c>
      <c r="F486" s="15" t="s">
        <v>3011</v>
      </c>
      <c r="G486" s="15" t="s">
        <v>3011</v>
      </c>
      <c r="H486" s="16" t="s">
        <v>3011</v>
      </c>
    </row>
    <row r="487" spans="1:8" x14ac:dyDescent="0.3">
      <c r="A487" s="13" t="s">
        <v>3012</v>
      </c>
      <c r="B487" s="14" t="s">
        <v>3013</v>
      </c>
      <c r="C487" s="15" t="s">
        <v>3014</v>
      </c>
      <c r="D487" s="15" t="s">
        <v>3015</v>
      </c>
      <c r="E487" s="15" t="s">
        <v>3015</v>
      </c>
      <c r="F487" s="15" t="s">
        <v>3016</v>
      </c>
      <c r="G487" s="15" t="s">
        <v>3015</v>
      </c>
      <c r="H487" s="16" t="s">
        <v>3017</v>
      </c>
    </row>
    <row r="488" spans="1:8" x14ac:dyDescent="0.3">
      <c r="A488" s="13" t="s">
        <v>3018</v>
      </c>
      <c r="B488" s="14" t="s">
        <v>3019</v>
      </c>
      <c r="C488" s="15" t="s">
        <v>3020</v>
      </c>
      <c r="D488" s="15" t="s">
        <v>3021</v>
      </c>
      <c r="E488" s="15" t="s">
        <v>3022</v>
      </c>
      <c r="F488" s="15" t="s">
        <v>3021</v>
      </c>
      <c r="G488" s="15" t="s">
        <v>3021</v>
      </c>
      <c r="H488" s="16" t="s">
        <v>3002</v>
      </c>
    </row>
    <row r="489" spans="1:8" x14ac:dyDescent="0.3">
      <c r="A489" s="13">
        <v>21245</v>
      </c>
      <c r="B489" s="14" t="s">
        <v>3023</v>
      </c>
      <c r="C489" s="15" t="s">
        <v>3024</v>
      </c>
      <c r="D489" s="15" t="s">
        <v>3025</v>
      </c>
      <c r="E489" s="15" t="s">
        <v>3026</v>
      </c>
      <c r="F489" s="15" t="s">
        <v>3026</v>
      </c>
      <c r="G489" s="15" t="s">
        <v>3023</v>
      </c>
      <c r="H489" s="16" t="s">
        <v>3027</v>
      </c>
    </row>
    <row r="490" spans="1:8" x14ac:dyDescent="0.3">
      <c r="A490" s="13" t="s">
        <v>3028</v>
      </c>
      <c r="B490" s="14" t="s">
        <v>3029</v>
      </c>
      <c r="C490" s="15" t="s">
        <v>3030</v>
      </c>
      <c r="D490" s="15" t="s">
        <v>3031</v>
      </c>
      <c r="E490" s="15" t="s">
        <v>3031</v>
      </c>
      <c r="F490" s="15" t="s">
        <v>3031</v>
      </c>
      <c r="G490" s="15" t="s">
        <v>3032</v>
      </c>
      <c r="H490" s="16" t="s">
        <v>3033</v>
      </c>
    </row>
    <row r="491" spans="1:8" ht="22.5" x14ac:dyDescent="0.3">
      <c r="A491" s="13" t="s">
        <v>3034</v>
      </c>
      <c r="B491" s="14" t="s">
        <v>3035</v>
      </c>
      <c r="C491" s="15" t="s">
        <v>3036</v>
      </c>
      <c r="D491" s="15" t="s">
        <v>3037</v>
      </c>
      <c r="E491" s="15" t="s">
        <v>3038</v>
      </c>
      <c r="F491" s="15" t="s">
        <v>3039</v>
      </c>
      <c r="G491" s="15" t="s">
        <v>3040</v>
      </c>
      <c r="H491" s="16" t="s">
        <v>3041</v>
      </c>
    </row>
    <row r="492" spans="1:8" ht="22.5" x14ac:dyDescent="0.3">
      <c r="A492" s="13" t="s">
        <v>3042</v>
      </c>
      <c r="B492" s="14" t="s">
        <v>3043</v>
      </c>
      <c r="C492" s="15" t="s">
        <v>3044</v>
      </c>
      <c r="D492" s="15" t="s">
        <v>3045</v>
      </c>
      <c r="E492" s="15" t="s">
        <v>3046</v>
      </c>
      <c r="F492" s="15" t="s">
        <v>3046</v>
      </c>
      <c r="G492" s="15" t="s">
        <v>3045</v>
      </c>
      <c r="H492" s="16" t="s">
        <v>3047</v>
      </c>
    </row>
    <row r="493" spans="1:8" x14ac:dyDescent="0.3">
      <c r="A493" s="13">
        <v>21246</v>
      </c>
      <c r="B493" s="14" t="s">
        <v>3048</v>
      </c>
      <c r="C493" s="15" t="s">
        <v>3049</v>
      </c>
      <c r="D493" s="15"/>
      <c r="E493" s="15" t="s">
        <v>3050</v>
      </c>
      <c r="F493" s="15" t="s">
        <v>3051</v>
      </c>
      <c r="G493" s="15" t="s">
        <v>3050</v>
      </c>
      <c r="H493" s="16" t="s">
        <v>3048</v>
      </c>
    </row>
    <row r="494" spans="1:8" x14ac:dyDescent="0.3">
      <c r="A494" s="13" t="s">
        <v>3052</v>
      </c>
      <c r="B494" s="14" t="s">
        <v>3053</v>
      </c>
      <c r="C494" s="15" t="s">
        <v>3054</v>
      </c>
      <c r="D494" s="15" t="s">
        <v>3055</v>
      </c>
      <c r="E494" s="15" t="s">
        <v>3056</v>
      </c>
      <c r="F494" s="15" t="s">
        <v>3056</v>
      </c>
      <c r="G494" s="15" t="s">
        <v>3056</v>
      </c>
      <c r="H494" s="16" t="s">
        <v>3056</v>
      </c>
    </row>
    <row r="495" spans="1:8" x14ac:dyDescent="0.3">
      <c r="A495" s="13" t="s">
        <v>3057</v>
      </c>
      <c r="B495" s="14" t="s">
        <v>3058</v>
      </c>
      <c r="C495" s="15" t="s">
        <v>3059</v>
      </c>
      <c r="D495" s="15" t="s">
        <v>3060</v>
      </c>
      <c r="E495" s="15" t="s">
        <v>3060</v>
      </c>
      <c r="F495" s="15" t="s">
        <v>3061</v>
      </c>
      <c r="G495" s="15" t="s">
        <v>3060</v>
      </c>
      <c r="H495" s="16" t="s">
        <v>3060</v>
      </c>
    </row>
    <row r="496" spans="1:8" x14ac:dyDescent="0.3">
      <c r="A496" s="13" t="s">
        <v>3062</v>
      </c>
      <c r="B496" s="14" t="s">
        <v>3063</v>
      </c>
      <c r="C496" s="15" t="s">
        <v>3064</v>
      </c>
      <c r="D496" s="15" t="s">
        <v>3065</v>
      </c>
      <c r="E496" s="15" t="s">
        <v>3066</v>
      </c>
      <c r="F496" s="15" t="s">
        <v>3066</v>
      </c>
      <c r="G496" s="15" t="s">
        <v>3066</v>
      </c>
      <c r="H496" s="16" t="s">
        <v>3066</v>
      </c>
    </row>
    <row r="497" spans="1:8" x14ac:dyDescent="0.3">
      <c r="A497" s="13">
        <v>21247</v>
      </c>
      <c r="B497" s="14" t="s">
        <v>3067</v>
      </c>
      <c r="C497" s="15" t="s">
        <v>3068</v>
      </c>
      <c r="D497" s="15"/>
      <c r="E497" s="15" t="s">
        <v>3067</v>
      </c>
      <c r="F497" s="15" t="s">
        <v>3067</v>
      </c>
      <c r="G497" s="15" t="s">
        <v>3067</v>
      </c>
      <c r="H497" s="16" t="s">
        <v>3067</v>
      </c>
    </row>
    <row r="498" spans="1:8" x14ac:dyDescent="0.3">
      <c r="A498" s="13" t="s">
        <v>3069</v>
      </c>
      <c r="B498" s="14" t="s">
        <v>3070</v>
      </c>
      <c r="C498" s="15" t="s">
        <v>3071</v>
      </c>
      <c r="D498" s="15" t="s">
        <v>3072</v>
      </c>
      <c r="E498" s="15" t="s">
        <v>3072</v>
      </c>
      <c r="F498" s="15" t="s">
        <v>3072</v>
      </c>
      <c r="G498" s="15" t="s">
        <v>3072</v>
      </c>
      <c r="H498" s="16" t="s">
        <v>3073</v>
      </c>
    </row>
    <row r="499" spans="1:8" x14ac:dyDescent="0.3">
      <c r="A499" s="13" t="s">
        <v>3074</v>
      </c>
      <c r="B499" s="14" t="s">
        <v>3075</v>
      </c>
      <c r="C499" s="15" t="s">
        <v>3076</v>
      </c>
      <c r="D499" s="15" t="s">
        <v>3077</v>
      </c>
      <c r="E499" s="15" t="s">
        <v>3077</v>
      </c>
      <c r="F499" s="15" t="s">
        <v>3078</v>
      </c>
      <c r="G499" s="15" t="s">
        <v>3077</v>
      </c>
      <c r="H499" s="16" t="s">
        <v>3078</v>
      </c>
    </row>
    <row r="500" spans="1:8" x14ac:dyDescent="0.3">
      <c r="A500" s="13" t="s">
        <v>3079</v>
      </c>
      <c r="B500" s="14" t="s">
        <v>3080</v>
      </c>
      <c r="C500" s="15" t="s">
        <v>3081</v>
      </c>
      <c r="D500" s="15" t="s">
        <v>3082</v>
      </c>
      <c r="E500" s="15" t="s">
        <v>3083</v>
      </c>
      <c r="F500" s="15" t="s">
        <v>3083</v>
      </c>
      <c r="G500" s="15" t="s">
        <v>3083</v>
      </c>
      <c r="H500" s="16" t="s">
        <v>3082</v>
      </c>
    </row>
    <row r="501" spans="1:8" x14ac:dyDescent="0.3">
      <c r="A501" s="13">
        <v>21248</v>
      </c>
      <c r="B501" s="14" t="s">
        <v>3084</v>
      </c>
      <c r="C501" s="15" t="s">
        <v>3085</v>
      </c>
      <c r="D501" s="15"/>
      <c r="E501" s="15" t="s">
        <v>3084</v>
      </c>
      <c r="F501" s="15" t="s">
        <v>3084</v>
      </c>
      <c r="G501" s="15" t="s">
        <v>3084</v>
      </c>
      <c r="H501" s="16" t="s">
        <v>3084</v>
      </c>
    </row>
    <row r="502" spans="1:8" x14ac:dyDescent="0.3">
      <c r="A502" s="13" t="s">
        <v>3086</v>
      </c>
      <c r="B502" s="14" t="s">
        <v>3087</v>
      </c>
      <c r="C502" s="15" t="s">
        <v>3088</v>
      </c>
      <c r="D502" s="15" t="s">
        <v>3089</v>
      </c>
      <c r="E502" s="15" t="s">
        <v>3090</v>
      </c>
      <c r="F502" s="15" t="s">
        <v>3090</v>
      </c>
      <c r="G502" s="15" t="s">
        <v>3090</v>
      </c>
      <c r="H502" s="16" t="s">
        <v>3090</v>
      </c>
    </row>
    <row r="503" spans="1:8" x14ac:dyDescent="0.3">
      <c r="A503" s="13" t="s">
        <v>3091</v>
      </c>
      <c r="B503" s="14" t="s">
        <v>3092</v>
      </c>
      <c r="C503" s="15" t="s">
        <v>3093</v>
      </c>
      <c r="D503" s="15"/>
      <c r="E503" s="15" t="s">
        <v>3094</v>
      </c>
      <c r="F503" s="15" t="s">
        <v>3095</v>
      </c>
      <c r="G503" s="15" t="s">
        <v>3094</v>
      </c>
      <c r="H503" s="16" t="s">
        <v>3095</v>
      </c>
    </row>
    <row r="504" spans="1:8" x14ac:dyDescent="0.3">
      <c r="A504" s="13" t="s">
        <v>3096</v>
      </c>
      <c r="B504" s="14" t="s">
        <v>3097</v>
      </c>
      <c r="C504" s="15" t="s">
        <v>3098</v>
      </c>
      <c r="D504" s="15" t="s">
        <v>3099</v>
      </c>
      <c r="E504" s="15" t="s">
        <v>3100</v>
      </c>
      <c r="F504" s="15" t="s">
        <v>3100</v>
      </c>
      <c r="G504" s="15" t="s">
        <v>3100</v>
      </c>
      <c r="H504" s="16" t="s">
        <v>3099</v>
      </c>
    </row>
    <row r="505" spans="1:8" x14ac:dyDescent="0.3">
      <c r="A505" s="13">
        <v>21249</v>
      </c>
      <c r="B505" s="14" t="s">
        <v>3101</v>
      </c>
      <c r="C505" s="15" t="s">
        <v>3102</v>
      </c>
      <c r="D505" s="15"/>
      <c r="E505" s="15" t="s">
        <v>3103</v>
      </c>
      <c r="F505" s="15" t="s">
        <v>3104</v>
      </c>
      <c r="G505" s="15" t="s">
        <v>3104</v>
      </c>
      <c r="H505" s="16" t="s">
        <v>3104</v>
      </c>
    </row>
    <row r="506" spans="1:8" x14ac:dyDescent="0.3">
      <c r="A506" s="13" t="s">
        <v>3105</v>
      </c>
      <c r="B506" s="14" t="s">
        <v>3106</v>
      </c>
      <c r="C506" s="15" t="s">
        <v>3107</v>
      </c>
      <c r="D506" s="15" t="s">
        <v>3108</v>
      </c>
      <c r="E506" s="15" t="s">
        <v>3109</v>
      </c>
      <c r="F506" s="15" t="s">
        <v>3109</v>
      </c>
      <c r="G506" s="15" t="s">
        <v>3109</v>
      </c>
      <c r="H506" s="16" t="s">
        <v>3110</v>
      </c>
    </row>
    <row r="507" spans="1:8" x14ac:dyDescent="0.3">
      <c r="A507" s="13" t="s">
        <v>3111</v>
      </c>
      <c r="B507" s="14" t="s">
        <v>3112</v>
      </c>
      <c r="C507" s="15" t="s">
        <v>3113</v>
      </c>
      <c r="D507" s="15" t="s">
        <v>3114</v>
      </c>
      <c r="E507" s="15" t="s">
        <v>3114</v>
      </c>
      <c r="F507" s="15" t="s">
        <v>3115</v>
      </c>
      <c r="G507" s="15" t="s">
        <v>3114</v>
      </c>
      <c r="H507" s="16" t="s">
        <v>3114</v>
      </c>
    </row>
    <row r="508" spans="1:8" x14ac:dyDescent="0.3">
      <c r="A508" s="13" t="s">
        <v>3116</v>
      </c>
      <c r="B508" s="14" t="s">
        <v>3117</v>
      </c>
      <c r="C508" s="15" t="s">
        <v>3118</v>
      </c>
      <c r="D508" s="15" t="s">
        <v>3119</v>
      </c>
      <c r="E508" s="15" t="s">
        <v>3120</v>
      </c>
      <c r="F508" s="15" t="s">
        <v>3119</v>
      </c>
      <c r="G508" s="15" t="s">
        <v>3120</v>
      </c>
      <c r="H508" s="16" t="s">
        <v>3119</v>
      </c>
    </row>
    <row r="509" spans="1:8" ht="33.75" x14ac:dyDescent="0.3">
      <c r="A509" s="13">
        <v>21250</v>
      </c>
      <c r="B509" s="14" t="s">
        <v>3121</v>
      </c>
      <c r="C509" s="15" t="s">
        <v>3122</v>
      </c>
      <c r="D509" s="15"/>
      <c r="E509" s="15" t="s">
        <v>3123</v>
      </c>
      <c r="F509" s="15" t="s">
        <v>3124</v>
      </c>
      <c r="G509" s="15" t="s">
        <v>3125</v>
      </c>
      <c r="H509" s="16" t="s">
        <v>3121</v>
      </c>
    </row>
    <row r="510" spans="1:8" x14ac:dyDescent="0.3">
      <c r="A510" s="13" t="s">
        <v>3126</v>
      </c>
      <c r="B510" s="14" t="s">
        <v>3127</v>
      </c>
      <c r="C510" s="15" t="s">
        <v>3128</v>
      </c>
      <c r="D510" s="15" t="s">
        <v>3129</v>
      </c>
      <c r="E510" s="15" t="s">
        <v>3130</v>
      </c>
      <c r="F510" s="15" t="s">
        <v>3131</v>
      </c>
      <c r="G510" s="15" t="s">
        <v>3132</v>
      </c>
      <c r="H510" s="16" t="s">
        <v>3133</v>
      </c>
    </row>
    <row r="511" spans="1:8" x14ac:dyDescent="0.3">
      <c r="A511" s="13" t="s">
        <v>3134</v>
      </c>
      <c r="B511" s="14" t="s">
        <v>3135</v>
      </c>
      <c r="C511" s="15" t="s">
        <v>3136</v>
      </c>
      <c r="D511" s="15" t="s">
        <v>3137</v>
      </c>
      <c r="E511" s="15" t="s">
        <v>3138</v>
      </c>
      <c r="F511" s="15" t="s">
        <v>3139</v>
      </c>
      <c r="G511" s="15" t="s">
        <v>3140</v>
      </c>
      <c r="H511" s="16" t="s">
        <v>3141</v>
      </c>
    </row>
    <row r="512" spans="1:8" x14ac:dyDescent="0.3">
      <c r="A512" s="13" t="s">
        <v>3142</v>
      </c>
      <c r="B512" s="14" t="s">
        <v>3143</v>
      </c>
      <c r="C512" s="15" t="s">
        <v>3144</v>
      </c>
      <c r="D512" s="15" t="s">
        <v>3145</v>
      </c>
      <c r="E512" s="15" t="s">
        <v>3146</v>
      </c>
      <c r="F512" s="15" t="s">
        <v>3147</v>
      </c>
      <c r="G512" s="15" t="s">
        <v>3148</v>
      </c>
      <c r="H512" s="16" t="s">
        <v>3147</v>
      </c>
    </row>
    <row r="513" spans="1:8" x14ac:dyDescent="0.3">
      <c r="A513" s="13">
        <v>21251</v>
      </c>
      <c r="B513" s="14" t="s">
        <v>3149</v>
      </c>
      <c r="C513" s="15" t="s">
        <v>3150</v>
      </c>
      <c r="D513" s="15"/>
      <c r="E513" s="15" t="s">
        <v>3149</v>
      </c>
      <c r="F513" s="15" t="s">
        <v>3151</v>
      </c>
      <c r="G513" s="15" t="s">
        <v>3149</v>
      </c>
      <c r="H513" s="16" t="s">
        <v>3149</v>
      </c>
    </row>
    <row r="514" spans="1:8" x14ac:dyDescent="0.3">
      <c r="A514" s="13" t="s">
        <v>3152</v>
      </c>
      <c r="B514" s="14" t="s">
        <v>3153</v>
      </c>
      <c r="C514" s="15" t="s">
        <v>3154</v>
      </c>
      <c r="D514" s="15" t="s">
        <v>3155</v>
      </c>
      <c r="E514" s="15" t="s">
        <v>3156</v>
      </c>
      <c r="F514" s="15" t="s">
        <v>3157</v>
      </c>
      <c r="G514" s="15" t="s">
        <v>3158</v>
      </c>
      <c r="H514" s="16" t="s">
        <v>3156</v>
      </c>
    </row>
    <row r="515" spans="1:8" x14ac:dyDescent="0.3">
      <c r="A515" s="13" t="s">
        <v>3159</v>
      </c>
      <c r="B515" s="14" t="s">
        <v>3160</v>
      </c>
      <c r="C515" s="15" t="s">
        <v>3161</v>
      </c>
      <c r="D515" s="15"/>
      <c r="E515" s="15" t="s">
        <v>3162</v>
      </c>
      <c r="F515" s="15" t="s">
        <v>3162</v>
      </c>
      <c r="G515" s="15" t="s">
        <v>3163</v>
      </c>
      <c r="H515" s="16" t="s">
        <v>3162</v>
      </c>
    </row>
    <row r="516" spans="1:8" x14ac:dyDescent="0.3">
      <c r="A516" s="13" t="s">
        <v>3164</v>
      </c>
      <c r="B516" s="14" t="s">
        <v>3165</v>
      </c>
      <c r="C516" s="15" t="s">
        <v>3166</v>
      </c>
      <c r="D516" s="15" t="s">
        <v>3167</v>
      </c>
      <c r="E516" s="15" t="s">
        <v>3168</v>
      </c>
      <c r="F516" s="15" t="s">
        <v>3168</v>
      </c>
      <c r="G516" s="15" t="s">
        <v>3169</v>
      </c>
      <c r="H516" s="16" t="s">
        <v>3168</v>
      </c>
    </row>
    <row r="517" spans="1:8" x14ac:dyDescent="0.3">
      <c r="A517" s="13">
        <v>21252</v>
      </c>
      <c r="B517" s="14" t="s">
        <v>3170</v>
      </c>
      <c r="C517" s="15" t="s">
        <v>3171</v>
      </c>
      <c r="D517" s="15"/>
      <c r="E517" s="15" t="s">
        <v>3170</v>
      </c>
      <c r="F517" s="15" t="s">
        <v>3172</v>
      </c>
      <c r="G517" s="15" t="s">
        <v>3170</v>
      </c>
      <c r="H517" s="16" t="s">
        <v>3170</v>
      </c>
    </row>
    <row r="518" spans="1:8" x14ac:dyDescent="0.3">
      <c r="A518" s="13" t="s">
        <v>3173</v>
      </c>
      <c r="B518" s="14" t="s">
        <v>3174</v>
      </c>
      <c r="C518" s="15" t="s">
        <v>3175</v>
      </c>
      <c r="D518" s="15" t="s">
        <v>3176</v>
      </c>
      <c r="E518" s="15" t="s">
        <v>3177</v>
      </c>
      <c r="F518" s="15" t="s">
        <v>3177</v>
      </c>
      <c r="G518" s="15" t="s">
        <v>3176</v>
      </c>
      <c r="H518" s="16" t="s">
        <v>3177</v>
      </c>
    </row>
    <row r="519" spans="1:8" x14ac:dyDescent="0.3">
      <c r="A519" s="13" t="s">
        <v>3178</v>
      </c>
      <c r="B519" s="14" t="s">
        <v>3179</v>
      </c>
      <c r="C519" s="15" t="s">
        <v>3180</v>
      </c>
      <c r="D519" s="15" t="s">
        <v>3181</v>
      </c>
      <c r="E519" s="15" t="s">
        <v>3182</v>
      </c>
      <c r="F519" s="15" t="s">
        <v>3183</v>
      </c>
      <c r="G519" s="15" t="s">
        <v>3181</v>
      </c>
      <c r="H519" s="16" t="s">
        <v>3182</v>
      </c>
    </row>
    <row r="520" spans="1:8" x14ac:dyDescent="0.3">
      <c r="A520" s="13" t="s">
        <v>3184</v>
      </c>
      <c r="B520" s="14" t="s">
        <v>3185</v>
      </c>
      <c r="C520" s="15" t="s">
        <v>3186</v>
      </c>
      <c r="D520" s="15" t="s">
        <v>3187</v>
      </c>
      <c r="E520" s="15" t="s">
        <v>3188</v>
      </c>
      <c r="F520" s="15" t="s">
        <v>3188</v>
      </c>
      <c r="G520" s="15" t="s">
        <v>3187</v>
      </c>
      <c r="H520" s="16" t="s">
        <v>3188</v>
      </c>
    </row>
    <row r="521" spans="1:8" ht="22.5" x14ac:dyDescent="0.3">
      <c r="A521" s="13">
        <v>21253</v>
      </c>
      <c r="B521" s="14" t="s">
        <v>3189</v>
      </c>
      <c r="C521" s="15" t="s">
        <v>3190</v>
      </c>
      <c r="D521" s="15"/>
      <c r="E521" s="15" t="s">
        <v>3189</v>
      </c>
      <c r="F521" s="15" t="s">
        <v>3191</v>
      </c>
      <c r="G521" s="15" t="s">
        <v>3189</v>
      </c>
      <c r="H521" s="16" t="s">
        <v>3192</v>
      </c>
    </row>
    <row r="522" spans="1:8" x14ac:dyDescent="0.3">
      <c r="A522" s="13" t="s">
        <v>3193</v>
      </c>
      <c r="B522" s="14" t="s">
        <v>3194</v>
      </c>
      <c r="C522" s="15" t="s">
        <v>3195</v>
      </c>
      <c r="D522" s="15" t="s">
        <v>3196</v>
      </c>
      <c r="E522" s="15" t="s">
        <v>3197</v>
      </c>
      <c r="F522" s="15" t="s">
        <v>3198</v>
      </c>
      <c r="G522" s="15" t="s">
        <v>3196</v>
      </c>
      <c r="H522" s="16" t="s">
        <v>3198</v>
      </c>
    </row>
    <row r="523" spans="1:8" x14ac:dyDescent="0.3">
      <c r="A523" s="13" t="s">
        <v>3199</v>
      </c>
      <c r="B523" s="14" t="s">
        <v>3200</v>
      </c>
      <c r="C523" s="15" t="s">
        <v>3201</v>
      </c>
      <c r="D523" s="15" t="s">
        <v>3202</v>
      </c>
      <c r="E523" s="15" t="s">
        <v>3203</v>
      </c>
      <c r="F523" s="15" t="s">
        <v>3204</v>
      </c>
      <c r="G523" s="15" t="s">
        <v>3202</v>
      </c>
      <c r="H523" s="16" t="s">
        <v>3203</v>
      </c>
    </row>
    <row r="524" spans="1:8" x14ac:dyDescent="0.3">
      <c r="A524" s="13" t="s">
        <v>3205</v>
      </c>
      <c r="B524" s="14" t="s">
        <v>3206</v>
      </c>
      <c r="C524" s="15" t="s">
        <v>3207</v>
      </c>
      <c r="D524" s="15" t="s">
        <v>3208</v>
      </c>
      <c r="E524" s="15" t="s">
        <v>3209</v>
      </c>
      <c r="F524" s="15" t="s">
        <v>3209</v>
      </c>
      <c r="G524" s="15" t="s">
        <v>3208</v>
      </c>
      <c r="H524" s="16" t="s">
        <v>3209</v>
      </c>
    </row>
    <row r="525" spans="1:8" x14ac:dyDescent="0.3">
      <c r="A525" s="13">
        <v>21254</v>
      </c>
      <c r="B525" s="14" t="s">
        <v>3210</v>
      </c>
      <c r="C525" s="15" t="s">
        <v>3210</v>
      </c>
      <c r="D525" s="15"/>
      <c r="E525" s="15" t="s">
        <v>3210</v>
      </c>
      <c r="F525" s="15" t="s">
        <v>3210</v>
      </c>
      <c r="G525" s="15" t="s">
        <v>3210</v>
      </c>
      <c r="H525" s="16" t="s">
        <v>3211</v>
      </c>
    </row>
    <row r="526" spans="1:8" x14ac:dyDescent="0.3">
      <c r="A526" s="13" t="s">
        <v>3212</v>
      </c>
      <c r="B526" s="14" t="s">
        <v>3213</v>
      </c>
      <c r="C526" s="15" t="s">
        <v>3214</v>
      </c>
      <c r="D526" s="15" t="s">
        <v>3215</v>
      </c>
      <c r="E526" s="15" t="s">
        <v>3216</v>
      </c>
      <c r="F526" s="15" t="s">
        <v>3216</v>
      </c>
      <c r="G526" s="15" t="s">
        <v>3215</v>
      </c>
      <c r="H526" s="16" t="s">
        <v>3215</v>
      </c>
    </row>
    <row r="527" spans="1:8" x14ac:dyDescent="0.3">
      <c r="A527" s="13" t="s">
        <v>3217</v>
      </c>
      <c r="B527" s="14" t="s">
        <v>3218</v>
      </c>
      <c r="C527" s="15" t="s">
        <v>3219</v>
      </c>
      <c r="D527" s="15" t="s">
        <v>3220</v>
      </c>
      <c r="E527" s="15" t="s">
        <v>3221</v>
      </c>
      <c r="F527" s="15" t="s">
        <v>3222</v>
      </c>
      <c r="G527" s="15" t="s">
        <v>3221</v>
      </c>
      <c r="H527" s="16" t="s">
        <v>3223</v>
      </c>
    </row>
    <row r="528" spans="1:8" x14ac:dyDescent="0.3">
      <c r="A528" s="13" t="s">
        <v>3224</v>
      </c>
      <c r="B528" s="14" t="s">
        <v>3225</v>
      </c>
      <c r="C528" s="15" t="s">
        <v>3226</v>
      </c>
      <c r="D528" s="15" t="s">
        <v>3227</v>
      </c>
      <c r="E528" s="15" t="s">
        <v>3228</v>
      </c>
      <c r="F528" s="15" t="s">
        <v>3228</v>
      </c>
      <c r="G528" s="15" t="s">
        <v>3228</v>
      </c>
      <c r="H528" s="16" t="s">
        <v>3228</v>
      </c>
    </row>
    <row r="529" spans="1:8" x14ac:dyDescent="0.3">
      <c r="A529" s="13">
        <v>21255</v>
      </c>
      <c r="B529" s="14" t="s">
        <v>3229</v>
      </c>
      <c r="C529" s="15" t="s">
        <v>3230</v>
      </c>
      <c r="D529" s="15"/>
      <c r="E529" s="15" t="s">
        <v>3231</v>
      </c>
      <c r="F529" s="15" t="s">
        <v>3231</v>
      </c>
      <c r="G529" s="15" t="s">
        <v>3231</v>
      </c>
      <c r="H529" s="16" t="s">
        <v>3231</v>
      </c>
    </row>
    <row r="530" spans="1:8" x14ac:dyDescent="0.3">
      <c r="A530" s="13">
        <v>21256</v>
      </c>
      <c r="B530" s="14" t="s">
        <v>3232</v>
      </c>
      <c r="C530" s="15"/>
      <c r="D530" s="15"/>
      <c r="E530" s="15"/>
      <c r="F530" s="15"/>
      <c r="G530" s="15"/>
      <c r="H530" s="16"/>
    </row>
    <row r="531" spans="1:8" ht="22.5" x14ac:dyDescent="0.3">
      <c r="A531" s="13" t="s">
        <v>3233</v>
      </c>
      <c r="B531" s="14" t="s">
        <v>3234</v>
      </c>
      <c r="C531" s="15" t="s">
        <v>3235</v>
      </c>
      <c r="D531" s="15" t="s">
        <v>3236</v>
      </c>
      <c r="E531" s="15" t="s">
        <v>3237</v>
      </c>
      <c r="F531" s="15" t="s">
        <v>3236</v>
      </c>
      <c r="G531" s="15" t="s">
        <v>3238</v>
      </c>
      <c r="H531" s="16" t="s">
        <v>3236</v>
      </c>
    </row>
    <row r="532" spans="1:8" x14ac:dyDescent="0.3">
      <c r="A532" s="13" t="s">
        <v>3239</v>
      </c>
      <c r="B532" s="14" t="s">
        <v>3240</v>
      </c>
      <c r="C532" s="15" t="s">
        <v>3241</v>
      </c>
      <c r="D532" s="15"/>
      <c r="E532" s="15" t="s">
        <v>3242</v>
      </c>
      <c r="F532" s="15" t="s">
        <v>3242</v>
      </c>
      <c r="G532" s="15" t="s">
        <v>3242</v>
      </c>
      <c r="H532" s="16" t="s">
        <v>3243</v>
      </c>
    </row>
    <row r="533" spans="1:8" x14ac:dyDescent="0.3">
      <c r="A533" s="13" t="s">
        <v>3244</v>
      </c>
      <c r="B533" s="14" t="s">
        <v>3245</v>
      </c>
      <c r="C533" s="15" t="s">
        <v>3246</v>
      </c>
      <c r="D533" s="15"/>
      <c r="E533" s="15" t="s">
        <v>3247</v>
      </c>
      <c r="F533" s="15" t="s">
        <v>3247</v>
      </c>
      <c r="G533" s="15" t="s">
        <v>3247</v>
      </c>
      <c r="H533" s="16" t="s">
        <v>3248</v>
      </c>
    </row>
    <row r="534" spans="1:8" x14ac:dyDescent="0.3">
      <c r="A534" s="13">
        <v>21257</v>
      </c>
      <c r="B534" s="14" t="s">
        <v>3249</v>
      </c>
      <c r="C534" s="15"/>
      <c r="D534" s="15"/>
      <c r="E534" s="15"/>
      <c r="F534" s="15"/>
      <c r="G534" s="15"/>
      <c r="H534" s="16"/>
    </row>
    <row r="535" spans="1:8" ht="22.5" x14ac:dyDescent="0.3">
      <c r="A535" s="13" t="s">
        <v>3250</v>
      </c>
      <c r="B535" s="14" t="s">
        <v>3251</v>
      </c>
      <c r="C535" s="15" t="s">
        <v>3252</v>
      </c>
      <c r="D535" s="15"/>
      <c r="E535" s="15" t="s">
        <v>3253</v>
      </c>
      <c r="F535" s="15"/>
      <c r="G535" s="15" t="s">
        <v>3253</v>
      </c>
      <c r="H535" s="16" t="s">
        <v>3254</v>
      </c>
    </row>
    <row r="536" spans="1:8" x14ac:dyDescent="0.3">
      <c r="A536" s="13" t="s">
        <v>3255</v>
      </c>
      <c r="B536" s="14" t="s">
        <v>3256</v>
      </c>
      <c r="C536" s="15" t="s">
        <v>3257</v>
      </c>
      <c r="D536" s="15"/>
      <c r="E536" s="15" t="s">
        <v>3258</v>
      </c>
      <c r="F536" s="15" t="s">
        <v>3259</v>
      </c>
      <c r="G536" s="15" t="s">
        <v>3258</v>
      </c>
      <c r="H536" s="16" t="s">
        <v>3260</v>
      </c>
    </row>
    <row r="537" spans="1:8" x14ac:dyDescent="0.3">
      <c r="A537" s="13" t="s">
        <v>3261</v>
      </c>
      <c r="B537" s="14" t="s">
        <v>3262</v>
      </c>
      <c r="C537" s="15" t="s">
        <v>3263</v>
      </c>
      <c r="D537" s="15"/>
      <c r="E537" s="15" t="s">
        <v>3264</v>
      </c>
      <c r="F537" s="15"/>
      <c r="G537" s="15" t="s">
        <v>3265</v>
      </c>
      <c r="H537" s="16" t="s">
        <v>57</v>
      </c>
    </row>
    <row r="538" spans="1:8" x14ac:dyDescent="0.3">
      <c r="A538" s="13">
        <v>21258</v>
      </c>
      <c r="B538" s="14" t="s">
        <v>3266</v>
      </c>
      <c r="C538" s="15"/>
      <c r="D538" s="15"/>
      <c r="E538" s="15"/>
      <c r="F538" s="15"/>
      <c r="G538" s="15"/>
      <c r="H538" s="16"/>
    </row>
    <row r="539" spans="1:8" x14ac:dyDescent="0.3">
      <c r="A539" s="13" t="s">
        <v>3267</v>
      </c>
      <c r="B539" s="14" t="s">
        <v>3268</v>
      </c>
      <c r="C539" s="15" t="s">
        <v>3269</v>
      </c>
      <c r="D539" s="15"/>
      <c r="E539" s="15"/>
      <c r="F539" s="15" t="s">
        <v>3270</v>
      </c>
      <c r="G539" s="15" t="s">
        <v>3271</v>
      </c>
      <c r="H539" s="16" t="s">
        <v>57</v>
      </c>
    </row>
    <row r="540" spans="1:8" x14ac:dyDescent="0.3">
      <c r="A540" s="13" t="s">
        <v>3272</v>
      </c>
      <c r="B540" s="14" t="s">
        <v>3273</v>
      </c>
      <c r="C540" s="15" t="s">
        <v>3274</v>
      </c>
      <c r="D540" s="15"/>
      <c r="E540" s="15"/>
      <c r="F540" s="15" t="s">
        <v>3275</v>
      </c>
      <c r="G540" s="15" t="s">
        <v>3276</v>
      </c>
      <c r="H540" s="16" t="s">
        <v>3277</v>
      </c>
    </row>
    <row r="541" spans="1:8" ht="22.5" x14ac:dyDescent="0.3">
      <c r="A541" s="13" t="s">
        <v>3278</v>
      </c>
      <c r="B541" s="14" t="s">
        <v>3279</v>
      </c>
      <c r="C541" s="15" t="s">
        <v>3280</v>
      </c>
      <c r="D541" s="15"/>
      <c r="E541" s="15"/>
      <c r="F541" s="15" t="s">
        <v>3281</v>
      </c>
      <c r="G541" s="15" t="s">
        <v>3282</v>
      </c>
      <c r="H541" s="16" t="s">
        <v>3283</v>
      </c>
    </row>
    <row r="542" spans="1:8" x14ac:dyDescent="0.3">
      <c r="A542" s="13">
        <v>21259</v>
      </c>
      <c r="B542" s="14" t="s">
        <v>3284</v>
      </c>
      <c r="C542" s="15"/>
      <c r="D542" s="15"/>
      <c r="E542" s="15"/>
      <c r="F542" s="15"/>
      <c r="G542" s="15"/>
      <c r="H542" s="16"/>
    </row>
    <row r="543" spans="1:8" ht="22.5" x14ac:dyDescent="0.3">
      <c r="A543" s="13" t="s">
        <v>3285</v>
      </c>
      <c r="B543" s="14" t="s">
        <v>3286</v>
      </c>
      <c r="C543" s="15" t="s">
        <v>3287</v>
      </c>
      <c r="D543" s="15" t="s">
        <v>3288</v>
      </c>
      <c r="E543" s="15" t="s">
        <v>3289</v>
      </c>
      <c r="F543" s="15" t="s">
        <v>3290</v>
      </c>
      <c r="G543" s="15" t="s">
        <v>3291</v>
      </c>
      <c r="H543" s="16" t="s">
        <v>3292</v>
      </c>
    </row>
    <row r="544" spans="1:8" ht="22.5" x14ac:dyDescent="0.3">
      <c r="A544" s="13" t="s">
        <v>3293</v>
      </c>
      <c r="B544" s="14" t="s">
        <v>3294</v>
      </c>
      <c r="C544" s="15" t="s">
        <v>3295</v>
      </c>
      <c r="D544" s="15"/>
      <c r="E544" s="15" t="s">
        <v>3276</v>
      </c>
      <c r="F544" s="15" t="s">
        <v>3296</v>
      </c>
      <c r="G544" s="15" t="s">
        <v>3297</v>
      </c>
      <c r="H544" s="16" t="s">
        <v>3298</v>
      </c>
    </row>
    <row r="545" spans="1:8" x14ac:dyDescent="0.3">
      <c r="A545" s="13" t="s">
        <v>3299</v>
      </c>
      <c r="B545" s="14" t="s">
        <v>3300</v>
      </c>
      <c r="C545" s="15" t="s">
        <v>3301</v>
      </c>
      <c r="D545" s="15"/>
      <c r="E545" s="15"/>
      <c r="F545" s="15" t="s">
        <v>3282</v>
      </c>
      <c r="G545" s="15" t="s">
        <v>3302</v>
      </c>
      <c r="H545" s="16" t="s">
        <v>57</v>
      </c>
    </row>
    <row r="546" spans="1:8" x14ac:dyDescent="0.3">
      <c r="A546" s="13">
        <v>21260</v>
      </c>
      <c r="B546" s="14" t="s">
        <v>3303</v>
      </c>
      <c r="C546" s="15"/>
      <c r="D546" s="15"/>
      <c r="E546" s="15"/>
      <c r="F546" s="15" t="s">
        <v>3304</v>
      </c>
      <c r="G546" s="15"/>
      <c r="H546" s="16"/>
    </row>
    <row r="547" spans="1:8" ht="22.5" x14ac:dyDescent="0.3">
      <c r="A547" s="13" t="s">
        <v>3305</v>
      </c>
      <c r="B547" s="14" t="s">
        <v>3306</v>
      </c>
      <c r="C547" s="15" t="s">
        <v>3307</v>
      </c>
      <c r="D547" s="15"/>
      <c r="E547" s="15" t="s">
        <v>3308</v>
      </c>
      <c r="F547" s="15" t="s">
        <v>3309</v>
      </c>
      <c r="G547" s="15" t="s">
        <v>3310</v>
      </c>
      <c r="H547" s="16" t="s">
        <v>3311</v>
      </c>
    </row>
    <row r="548" spans="1:8" x14ac:dyDescent="0.3">
      <c r="A548" s="13" t="s">
        <v>3312</v>
      </c>
      <c r="B548" s="14" t="s">
        <v>3313</v>
      </c>
      <c r="C548" s="15" t="s">
        <v>3314</v>
      </c>
      <c r="D548" s="15"/>
      <c r="E548" s="15" t="s">
        <v>3297</v>
      </c>
      <c r="F548" s="15" t="s">
        <v>3315</v>
      </c>
      <c r="G548" s="15" t="s">
        <v>3316</v>
      </c>
      <c r="H548" s="16" t="s">
        <v>3317</v>
      </c>
    </row>
    <row r="549" spans="1:8" x14ac:dyDescent="0.3">
      <c r="A549" s="13" t="s">
        <v>3318</v>
      </c>
      <c r="B549" s="14" t="s">
        <v>3319</v>
      </c>
      <c r="C549" s="15" t="s">
        <v>3320</v>
      </c>
      <c r="D549" s="15"/>
      <c r="E549" s="15" t="s">
        <v>3321</v>
      </c>
      <c r="F549" s="15" t="s">
        <v>3322</v>
      </c>
      <c r="G549" s="15" t="s">
        <v>3321</v>
      </c>
      <c r="H549" s="16" t="s">
        <v>3323</v>
      </c>
    </row>
    <row r="550" spans="1:8" x14ac:dyDescent="0.3">
      <c r="A550" s="13">
        <v>21261</v>
      </c>
      <c r="B550" s="14" t="s">
        <v>3324</v>
      </c>
      <c r="C550" s="15"/>
      <c r="D550" s="15"/>
      <c r="E550" s="15"/>
      <c r="F550" s="15"/>
      <c r="G550" s="15"/>
      <c r="H550" s="16"/>
    </row>
    <row r="551" spans="1:8" ht="33.75" x14ac:dyDescent="0.3">
      <c r="A551" s="13" t="s">
        <v>3325</v>
      </c>
      <c r="B551" s="14" t="s">
        <v>3326</v>
      </c>
      <c r="C551" s="15" t="s">
        <v>3327</v>
      </c>
      <c r="D551" s="15"/>
      <c r="E551" s="15" t="s">
        <v>3328</v>
      </c>
      <c r="F551" s="15" t="s">
        <v>3329</v>
      </c>
      <c r="G551" s="15" t="s">
        <v>3330</v>
      </c>
      <c r="H551" s="16" t="s">
        <v>3331</v>
      </c>
    </row>
    <row r="552" spans="1:8" ht="22.5" x14ac:dyDescent="0.3">
      <c r="A552" s="13" t="s">
        <v>3332</v>
      </c>
      <c r="B552" s="14" t="s">
        <v>3333</v>
      </c>
      <c r="C552" s="15" t="s">
        <v>3334</v>
      </c>
      <c r="D552" s="15"/>
      <c r="E552" s="15" t="s">
        <v>3335</v>
      </c>
      <c r="F552" s="15" t="s">
        <v>3336</v>
      </c>
      <c r="G552" s="15" t="s">
        <v>3337</v>
      </c>
      <c r="H552" s="16" t="s">
        <v>3338</v>
      </c>
    </row>
    <row r="553" spans="1:8" ht="33.75" x14ac:dyDescent="0.3">
      <c r="A553" s="13" t="s">
        <v>3339</v>
      </c>
      <c r="B553" s="14" t="s">
        <v>3340</v>
      </c>
      <c r="C553" s="15" t="s">
        <v>3341</v>
      </c>
      <c r="D553" s="15"/>
      <c r="E553" s="15" t="s">
        <v>3342</v>
      </c>
      <c r="F553" s="15" t="s">
        <v>3343</v>
      </c>
      <c r="G553" s="15" t="s">
        <v>3344</v>
      </c>
      <c r="H553" s="16" t="s">
        <v>3345</v>
      </c>
    </row>
    <row r="554" spans="1:8" x14ac:dyDescent="0.3">
      <c r="A554" s="13">
        <v>21262</v>
      </c>
      <c r="B554" s="14" t="s">
        <v>3346</v>
      </c>
      <c r="C554" s="15"/>
      <c r="D554" s="15"/>
      <c r="E554" s="15"/>
      <c r="F554" s="15"/>
      <c r="G554" s="15"/>
      <c r="H554" s="16"/>
    </row>
    <row r="555" spans="1:8" ht="45" x14ac:dyDescent="0.3">
      <c r="A555" s="13" t="s">
        <v>3347</v>
      </c>
      <c r="B555" s="14" t="s">
        <v>3348</v>
      </c>
      <c r="C555" s="15" t="s">
        <v>3349</v>
      </c>
      <c r="D555" s="15"/>
      <c r="E555" s="15" t="s">
        <v>3350</v>
      </c>
      <c r="F555" s="15" t="s">
        <v>3351</v>
      </c>
      <c r="G555" s="15" t="s">
        <v>3352</v>
      </c>
      <c r="H555" s="16" t="s">
        <v>3353</v>
      </c>
    </row>
    <row r="556" spans="1:8" ht="22.5" x14ac:dyDescent="0.3">
      <c r="A556" s="13" t="s">
        <v>3354</v>
      </c>
      <c r="B556" s="14" t="s">
        <v>3355</v>
      </c>
      <c r="C556" s="15" t="s">
        <v>3356</v>
      </c>
      <c r="D556" s="15"/>
      <c r="E556" s="15" t="s">
        <v>3337</v>
      </c>
      <c r="F556" s="15" t="s">
        <v>3357</v>
      </c>
      <c r="G556" s="15" t="s">
        <v>3358</v>
      </c>
      <c r="H556" s="16"/>
    </row>
    <row r="557" spans="1:8" ht="22.5" x14ac:dyDescent="0.3">
      <c r="A557" s="13" t="s">
        <v>3359</v>
      </c>
      <c r="B557" s="14" t="s">
        <v>3360</v>
      </c>
      <c r="C557" s="15" t="s">
        <v>3361</v>
      </c>
      <c r="D557" s="15"/>
      <c r="E557" s="15" t="s">
        <v>3362</v>
      </c>
      <c r="F557" s="15" t="s">
        <v>3363</v>
      </c>
      <c r="G557" s="15" t="s">
        <v>3364</v>
      </c>
      <c r="H557" s="16" t="s">
        <v>3363</v>
      </c>
    </row>
    <row r="558" spans="1:8" x14ac:dyDescent="0.3">
      <c r="A558" s="13">
        <v>21263</v>
      </c>
      <c r="B558" s="14" t="s">
        <v>3365</v>
      </c>
      <c r="C558" s="15"/>
      <c r="D558" s="15"/>
      <c r="E558" s="15"/>
      <c r="F558" s="15"/>
      <c r="G558" s="15" t="s">
        <v>3366</v>
      </c>
      <c r="H558" s="16"/>
    </row>
    <row r="559" spans="1:8" ht="22.5" x14ac:dyDescent="0.3">
      <c r="A559" s="13" t="s">
        <v>3367</v>
      </c>
      <c r="B559" s="14" t="s">
        <v>3368</v>
      </c>
      <c r="C559" s="15" t="s">
        <v>3369</v>
      </c>
      <c r="D559" s="15"/>
      <c r="E559" s="15" t="s">
        <v>3370</v>
      </c>
      <c r="F559" s="15"/>
      <c r="G559" s="15" t="s">
        <v>3371</v>
      </c>
      <c r="H559" s="16" t="s">
        <v>3372</v>
      </c>
    </row>
    <row r="560" spans="1:8" ht="22.5" x14ac:dyDescent="0.3">
      <c r="A560" s="13" t="s">
        <v>3373</v>
      </c>
      <c r="B560" s="14" t="s">
        <v>3374</v>
      </c>
      <c r="C560" s="15" t="s">
        <v>3375</v>
      </c>
      <c r="D560" s="15"/>
      <c r="E560" s="15"/>
      <c r="F560" s="15"/>
      <c r="G560" s="15" t="s">
        <v>3376</v>
      </c>
      <c r="H560" s="16" t="s">
        <v>3377</v>
      </c>
    </row>
    <row r="561" spans="1:8" x14ac:dyDescent="0.3">
      <c r="A561" s="13" t="s">
        <v>3378</v>
      </c>
      <c r="B561" s="14" t="s">
        <v>3379</v>
      </c>
      <c r="C561" s="15" t="s">
        <v>3380</v>
      </c>
      <c r="D561" s="15"/>
      <c r="E561" s="15" t="s">
        <v>3381</v>
      </c>
      <c r="F561" s="15" t="s">
        <v>3382</v>
      </c>
      <c r="G561" s="15" t="s">
        <v>3381</v>
      </c>
      <c r="H561" s="16" t="s">
        <v>3383</v>
      </c>
    </row>
    <row r="562" spans="1:8" x14ac:dyDescent="0.3">
      <c r="A562" s="13">
        <v>21264</v>
      </c>
      <c r="B562" s="14" t="s">
        <v>3384</v>
      </c>
      <c r="C562" s="15" t="s">
        <v>3385</v>
      </c>
      <c r="D562" s="15"/>
      <c r="E562" s="15"/>
      <c r="F562" s="15"/>
      <c r="G562" s="15"/>
      <c r="H562" s="16"/>
    </row>
    <row r="563" spans="1:8" x14ac:dyDescent="0.3">
      <c r="A563" s="13" t="s">
        <v>3386</v>
      </c>
      <c r="B563" s="14" t="s">
        <v>3387</v>
      </c>
      <c r="C563" s="15" t="s">
        <v>3388</v>
      </c>
      <c r="D563" s="15"/>
      <c r="E563" s="15" t="s">
        <v>3372</v>
      </c>
      <c r="F563" s="15" t="s">
        <v>3389</v>
      </c>
      <c r="G563" s="15"/>
      <c r="H563" s="16"/>
    </row>
    <row r="564" spans="1:8" ht="22.5" x14ac:dyDescent="0.3">
      <c r="A564" s="13" t="s">
        <v>3390</v>
      </c>
      <c r="B564" s="14" t="s">
        <v>3391</v>
      </c>
      <c r="C564" s="15" t="s">
        <v>3392</v>
      </c>
      <c r="D564" s="15"/>
      <c r="E564" s="15" t="s">
        <v>3393</v>
      </c>
      <c r="F564" s="15"/>
      <c r="G564" s="15"/>
      <c r="H564" s="16" t="s">
        <v>3394</v>
      </c>
    </row>
    <row r="565" spans="1:8" ht="33.75" x14ac:dyDescent="0.3">
      <c r="A565" s="13" t="s">
        <v>3395</v>
      </c>
      <c r="B565" s="14" t="s">
        <v>3396</v>
      </c>
      <c r="C565" s="15" t="s">
        <v>3397</v>
      </c>
      <c r="D565" s="15"/>
      <c r="E565" s="15"/>
      <c r="F565" s="15"/>
      <c r="G565" s="15" t="s">
        <v>3398</v>
      </c>
      <c r="H565" s="16" t="s">
        <v>3399</v>
      </c>
    </row>
    <row r="566" spans="1:8" x14ac:dyDescent="0.3">
      <c r="A566" s="13">
        <v>21265</v>
      </c>
      <c r="B566" s="14" t="s">
        <v>3400</v>
      </c>
      <c r="C566" s="15"/>
      <c r="D566" s="15"/>
      <c r="E566" s="15"/>
      <c r="F566" s="15"/>
      <c r="G566" s="15"/>
      <c r="H566" s="16"/>
    </row>
    <row r="567" spans="1:8" x14ac:dyDescent="0.3">
      <c r="A567" s="13" t="s">
        <v>3401</v>
      </c>
      <c r="B567" s="14" t="s">
        <v>3402</v>
      </c>
      <c r="C567" s="15" t="s">
        <v>3403</v>
      </c>
      <c r="D567" s="15"/>
      <c r="E567" s="15" t="s">
        <v>3404</v>
      </c>
      <c r="F567" s="15" t="s">
        <v>3405</v>
      </c>
      <c r="G567" s="15" t="s">
        <v>3406</v>
      </c>
      <c r="H567" s="16" t="s">
        <v>3407</v>
      </c>
    </row>
    <row r="568" spans="1:8" ht="56.25" x14ac:dyDescent="0.3">
      <c r="A568" s="13" t="s">
        <v>3408</v>
      </c>
      <c r="B568" s="14" t="s">
        <v>3409</v>
      </c>
      <c r="C568" s="15" t="s">
        <v>3410</v>
      </c>
      <c r="D568" s="15"/>
      <c r="E568" s="15" t="s">
        <v>3411</v>
      </c>
      <c r="F568" s="15" t="s">
        <v>3412</v>
      </c>
      <c r="G568" s="15" t="s">
        <v>3413</v>
      </c>
      <c r="H568" s="16" t="s">
        <v>3414</v>
      </c>
    </row>
    <row r="569" spans="1:8" x14ac:dyDescent="0.3">
      <c r="A569" s="13" t="s">
        <v>3415</v>
      </c>
      <c r="B569" s="14" t="s">
        <v>3416</v>
      </c>
      <c r="C569" s="15" t="s">
        <v>3417</v>
      </c>
      <c r="D569" s="15"/>
      <c r="E569" s="15"/>
      <c r="F569" s="15" t="s">
        <v>3418</v>
      </c>
      <c r="G569" s="15" t="s">
        <v>3418</v>
      </c>
      <c r="H569" s="16" t="s">
        <v>3419</v>
      </c>
    </row>
    <row r="570" spans="1:8" x14ac:dyDescent="0.3">
      <c r="A570" s="13">
        <v>21301</v>
      </c>
      <c r="B570" s="14" t="s">
        <v>3420</v>
      </c>
      <c r="C570" s="15" t="s">
        <v>3421</v>
      </c>
      <c r="D570" s="15" t="s">
        <v>3422</v>
      </c>
      <c r="E570" s="15" t="s">
        <v>3423</v>
      </c>
      <c r="F570" s="15" t="s">
        <v>3424</v>
      </c>
      <c r="G570" s="15" t="s">
        <v>3425</v>
      </c>
      <c r="H570" s="16" t="s">
        <v>3420</v>
      </c>
    </row>
    <row r="571" spans="1:8" ht="33.75" x14ac:dyDescent="0.3">
      <c r="A571" s="13">
        <v>21302</v>
      </c>
      <c r="B571" s="14" t="s">
        <v>3426</v>
      </c>
      <c r="C571" s="15" t="s">
        <v>3427</v>
      </c>
      <c r="D571" s="15" t="s">
        <v>3428</v>
      </c>
      <c r="E571" s="15" t="s">
        <v>3429</v>
      </c>
      <c r="F571" s="15" t="s">
        <v>3430</v>
      </c>
      <c r="G571" s="15" t="s">
        <v>3431</v>
      </c>
      <c r="H571" s="16" t="s">
        <v>3432</v>
      </c>
    </row>
    <row r="572" spans="1:8" ht="33.75" x14ac:dyDescent="0.3">
      <c r="A572" s="13">
        <v>21303</v>
      </c>
      <c r="B572" s="14" t="s">
        <v>3433</v>
      </c>
      <c r="C572" s="15" t="s">
        <v>3434</v>
      </c>
      <c r="D572" s="15" t="s">
        <v>3435</v>
      </c>
      <c r="E572" s="15" t="s">
        <v>3433</v>
      </c>
      <c r="F572" s="15" t="s">
        <v>3436</v>
      </c>
      <c r="G572" s="15" t="s">
        <v>3437</v>
      </c>
      <c r="H572" s="16" t="s">
        <v>3433</v>
      </c>
    </row>
    <row r="573" spans="1:8" ht="33.75" x14ac:dyDescent="0.3">
      <c r="A573" s="13">
        <v>21304</v>
      </c>
      <c r="B573" s="14" t="s">
        <v>3438</v>
      </c>
      <c r="C573" s="15" t="s">
        <v>3439</v>
      </c>
      <c r="D573" s="15" t="s">
        <v>3440</v>
      </c>
      <c r="E573" s="15" t="s">
        <v>3441</v>
      </c>
      <c r="F573" s="15" t="s">
        <v>3442</v>
      </c>
      <c r="G573" s="15" t="s">
        <v>3443</v>
      </c>
      <c r="H573" s="16" t="s">
        <v>3440</v>
      </c>
    </row>
    <row r="574" spans="1:8" x14ac:dyDescent="0.3">
      <c r="A574" s="13">
        <v>21305</v>
      </c>
      <c r="B574" s="14" t="s">
        <v>3444</v>
      </c>
      <c r="C574" s="15" t="s">
        <v>57</v>
      </c>
      <c r="D574" s="15" t="s">
        <v>3445</v>
      </c>
      <c r="E574" s="15" t="s">
        <v>57</v>
      </c>
      <c r="F574" s="15" t="s">
        <v>3446</v>
      </c>
      <c r="G574" s="15"/>
      <c r="H574" s="16" t="s">
        <v>3447</v>
      </c>
    </row>
    <row r="575" spans="1:8" ht="22.5" x14ac:dyDescent="0.3">
      <c r="A575" s="13">
        <v>21306</v>
      </c>
      <c r="B575" s="14" t="s">
        <v>3448</v>
      </c>
      <c r="C575" s="15" t="s">
        <v>3449</v>
      </c>
      <c r="D575" s="15" t="s">
        <v>3450</v>
      </c>
      <c r="E575" s="15" t="s">
        <v>3451</v>
      </c>
      <c r="F575" s="15" t="s">
        <v>3452</v>
      </c>
      <c r="G575" s="15" t="s">
        <v>3453</v>
      </c>
      <c r="H575" s="16" t="s">
        <v>3454</v>
      </c>
    </row>
    <row r="576" spans="1:8" ht="33.75" x14ac:dyDescent="0.3">
      <c r="A576" s="13">
        <v>21307</v>
      </c>
      <c r="B576" s="14" t="s">
        <v>3455</v>
      </c>
      <c r="C576" s="15" t="s">
        <v>3456</v>
      </c>
      <c r="D576" s="15" t="s">
        <v>3457</v>
      </c>
      <c r="E576" s="15" t="s">
        <v>3458</v>
      </c>
      <c r="F576" s="15" t="s">
        <v>3458</v>
      </c>
      <c r="G576" s="15" t="s">
        <v>3459</v>
      </c>
      <c r="H576" s="16" t="s">
        <v>3460</v>
      </c>
    </row>
    <row r="577" spans="1:8" ht="33.75" x14ac:dyDescent="0.3">
      <c r="A577" s="13">
        <v>21308</v>
      </c>
      <c r="B577" s="14" t="s">
        <v>3461</v>
      </c>
      <c r="C577" s="15" t="s">
        <v>3462</v>
      </c>
      <c r="D577" s="15" t="s">
        <v>3463</v>
      </c>
      <c r="E577" s="15" t="s">
        <v>3464</v>
      </c>
      <c r="F577" s="15" t="s">
        <v>3465</v>
      </c>
      <c r="G577" s="15" t="s">
        <v>3466</v>
      </c>
      <c r="H577" s="16" t="s">
        <v>3461</v>
      </c>
    </row>
    <row r="578" spans="1:8" ht="22.5" x14ac:dyDescent="0.3">
      <c r="A578" s="13">
        <v>21309</v>
      </c>
      <c r="B578" s="14" t="s">
        <v>3467</v>
      </c>
      <c r="C578" s="15" t="s">
        <v>3468</v>
      </c>
      <c r="D578" s="15" t="s">
        <v>3469</v>
      </c>
      <c r="E578" s="15" t="s">
        <v>3470</v>
      </c>
      <c r="F578" s="15" t="s">
        <v>3467</v>
      </c>
      <c r="G578" s="15" t="s">
        <v>3471</v>
      </c>
      <c r="H578" s="16" t="s">
        <v>3472</v>
      </c>
    </row>
    <row r="579" spans="1:8" ht="22.5" x14ac:dyDescent="0.3">
      <c r="A579" s="13">
        <v>21310</v>
      </c>
      <c r="B579" s="14" t="s">
        <v>3473</v>
      </c>
      <c r="C579" s="15" t="s">
        <v>3474</v>
      </c>
      <c r="D579" s="15" t="s">
        <v>3475</v>
      </c>
      <c r="E579" s="15" t="s">
        <v>3476</v>
      </c>
      <c r="F579" s="15" t="s">
        <v>3477</v>
      </c>
      <c r="G579" s="15" t="s">
        <v>3477</v>
      </c>
      <c r="H579" s="16" t="s">
        <v>3478</v>
      </c>
    </row>
    <row r="580" spans="1:8" ht="45" x14ac:dyDescent="0.3">
      <c r="A580" s="13">
        <v>21311</v>
      </c>
      <c r="B580" s="14" t="s">
        <v>3479</v>
      </c>
      <c r="C580" s="15" t="s">
        <v>3480</v>
      </c>
      <c r="D580" s="15" t="s">
        <v>3481</v>
      </c>
      <c r="E580" s="15" t="s">
        <v>3482</v>
      </c>
      <c r="F580" s="15" t="s">
        <v>3483</v>
      </c>
      <c r="G580" s="15" t="s">
        <v>3484</v>
      </c>
      <c r="H580" s="16" t="s">
        <v>3485</v>
      </c>
    </row>
    <row r="581" spans="1:8" ht="33.75" x14ac:dyDescent="0.3">
      <c r="A581" s="13">
        <v>21312</v>
      </c>
      <c r="B581" s="14" t="s">
        <v>3486</v>
      </c>
      <c r="C581" s="15" t="s">
        <v>3487</v>
      </c>
      <c r="D581" s="15" t="s">
        <v>3488</v>
      </c>
      <c r="E581" s="15" t="s">
        <v>3489</v>
      </c>
      <c r="F581" s="15" t="s">
        <v>3490</v>
      </c>
      <c r="G581" s="15" t="s">
        <v>3491</v>
      </c>
      <c r="H581" s="16" t="s">
        <v>3492</v>
      </c>
    </row>
    <row r="582" spans="1:8" x14ac:dyDescent="0.3">
      <c r="A582" s="13">
        <v>21313</v>
      </c>
      <c r="B582" s="14" t="s">
        <v>3493</v>
      </c>
      <c r="C582" s="15" t="s">
        <v>3494</v>
      </c>
      <c r="D582" s="15" t="s">
        <v>3495</v>
      </c>
      <c r="E582" s="15" t="s">
        <v>3493</v>
      </c>
      <c r="F582" s="15" t="s">
        <v>3496</v>
      </c>
      <c r="G582" s="15" t="s">
        <v>3493</v>
      </c>
      <c r="H582" s="16" t="s">
        <v>3493</v>
      </c>
    </row>
    <row r="583" spans="1:8" x14ac:dyDescent="0.3">
      <c r="A583" s="13">
        <v>21314</v>
      </c>
      <c r="B583" s="14" t="s">
        <v>3497</v>
      </c>
      <c r="C583" s="15" t="s">
        <v>3498</v>
      </c>
      <c r="D583" s="15" t="s">
        <v>3499</v>
      </c>
      <c r="E583" s="15" t="s">
        <v>3497</v>
      </c>
      <c r="F583" s="15" t="s">
        <v>3500</v>
      </c>
      <c r="G583" s="15" t="s">
        <v>3501</v>
      </c>
      <c r="H583" s="16" t="s">
        <v>3502</v>
      </c>
    </row>
    <row r="584" spans="1:8" ht="45" x14ac:dyDescent="0.3">
      <c r="A584" s="13">
        <v>21315</v>
      </c>
      <c r="B584" s="14" t="s">
        <v>3503</v>
      </c>
      <c r="C584" s="15" t="s">
        <v>3504</v>
      </c>
      <c r="D584" s="15"/>
      <c r="E584" s="15" t="s">
        <v>3505</v>
      </c>
      <c r="F584" s="15" t="s">
        <v>3506</v>
      </c>
      <c r="G584" s="15" t="s">
        <v>3507</v>
      </c>
      <c r="H584" s="16" t="s">
        <v>3508</v>
      </c>
    </row>
    <row r="585" spans="1:8" ht="22.5" x14ac:dyDescent="0.3">
      <c r="A585" s="13" t="s">
        <v>3509</v>
      </c>
      <c r="B585" s="14" t="s">
        <v>19726</v>
      </c>
      <c r="C585" s="15" t="s">
        <v>3510</v>
      </c>
      <c r="D585" s="15" t="s">
        <v>3511</v>
      </c>
      <c r="E585" s="15" t="s">
        <v>3512</v>
      </c>
      <c r="F585" s="15" t="s">
        <v>3513</v>
      </c>
      <c r="G585" s="15" t="s">
        <v>3514</v>
      </c>
      <c r="H585" s="16" t="s">
        <v>3515</v>
      </c>
    </row>
    <row r="586" spans="1:8" x14ac:dyDescent="0.3">
      <c r="A586" s="13" t="s">
        <v>3516</v>
      </c>
      <c r="B586" s="14" t="s">
        <v>19725</v>
      </c>
      <c r="C586" s="15" t="s">
        <v>3517</v>
      </c>
      <c r="D586" s="15" t="s">
        <v>3518</v>
      </c>
      <c r="E586" s="15" t="s">
        <v>3519</v>
      </c>
      <c r="F586" s="15" t="s">
        <v>3520</v>
      </c>
      <c r="G586" s="15" t="s">
        <v>3521</v>
      </c>
      <c r="H586" s="16" t="s">
        <v>3514</v>
      </c>
    </row>
    <row r="587" spans="1:8" ht="22.5" x14ac:dyDescent="0.3">
      <c r="A587" s="13">
        <v>21316</v>
      </c>
      <c r="B587" s="14" t="s">
        <v>3522</v>
      </c>
      <c r="C587" s="15" t="s">
        <v>3523</v>
      </c>
      <c r="D587" s="15" t="s">
        <v>3524</v>
      </c>
      <c r="E587" s="15" t="s">
        <v>3525</v>
      </c>
      <c r="F587" s="15" t="s">
        <v>3526</v>
      </c>
      <c r="G587" s="15" t="s">
        <v>3527</v>
      </c>
      <c r="H587" s="16" t="s">
        <v>3528</v>
      </c>
    </row>
    <row r="588" spans="1:8" ht="22.5" x14ac:dyDescent="0.3">
      <c r="A588" s="13">
        <v>21317</v>
      </c>
      <c r="B588" s="14" t="s">
        <v>3529</v>
      </c>
      <c r="C588" s="15" t="s">
        <v>3530</v>
      </c>
      <c r="D588" s="15" t="s">
        <v>3531</v>
      </c>
      <c r="E588" s="15" t="s">
        <v>3532</v>
      </c>
      <c r="F588" s="15" t="s">
        <v>3533</v>
      </c>
      <c r="G588" s="15" t="s">
        <v>3534</v>
      </c>
      <c r="H588" s="16" t="s">
        <v>3535</v>
      </c>
    </row>
    <row r="589" spans="1:8" ht="22.5" x14ac:dyDescent="0.3">
      <c r="A589" s="13">
        <v>21318</v>
      </c>
      <c r="B589" s="14" t="s">
        <v>3536</v>
      </c>
      <c r="C589" s="15" t="s">
        <v>3537</v>
      </c>
      <c r="D589" s="15" t="s">
        <v>3538</v>
      </c>
      <c r="E589" s="15" t="s">
        <v>3539</v>
      </c>
      <c r="F589" s="15" t="s">
        <v>3540</v>
      </c>
      <c r="G589" s="15" t="s">
        <v>3541</v>
      </c>
      <c r="H589" s="16" t="s">
        <v>3542</v>
      </c>
    </row>
    <row r="590" spans="1:8" ht="22.5" x14ac:dyDescent="0.3">
      <c r="A590" s="13">
        <v>21319</v>
      </c>
      <c r="B590" s="14" t="s">
        <v>3543</v>
      </c>
      <c r="C590" s="15" t="s">
        <v>3544</v>
      </c>
      <c r="D590" s="15" t="s">
        <v>3545</v>
      </c>
      <c r="E590" s="15" t="s">
        <v>3546</v>
      </c>
      <c r="F590" s="15" t="s">
        <v>3547</v>
      </c>
      <c r="G590" s="15" t="s">
        <v>3548</v>
      </c>
      <c r="H590" s="16" t="s">
        <v>3549</v>
      </c>
    </row>
    <row r="591" spans="1:8" ht="33.75" x14ac:dyDescent="0.3">
      <c r="A591" s="13">
        <v>21320</v>
      </c>
      <c r="B591" s="14" t="s">
        <v>3550</v>
      </c>
      <c r="C591" s="15" t="s">
        <v>3551</v>
      </c>
      <c r="D591" s="15" t="s">
        <v>3552</v>
      </c>
      <c r="E591" s="15" t="s">
        <v>3553</v>
      </c>
      <c r="F591" s="15" t="s">
        <v>3554</v>
      </c>
      <c r="G591" s="15" t="s">
        <v>3555</v>
      </c>
      <c r="H591" s="16" t="s">
        <v>3556</v>
      </c>
    </row>
    <row r="592" spans="1:8" ht="22.5" x14ac:dyDescent="0.3">
      <c r="A592" s="13">
        <v>21321</v>
      </c>
      <c r="B592" s="14" t="s">
        <v>3557</v>
      </c>
      <c r="C592" s="15" t="s">
        <v>3558</v>
      </c>
      <c r="D592" s="15" t="s">
        <v>3559</v>
      </c>
      <c r="E592" s="15" t="s">
        <v>3560</v>
      </c>
      <c r="F592" s="15" t="s">
        <v>3557</v>
      </c>
      <c r="G592" s="15" t="s">
        <v>3561</v>
      </c>
      <c r="H592" s="16" t="s">
        <v>3562</v>
      </c>
    </row>
    <row r="593" spans="1:8" x14ac:dyDescent="0.3">
      <c r="A593" s="13">
        <v>21322</v>
      </c>
      <c r="B593" s="14" t="s">
        <v>3563</v>
      </c>
      <c r="C593" s="15" t="s">
        <v>3564</v>
      </c>
      <c r="D593" s="15" t="s">
        <v>3565</v>
      </c>
      <c r="E593" s="15" t="s">
        <v>3566</v>
      </c>
      <c r="F593" s="15" t="s">
        <v>3563</v>
      </c>
      <c r="G593" s="15" t="s">
        <v>3567</v>
      </c>
      <c r="H593" s="16" t="s">
        <v>3567</v>
      </c>
    </row>
    <row r="594" spans="1:8" ht="33.75" x14ac:dyDescent="0.3">
      <c r="A594" s="13">
        <v>21323</v>
      </c>
      <c r="B594" s="14" t="s">
        <v>3568</v>
      </c>
      <c r="C594" s="15" t="s">
        <v>3569</v>
      </c>
      <c r="D594" s="15" t="s">
        <v>3570</v>
      </c>
      <c r="E594" s="15" t="s">
        <v>3571</v>
      </c>
      <c r="F594" s="15" t="s">
        <v>3572</v>
      </c>
      <c r="G594" s="15" t="s">
        <v>3573</v>
      </c>
      <c r="H594" s="16" t="s">
        <v>3572</v>
      </c>
    </row>
    <row r="595" spans="1:8" ht="33.75" x14ac:dyDescent="0.3">
      <c r="A595" s="13">
        <v>21324</v>
      </c>
      <c r="B595" s="14" t="s">
        <v>3574</v>
      </c>
      <c r="C595" s="15" t="s">
        <v>3575</v>
      </c>
      <c r="D595" s="15" t="s">
        <v>3576</v>
      </c>
      <c r="E595" s="15" t="s">
        <v>3577</v>
      </c>
      <c r="F595" s="15" t="s">
        <v>3578</v>
      </c>
      <c r="G595" s="15" t="s">
        <v>3579</v>
      </c>
      <c r="H595" s="16" t="s">
        <v>3580</v>
      </c>
    </row>
    <row r="596" spans="1:8" ht="45" x14ac:dyDescent="0.3">
      <c r="A596" s="13">
        <v>21325</v>
      </c>
      <c r="B596" s="14" t="s">
        <v>3581</v>
      </c>
      <c r="C596" s="15" t="s">
        <v>3582</v>
      </c>
      <c r="D596" s="15" t="s">
        <v>3583</v>
      </c>
      <c r="E596" s="15" t="s">
        <v>3584</v>
      </c>
      <c r="F596" s="15" t="s">
        <v>3585</v>
      </c>
      <c r="G596" s="15" t="s">
        <v>3586</v>
      </c>
      <c r="H596" s="16" t="s">
        <v>3587</v>
      </c>
    </row>
    <row r="597" spans="1:8" ht="33.75" x14ac:dyDescent="0.3">
      <c r="A597" s="13">
        <v>21326</v>
      </c>
      <c r="B597" s="14" t="s">
        <v>3588</v>
      </c>
      <c r="C597" s="15" t="s">
        <v>3589</v>
      </c>
      <c r="D597" s="15" t="s">
        <v>3590</v>
      </c>
      <c r="E597" s="15" t="s">
        <v>3591</v>
      </c>
      <c r="F597" s="15" t="s">
        <v>3592</v>
      </c>
      <c r="G597" s="15" t="s">
        <v>3593</v>
      </c>
      <c r="H597" s="16" t="s">
        <v>3588</v>
      </c>
    </row>
    <row r="598" spans="1:8" ht="33.75" x14ac:dyDescent="0.3">
      <c r="A598" s="13">
        <v>21327</v>
      </c>
      <c r="B598" s="14" t="s">
        <v>3594</v>
      </c>
      <c r="C598" s="15" t="s">
        <v>3595</v>
      </c>
      <c r="D598" s="15" t="s">
        <v>3596</v>
      </c>
      <c r="E598" s="15" t="s">
        <v>3597</v>
      </c>
      <c r="F598" s="15" t="s">
        <v>3598</v>
      </c>
      <c r="G598" s="15" t="s">
        <v>3599</v>
      </c>
      <c r="H598" s="16" t="s">
        <v>3597</v>
      </c>
    </row>
    <row r="599" spans="1:8" ht="22.5" x14ac:dyDescent="0.3">
      <c r="A599" s="13">
        <v>21328</v>
      </c>
      <c r="B599" s="14" t="s">
        <v>3600</v>
      </c>
      <c r="C599" s="15" t="s">
        <v>3601</v>
      </c>
      <c r="D599" s="15" t="s">
        <v>3602</v>
      </c>
      <c r="E599" s="15" t="s">
        <v>3603</v>
      </c>
      <c r="F599" s="15" t="s">
        <v>3604</v>
      </c>
      <c r="G599" s="15" t="s">
        <v>3600</v>
      </c>
      <c r="H599" s="16" t="s">
        <v>3605</v>
      </c>
    </row>
    <row r="600" spans="1:8" x14ac:dyDescent="0.3">
      <c r="A600" s="13">
        <v>21329</v>
      </c>
      <c r="B600" s="14" t="s">
        <v>3606</v>
      </c>
      <c r="C600" s="15" t="s">
        <v>3607</v>
      </c>
      <c r="D600" s="15" t="s">
        <v>3606</v>
      </c>
      <c r="E600" s="15" t="s">
        <v>3606</v>
      </c>
      <c r="F600" s="15" t="s">
        <v>3608</v>
      </c>
      <c r="G600" s="15" t="s">
        <v>3606</v>
      </c>
      <c r="H600" s="16" t="s">
        <v>3606</v>
      </c>
    </row>
    <row r="601" spans="1:8" x14ac:dyDescent="0.3">
      <c r="A601" s="13">
        <v>21330</v>
      </c>
      <c r="B601" s="14" t="s">
        <v>3609</v>
      </c>
      <c r="C601" s="15" t="s">
        <v>3610</v>
      </c>
      <c r="D601" s="15" t="s">
        <v>3611</v>
      </c>
      <c r="E601" s="15" t="s">
        <v>3612</v>
      </c>
      <c r="F601" s="15" t="s">
        <v>3613</v>
      </c>
      <c r="G601" s="15" t="s">
        <v>3614</v>
      </c>
      <c r="H601" s="16" t="s">
        <v>3611</v>
      </c>
    </row>
    <row r="602" spans="1:8" x14ac:dyDescent="0.3">
      <c r="A602" s="13">
        <v>21331</v>
      </c>
      <c r="B602" s="14" t="s">
        <v>3615</v>
      </c>
      <c r="C602" s="15" t="s">
        <v>3616</v>
      </c>
      <c r="D602" s="15"/>
      <c r="E602" s="15" t="s">
        <v>3617</v>
      </c>
      <c r="F602" s="15" t="s">
        <v>3618</v>
      </c>
      <c r="G602" s="15" t="s">
        <v>3619</v>
      </c>
      <c r="H602" s="16" t="s">
        <v>3620</v>
      </c>
    </row>
    <row r="603" spans="1:8" x14ac:dyDescent="0.3">
      <c r="A603" s="13" t="s">
        <v>3621</v>
      </c>
      <c r="B603" s="14" t="s">
        <v>19726</v>
      </c>
      <c r="C603" s="15" t="s">
        <v>3622</v>
      </c>
      <c r="D603" s="15" t="s">
        <v>3623</v>
      </c>
      <c r="E603" s="15" t="s">
        <v>3624</v>
      </c>
      <c r="F603" s="15" t="s">
        <v>3623</v>
      </c>
      <c r="G603" s="15" t="s">
        <v>3625</v>
      </c>
      <c r="H603" s="16" t="s">
        <v>3626</v>
      </c>
    </row>
    <row r="604" spans="1:8" ht="22.5" x14ac:dyDescent="0.3">
      <c r="A604" s="13">
        <v>21332</v>
      </c>
      <c r="B604" s="14" t="s">
        <v>3627</v>
      </c>
      <c r="C604" s="15" t="s">
        <v>3628</v>
      </c>
      <c r="D604" s="15" t="s">
        <v>3629</v>
      </c>
      <c r="E604" s="15" t="s">
        <v>3629</v>
      </c>
      <c r="F604" s="15" t="s">
        <v>3629</v>
      </c>
      <c r="G604" s="15" t="s">
        <v>3630</v>
      </c>
      <c r="H604" s="16" t="s">
        <v>3631</v>
      </c>
    </row>
    <row r="605" spans="1:8" ht="33.75" x14ac:dyDescent="0.3">
      <c r="A605" s="13">
        <v>21333</v>
      </c>
      <c r="B605" s="14" t="s">
        <v>3632</v>
      </c>
      <c r="C605" s="15" t="s">
        <v>3633</v>
      </c>
      <c r="D605" s="15" t="s">
        <v>3634</v>
      </c>
      <c r="E605" s="15" t="s">
        <v>3635</v>
      </c>
      <c r="F605" s="15" t="s">
        <v>3636</v>
      </c>
      <c r="G605" s="15" t="s">
        <v>3637</v>
      </c>
      <c r="H605" s="16" t="s">
        <v>3638</v>
      </c>
    </row>
    <row r="606" spans="1:8" ht="22.5" x14ac:dyDescent="0.3">
      <c r="A606" s="13">
        <v>21334</v>
      </c>
      <c r="B606" s="14" t="s">
        <v>3639</v>
      </c>
      <c r="C606" s="15" t="s">
        <v>3640</v>
      </c>
      <c r="D606" s="15" t="s">
        <v>3641</v>
      </c>
      <c r="E606" s="15" t="s">
        <v>3639</v>
      </c>
      <c r="F606" s="15" t="s">
        <v>3642</v>
      </c>
      <c r="G606" s="15" t="s">
        <v>3643</v>
      </c>
      <c r="H606" s="16" t="s">
        <v>3644</v>
      </c>
    </row>
    <row r="607" spans="1:8" x14ac:dyDescent="0.3">
      <c r="A607" s="13">
        <v>21335</v>
      </c>
      <c r="B607" s="14" t="s">
        <v>3645</v>
      </c>
      <c r="C607" s="15" t="s">
        <v>3646</v>
      </c>
      <c r="D607" s="15" t="s">
        <v>3647</v>
      </c>
      <c r="E607" s="15" t="s">
        <v>3645</v>
      </c>
      <c r="F607" s="15" t="s">
        <v>3648</v>
      </c>
      <c r="G607" s="15" t="s">
        <v>3649</v>
      </c>
      <c r="H607" s="16" t="s">
        <v>3645</v>
      </c>
    </row>
    <row r="608" spans="1:8" ht="22.5" x14ac:dyDescent="0.3">
      <c r="A608" s="13">
        <v>21336</v>
      </c>
      <c r="B608" s="14" t="s">
        <v>3650</v>
      </c>
      <c r="C608" s="15" t="s">
        <v>3651</v>
      </c>
      <c r="D608" s="15" t="s">
        <v>3652</v>
      </c>
      <c r="E608" s="15" t="s">
        <v>3653</v>
      </c>
      <c r="F608" s="15" t="s">
        <v>57</v>
      </c>
      <c r="G608" s="15" t="s">
        <v>3652</v>
      </c>
      <c r="H608" s="16" t="s">
        <v>3652</v>
      </c>
    </row>
    <row r="609" spans="1:8" ht="33.75" x14ac:dyDescent="0.3">
      <c r="A609" s="13">
        <v>21337</v>
      </c>
      <c r="B609" s="14" t="s">
        <v>3654</v>
      </c>
      <c r="C609" s="15" t="s">
        <v>3655</v>
      </c>
      <c r="D609" s="15" t="s">
        <v>3656</v>
      </c>
      <c r="E609" s="15" t="s">
        <v>3657</v>
      </c>
      <c r="F609" s="15" t="s">
        <v>3658</v>
      </c>
      <c r="G609" s="15" t="s">
        <v>3659</v>
      </c>
      <c r="H609" s="16" t="s">
        <v>3660</v>
      </c>
    </row>
    <row r="610" spans="1:8" ht="45" x14ac:dyDescent="0.3">
      <c r="A610" s="13">
        <v>21338</v>
      </c>
      <c r="B610" s="14" t="s">
        <v>3661</v>
      </c>
      <c r="C610" s="15" t="s">
        <v>3662</v>
      </c>
      <c r="D610" s="15" t="s">
        <v>3663</v>
      </c>
      <c r="E610" s="15" t="s">
        <v>3664</v>
      </c>
      <c r="F610" s="15" t="s">
        <v>3665</v>
      </c>
      <c r="G610" s="15" t="s">
        <v>3666</v>
      </c>
      <c r="H610" s="16" t="s">
        <v>3667</v>
      </c>
    </row>
    <row r="611" spans="1:8" ht="33.75" x14ac:dyDescent="0.3">
      <c r="A611" s="13" t="s">
        <v>3668</v>
      </c>
      <c r="B611" s="14" t="s">
        <v>3669</v>
      </c>
      <c r="C611" s="15" t="s">
        <v>3670</v>
      </c>
      <c r="D611" s="15" t="s">
        <v>3671</v>
      </c>
      <c r="E611" s="15" t="s">
        <v>3672</v>
      </c>
      <c r="F611" s="15" t="s">
        <v>3673</v>
      </c>
      <c r="G611" s="15" t="s">
        <v>3674</v>
      </c>
      <c r="H611" s="16" t="s">
        <v>3675</v>
      </c>
    </row>
    <row r="612" spans="1:8" x14ac:dyDescent="0.3">
      <c r="A612" s="13">
        <v>21339</v>
      </c>
      <c r="B612" s="14" t="s">
        <v>3676</v>
      </c>
      <c r="C612" s="15" t="s">
        <v>3677</v>
      </c>
      <c r="D612" s="15" t="s">
        <v>3678</v>
      </c>
      <c r="E612" s="15" t="s">
        <v>3678</v>
      </c>
      <c r="F612" s="15" t="s">
        <v>3678</v>
      </c>
      <c r="G612" s="15" t="s">
        <v>3678</v>
      </c>
      <c r="H612" s="16" t="s">
        <v>3678</v>
      </c>
    </row>
    <row r="613" spans="1:8" ht="67.5" x14ac:dyDescent="0.3">
      <c r="A613" s="13">
        <v>21340</v>
      </c>
      <c r="B613" s="14" t="s">
        <v>3679</v>
      </c>
      <c r="C613" s="15" t="s">
        <v>3680</v>
      </c>
      <c r="D613" s="15" t="s">
        <v>3681</v>
      </c>
      <c r="E613" s="15" t="s">
        <v>3682</v>
      </c>
      <c r="F613" s="15" t="s">
        <v>57</v>
      </c>
      <c r="G613" s="15" t="s">
        <v>3683</v>
      </c>
      <c r="H613" s="16" t="s">
        <v>3684</v>
      </c>
    </row>
    <row r="614" spans="1:8" ht="33.75" x14ac:dyDescent="0.3">
      <c r="A614" s="13">
        <v>21401</v>
      </c>
      <c r="B614" s="14" t="s">
        <v>3685</v>
      </c>
      <c r="C614" s="15" t="s">
        <v>3686</v>
      </c>
      <c r="D614" s="15" t="s">
        <v>3687</v>
      </c>
      <c r="E614" s="15" t="s">
        <v>3685</v>
      </c>
      <c r="F614" s="15" t="s">
        <v>3688</v>
      </c>
      <c r="G614" s="15" t="s">
        <v>3689</v>
      </c>
      <c r="H614" s="16" t="s">
        <v>3685</v>
      </c>
    </row>
    <row r="615" spans="1:8" ht="22.5" x14ac:dyDescent="0.3">
      <c r="A615" s="13" t="s">
        <v>3690</v>
      </c>
      <c r="B615" s="14" t="s">
        <v>3691</v>
      </c>
      <c r="C615" s="15" t="s">
        <v>3692</v>
      </c>
      <c r="D615" s="15" t="s">
        <v>3691</v>
      </c>
      <c r="E615" s="15" t="s">
        <v>3691</v>
      </c>
      <c r="F615" s="15" t="s">
        <v>3693</v>
      </c>
      <c r="G615" s="15" t="s">
        <v>3694</v>
      </c>
      <c r="H615" s="16" t="s">
        <v>3691</v>
      </c>
    </row>
    <row r="616" spans="1:8" ht="33.75" x14ac:dyDescent="0.3">
      <c r="A616" s="13">
        <v>21402</v>
      </c>
      <c r="B616" s="14" t="s">
        <v>3695</v>
      </c>
      <c r="C616" s="15" t="s">
        <v>3696</v>
      </c>
      <c r="D616" s="15" t="s">
        <v>3697</v>
      </c>
      <c r="E616" s="15" t="s">
        <v>3698</v>
      </c>
      <c r="F616" s="15" t="s">
        <v>3699</v>
      </c>
      <c r="G616" s="15" t="s">
        <v>3700</v>
      </c>
      <c r="H616" s="16" t="s">
        <v>3701</v>
      </c>
    </row>
    <row r="617" spans="1:8" x14ac:dyDescent="0.3">
      <c r="A617" s="13" t="s">
        <v>3702</v>
      </c>
      <c r="B617" s="14" t="s">
        <v>3703</v>
      </c>
      <c r="C617" s="15" t="s">
        <v>3704</v>
      </c>
      <c r="D617" s="15"/>
      <c r="E617" s="15" t="s">
        <v>3705</v>
      </c>
      <c r="F617" s="15" t="s">
        <v>3706</v>
      </c>
      <c r="G617" s="15"/>
      <c r="H617" s="16" t="s">
        <v>3707</v>
      </c>
    </row>
    <row r="618" spans="1:8" ht="22.5" x14ac:dyDescent="0.3">
      <c r="A618" s="13">
        <v>21403</v>
      </c>
      <c r="B618" s="14" t="s">
        <v>3708</v>
      </c>
      <c r="C618" s="15" t="s">
        <v>3709</v>
      </c>
      <c r="D618" s="15" t="s">
        <v>3710</v>
      </c>
      <c r="E618" s="15" t="s">
        <v>3711</v>
      </c>
      <c r="F618" s="15" t="s">
        <v>3712</v>
      </c>
      <c r="G618" s="15" t="s">
        <v>3713</v>
      </c>
      <c r="H618" s="16" t="s">
        <v>3714</v>
      </c>
    </row>
    <row r="619" spans="1:8" ht="22.5" x14ac:dyDescent="0.3">
      <c r="A619" s="13" t="s">
        <v>3715</v>
      </c>
      <c r="B619" s="14" t="s">
        <v>3716</v>
      </c>
      <c r="C619" s="15" t="s">
        <v>3717</v>
      </c>
      <c r="D619" s="15"/>
      <c r="E619" s="15" t="s">
        <v>3718</v>
      </c>
      <c r="F619" s="15" t="s">
        <v>3719</v>
      </c>
      <c r="G619" s="15" t="s">
        <v>3720</v>
      </c>
      <c r="H619" s="16" t="s">
        <v>3721</v>
      </c>
    </row>
    <row r="620" spans="1:8" ht="22.5" x14ac:dyDescent="0.3">
      <c r="A620" s="13">
        <v>21404</v>
      </c>
      <c r="B620" s="14" t="s">
        <v>3722</v>
      </c>
      <c r="C620" s="15" t="s">
        <v>3723</v>
      </c>
      <c r="D620" s="15" t="s">
        <v>3724</v>
      </c>
      <c r="E620" s="15" t="s">
        <v>3725</v>
      </c>
      <c r="F620" s="15" t="s">
        <v>3726</v>
      </c>
      <c r="G620" s="15"/>
      <c r="H620" s="16" t="s">
        <v>3727</v>
      </c>
    </row>
    <row r="621" spans="1:8" ht="22.5" x14ac:dyDescent="0.3">
      <c r="A621" s="13">
        <v>21405</v>
      </c>
      <c r="B621" s="14" t="s">
        <v>3728</v>
      </c>
      <c r="C621" s="15" t="s">
        <v>3729</v>
      </c>
      <c r="D621" s="15" t="s">
        <v>3730</v>
      </c>
      <c r="E621" s="15" t="s">
        <v>3731</v>
      </c>
      <c r="F621" s="15" t="s">
        <v>3732</v>
      </c>
      <c r="G621" s="15" t="s">
        <v>3733</v>
      </c>
      <c r="H621" s="16" t="s">
        <v>3734</v>
      </c>
    </row>
    <row r="622" spans="1:8" ht="22.5" x14ac:dyDescent="0.3">
      <c r="A622" s="13">
        <v>21406</v>
      </c>
      <c r="B622" s="14" t="s">
        <v>3735</v>
      </c>
      <c r="C622" s="15" t="s">
        <v>3736</v>
      </c>
      <c r="D622" s="15" t="s">
        <v>3737</v>
      </c>
      <c r="E622" s="15" t="s">
        <v>3738</v>
      </c>
      <c r="F622" s="15" t="s">
        <v>3739</v>
      </c>
      <c r="G622" s="15" t="s">
        <v>3740</v>
      </c>
      <c r="H622" s="16" t="s">
        <v>3737</v>
      </c>
    </row>
    <row r="623" spans="1:8" ht="45" x14ac:dyDescent="0.3">
      <c r="A623" s="13">
        <v>21407</v>
      </c>
      <c r="B623" s="14" t="s">
        <v>3741</v>
      </c>
      <c r="C623" s="15" t="s">
        <v>3742</v>
      </c>
      <c r="D623" s="15" t="s">
        <v>3743</v>
      </c>
      <c r="E623" s="15" t="s">
        <v>3744</v>
      </c>
      <c r="F623" s="15" t="s">
        <v>3745</v>
      </c>
      <c r="G623" s="15" t="s">
        <v>3746</v>
      </c>
      <c r="H623" s="16" t="s">
        <v>3747</v>
      </c>
    </row>
    <row r="624" spans="1:8" ht="33.75" x14ac:dyDescent="0.3">
      <c r="A624" s="13">
        <v>21408</v>
      </c>
      <c r="B624" s="14" t="s">
        <v>3748</v>
      </c>
      <c r="C624" s="15" t="s">
        <v>3749</v>
      </c>
      <c r="D624" s="15" t="s">
        <v>3750</v>
      </c>
      <c r="E624" s="15" t="s">
        <v>3748</v>
      </c>
      <c r="F624" s="15" t="s">
        <v>3751</v>
      </c>
      <c r="G624" s="15" t="s">
        <v>3752</v>
      </c>
      <c r="H624" s="16" t="s">
        <v>3753</v>
      </c>
    </row>
    <row r="625" spans="1:8" ht="45" x14ac:dyDescent="0.3">
      <c r="A625" s="13">
        <v>21409</v>
      </c>
      <c r="B625" s="14" t="s">
        <v>3754</v>
      </c>
      <c r="C625" s="15" t="s">
        <v>3755</v>
      </c>
      <c r="D625" s="15" t="s">
        <v>3756</v>
      </c>
      <c r="E625" s="15" t="s">
        <v>3757</v>
      </c>
      <c r="F625" s="15" t="s">
        <v>3758</v>
      </c>
      <c r="G625" s="15" t="s">
        <v>3756</v>
      </c>
      <c r="H625" s="16" t="s">
        <v>3756</v>
      </c>
    </row>
    <row r="626" spans="1:8" ht="45" x14ac:dyDescent="0.3">
      <c r="A626" s="13">
        <v>21410</v>
      </c>
      <c r="B626" s="14" t="s">
        <v>3759</v>
      </c>
      <c r="C626" s="15" t="s">
        <v>3760</v>
      </c>
      <c r="D626" s="15" t="s">
        <v>3761</v>
      </c>
      <c r="E626" s="15" t="s">
        <v>3762</v>
      </c>
      <c r="F626" s="15" t="s">
        <v>3763</v>
      </c>
      <c r="G626" s="15" t="s">
        <v>3764</v>
      </c>
      <c r="H626" s="16" t="s">
        <v>3765</v>
      </c>
    </row>
    <row r="627" spans="1:8" ht="22.5" x14ac:dyDescent="0.3">
      <c r="A627" s="13">
        <v>21411</v>
      </c>
      <c r="B627" s="14" t="s">
        <v>3766</v>
      </c>
      <c r="C627" s="15" t="s">
        <v>3767</v>
      </c>
      <c r="D627" s="15" t="s">
        <v>3768</v>
      </c>
      <c r="E627" s="15" t="s">
        <v>3768</v>
      </c>
      <c r="F627" s="15" t="s">
        <v>3769</v>
      </c>
      <c r="G627" s="15" t="s">
        <v>3768</v>
      </c>
      <c r="H627" s="16" t="s">
        <v>3770</v>
      </c>
    </row>
    <row r="628" spans="1:8" ht="22.5" x14ac:dyDescent="0.3">
      <c r="A628" s="13" t="s">
        <v>3771</v>
      </c>
      <c r="B628" s="14" t="s">
        <v>19725</v>
      </c>
      <c r="C628" s="15" t="s">
        <v>3772</v>
      </c>
      <c r="D628" s="15"/>
      <c r="E628" s="15"/>
      <c r="F628" s="15" t="s">
        <v>3773</v>
      </c>
      <c r="G628" s="15" t="s">
        <v>3774</v>
      </c>
      <c r="H628" s="16" t="s">
        <v>3775</v>
      </c>
    </row>
    <row r="629" spans="1:8" ht="22.5" x14ac:dyDescent="0.3">
      <c r="A629" s="13" t="s">
        <v>3776</v>
      </c>
      <c r="B629" s="14" t="s">
        <v>19726</v>
      </c>
      <c r="C629" s="15" t="s">
        <v>3777</v>
      </c>
      <c r="D629" s="15"/>
      <c r="E629" s="15"/>
      <c r="F629" s="15" t="s">
        <v>3778</v>
      </c>
      <c r="G629" s="15" t="s">
        <v>3779</v>
      </c>
      <c r="H629" s="16" t="s">
        <v>3780</v>
      </c>
    </row>
    <row r="630" spans="1:8" x14ac:dyDescent="0.3">
      <c r="A630" s="13">
        <v>21412</v>
      </c>
      <c r="B630" s="14" t="s">
        <v>3781</v>
      </c>
      <c r="C630" s="15" t="s">
        <v>3782</v>
      </c>
      <c r="D630" s="15" t="s">
        <v>3783</v>
      </c>
      <c r="E630" s="15"/>
      <c r="F630" s="15" t="s">
        <v>3784</v>
      </c>
      <c r="G630" s="15" t="s">
        <v>3785</v>
      </c>
      <c r="H630" s="16" t="s">
        <v>3786</v>
      </c>
    </row>
    <row r="631" spans="1:8" ht="45" x14ac:dyDescent="0.3">
      <c r="A631" s="13" t="s">
        <v>3787</v>
      </c>
      <c r="B631" s="14" t="s">
        <v>19717</v>
      </c>
      <c r="C631" s="15"/>
      <c r="D631" s="15" t="s">
        <v>3788</v>
      </c>
      <c r="E631" s="15"/>
      <c r="F631" s="15" t="s">
        <v>3789</v>
      </c>
      <c r="G631" s="15" t="s">
        <v>3790</v>
      </c>
      <c r="H631" s="16" t="s">
        <v>3791</v>
      </c>
    </row>
    <row r="632" spans="1:8" ht="33.75" x14ac:dyDescent="0.3">
      <c r="A632" s="13" t="s">
        <v>3792</v>
      </c>
      <c r="B632" s="14" t="s">
        <v>19727</v>
      </c>
      <c r="C632" s="15" t="s">
        <v>3793</v>
      </c>
      <c r="D632" s="15" t="s">
        <v>3794</v>
      </c>
      <c r="E632" s="15" t="s">
        <v>3795</v>
      </c>
      <c r="F632" s="15" t="s">
        <v>3796</v>
      </c>
      <c r="G632" s="15" t="s">
        <v>3797</v>
      </c>
      <c r="H632" s="16" t="s">
        <v>3798</v>
      </c>
    </row>
    <row r="633" spans="1:8" ht="45" x14ac:dyDescent="0.3">
      <c r="A633" s="13">
        <v>21413</v>
      </c>
      <c r="B633" s="14" t="s">
        <v>3799</v>
      </c>
      <c r="C633" s="15" t="s">
        <v>3800</v>
      </c>
      <c r="D633" s="15" t="s">
        <v>3801</v>
      </c>
      <c r="E633" s="15" t="s">
        <v>3802</v>
      </c>
      <c r="F633" s="15" t="s">
        <v>3802</v>
      </c>
      <c r="G633" s="15" t="s">
        <v>3803</v>
      </c>
      <c r="H633" s="16" t="s">
        <v>3804</v>
      </c>
    </row>
    <row r="634" spans="1:8" ht="22.5" x14ac:dyDescent="0.3">
      <c r="A634" s="13" t="s">
        <v>3805</v>
      </c>
      <c r="B634" s="14" t="s">
        <v>19725</v>
      </c>
      <c r="C634" s="15" t="s">
        <v>3806</v>
      </c>
      <c r="D634" s="15" t="s">
        <v>3807</v>
      </c>
      <c r="E634" s="15" t="s">
        <v>3808</v>
      </c>
      <c r="F634" s="15" t="s">
        <v>3809</v>
      </c>
      <c r="G634" s="15" t="s">
        <v>3810</v>
      </c>
      <c r="H634" s="16" t="s">
        <v>3811</v>
      </c>
    </row>
    <row r="635" spans="1:8" ht="33.75" x14ac:dyDescent="0.3">
      <c r="A635" s="13" t="s">
        <v>3812</v>
      </c>
      <c r="B635" s="14" t="s">
        <v>19726</v>
      </c>
      <c r="C635" s="15" t="s">
        <v>3813</v>
      </c>
      <c r="D635" s="15"/>
      <c r="E635" s="15"/>
      <c r="F635" s="15" t="s">
        <v>3814</v>
      </c>
      <c r="G635" s="15" t="s">
        <v>3815</v>
      </c>
      <c r="H635" s="16" t="s">
        <v>3816</v>
      </c>
    </row>
    <row r="636" spans="1:8" ht="22.5" x14ac:dyDescent="0.3">
      <c r="A636" s="13">
        <v>21414</v>
      </c>
      <c r="B636" s="14" t="s">
        <v>3817</v>
      </c>
      <c r="C636" s="15" t="s">
        <v>3818</v>
      </c>
      <c r="D636" s="15" t="s">
        <v>3819</v>
      </c>
      <c r="E636" s="15" t="s">
        <v>3820</v>
      </c>
      <c r="F636" s="15" t="s">
        <v>3821</v>
      </c>
      <c r="G636" s="15" t="s">
        <v>3822</v>
      </c>
      <c r="H636" s="16" t="s">
        <v>3823</v>
      </c>
    </row>
    <row r="637" spans="1:8" ht="22.5" x14ac:dyDescent="0.3">
      <c r="A637" s="13">
        <v>21415</v>
      </c>
      <c r="B637" s="14" t="s">
        <v>3824</v>
      </c>
      <c r="C637" s="15"/>
      <c r="D637" s="15"/>
      <c r="E637" s="15" t="s">
        <v>3825</v>
      </c>
      <c r="F637" s="15" t="s">
        <v>3826</v>
      </c>
      <c r="G637" s="15" t="s">
        <v>3827</v>
      </c>
      <c r="H637" s="16" t="s">
        <v>3828</v>
      </c>
    </row>
    <row r="638" spans="1:8" ht="22.5" x14ac:dyDescent="0.3">
      <c r="A638" s="13" t="s">
        <v>3829</v>
      </c>
      <c r="B638" s="14" t="s">
        <v>19717</v>
      </c>
      <c r="C638" s="15" t="s">
        <v>3830</v>
      </c>
      <c r="D638" s="15" t="s">
        <v>3831</v>
      </c>
      <c r="E638" s="15" t="s">
        <v>3832</v>
      </c>
      <c r="F638" s="15" t="s">
        <v>3833</v>
      </c>
      <c r="G638" s="15" t="s">
        <v>3834</v>
      </c>
      <c r="H638" s="16" t="s">
        <v>3835</v>
      </c>
    </row>
    <row r="639" spans="1:8" ht="33.75" x14ac:dyDescent="0.3">
      <c r="A639" s="13" t="s">
        <v>3836</v>
      </c>
      <c r="B639" s="14" t="s">
        <v>19727</v>
      </c>
      <c r="C639" s="15" t="s">
        <v>3837</v>
      </c>
      <c r="D639" s="15" t="s">
        <v>3838</v>
      </c>
      <c r="E639" s="15" t="s">
        <v>3839</v>
      </c>
      <c r="F639" s="15" t="s">
        <v>3840</v>
      </c>
      <c r="G639" s="15" t="s">
        <v>3841</v>
      </c>
      <c r="H639" s="16" t="s">
        <v>3842</v>
      </c>
    </row>
    <row r="640" spans="1:8" ht="22.5" x14ac:dyDescent="0.3">
      <c r="A640" s="13">
        <v>21416</v>
      </c>
      <c r="B640" s="14" t="s">
        <v>3843</v>
      </c>
      <c r="C640" s="15" t="s">
        <v>3844</v>
      </c>
      <c r="D640" s="15" t="s">
        <v>3845</v>
      </c>
      <c r="E640" s="15" t="s">
        <v>3846</v>
      </c>
      <c r="F640" s="15" t="s">
        <v>3847</v>
      </c>
      <c r="G640" s="15" t="s">
        <v>3848</v>
      </c>
      <c r="H640" s="16" t="s">
        <v>3847</v>
      </c>
    </row>
    <row r="641" spans="1:8" ht="22.5" x14ac:dyDescent="0.3">
      <c r="A641" s="13">
        <v>21417</v>
      </c>
      <c r="B641" s="14" t="s">
        <v>3849</v>
      </c>
      <c r="C641" s="15" t="s">
        <v>3850</v>
      </c>
      <c r="D641" s="15" t="s">
        <v>3851</v>
      </c>
      <c r="E641" s="15" t="s">
        <v>3852</v>
      </c>
      <c r="F641" s="15" t="s">
        <v>3853</v>
      </c>
      <c r="G641" s="15" t="s">
        <v>3854</v>
      </c>
      <c r="H641" s="16" t="s">
        <v>3855</v>
      </c>
    </row>
    <row r="642" spans="1:8" ht="33.75" x14ac:dyDescent="0.3">
      <c r="A642" s="13">
        <v>21418</v>
      </c>
      <c r="B642" s="14" t="s">
        <v>3856</v>
      </c>
      <c r="C642" s="15" t="s">
        <v>3857</v>
      </c>
      <c r="D642" s="15"/>
      <c r="E642" s="15" t="s">
        <v>3858</v>
      </c>
      <c r="F642" s="15" t="s">
        <v>3859</v>
      </c>
      <c r="G642" s="15" t="s">
        <v>3856</v>
      </c>
      <c r="H642" s="16" t="s">
        <v>3860</v>
      </c>
    </row>
    <row r="643" spans="1:8" ht="33.75" x14ac:dyDescent="0.3">
      <c r="A643" s="13">
        <v>21419</v>
      </c>
      <c r="B643" s="14" t="s">
        <v>3861</v>
      </c>
      <c r="C643" s="15" t="s">
        <v>3862</v>
      </c>
      <c r="D643" s="15" t="s">
        <v>3863</v>
      </c>
      <c r="E643" s="15" t="s">
        <v>3864</v>
      </c>
      <c r="F643" s="15" t="s">
        <v>3865</v>
      </c>
      <c r="G643" s="15" t="s">
        <v>3861</v>
      </c>
      <c r="H643" s="16" t="s">
        <v>3861</v>
      </c>
    </row>
    <row r="644" spans="1:8" ht="56.25" x14ac:dyDescent="0.3">
      <c r="A644" s="13">
        <v>21420</v>
      </c>
      <c r="B644" s="14" t="s">
        <v>3866</v>
      </c>
      <c r="C644" s="15" t="s">
        <v>3867</v>
      </c>
      <c r="D644" s="15" t="s">
        <v>3868</v>
      </c>
      <c r="E644" s="15" t="s">
        <v>3869</v>
      </c>
      <c r="F644" s="15" t="s">
        <v>3870</v>
      </c>
      <c r="G644" s="15" t="s">
        <v>3871</v>
      </c>
      <c r="H644" s="16" t="s">
        <v>3871</v>
      </c>
    </row>
    <row r="645" spans="1:8" ht="22.5" x14ac:dyDescent="0.3">
      <c r="A645" s="13">
        <v>21421</v>
      </c>
      <c r="B645" s="14" t="s">
        <v>3872</v>
      </c>
      <c r="C645" s="15" t="s">
        <v>3873</v>
      </c>
      <c r="D645" s="15" t="s">
        <v>3874</v>
      </c>
      <c r="E645" s="15" t="s">
        <v>3875</v>
      </c>
      <c r="F645" s="15" t="s">
        <v>3876</v>
      </c>
      <c r="G645" s="15" t="s">
        <v>3877</v>
      </c>
      <c r="H645" s="16" t="s">
        <v>3878</v>
      </c>
    </row>
    <row r="646" spans="1:8" ht="56.25" x14ac:dyDescent="0.3">
      <c r="A646" s="13" t="s">
        <v>3879</v>
      </c>
      <c r="B646" s="14" t="s">
        <v>3880</v>
      </c>
      <c r="C646" s="15" t="s">
        <v>3881</v>
      </c>
      <c r="D646" s="15" t="s">
        <v>3882</v>
      </c>
      <c r="E646" s="15" t="s">
        <v>3883</v>
      </c>
      <c r="F646" s="15" t="s">
        <v>3884</v>
      </c>
      <c r="G646" s="15" t="s">
        <v>3885</v>
      </c>
      <c r="H646" s="16" t="s">
        <v>3886</v>
      </c>
    </row>
    <row r="647" spans="1:8" ht="45" x14ac:dyDescent="0.3">
      <c r="A647" s="13">
        <v>21422</v>
      </c>
      <c r="B647" s="14" t="s">
        <v>3887</v>
      </c>
      <c r="C647" s="15" t="s">
        <v>3888</v>
      </c>
      <c r="D647" s="15" t="s">
        <v>3889</v>
      </c>
      <c r="E647" s="15" t="s">
        <v>3890</v>
      </c>
      <c r="F647" s="15" t="s">
        <v>3891</v>
      </c>
      <c r="G647" s="15" t="s">
        <v>3892</v>
      </c>
      <c r="H647" s="16" t="s">
        <v>3893</v>
      </c>
    </row>
    <row r="648" spans="1:8" ht="33.75" x14ac:dyDescent="0.3">
      <c r="A648" s="13">
        <v>21423</v>
      </c>
      <c r="B648" s="14" t="s">
        <v>3894</v>
      </c>
      <c r="C648" s="15" t="s">
        <v>3895</v>
      </c>
      <c r="D648" s="15" t="s">
        <v>3896</v>
      </c>
      <c r="E648" s="15" t="s">
        <v>3894</v>
      </c>
      <c r="F648" s="15" t="s">
        <v>3894</v>
      </c>
      <c r="G648" s="15" t="s">
        <v>3894</v>
      </c>
      <c r="H648" s="16" t="s">
        <v>3897</v>
      </c>
    </row>
    <row r="649" spans="1:8" ht="45" x14ac:dyDescent="0.3">
      <c r="A649" s="13">
        <v>21424</v>
      </c>
      <c r="B649" s="14" t="s">
        <v>3898</v>
      </c>
      <c r="C649" s="15" t="s">
        <v>3899</v>
      </c>
      <c r="D649" s="15" t="s">
        <v>3900</v>
      </c>
      <c r="E649" s="15" t="s">
        <v>3901</v>
      </c>
      <c r="F649" s="15" t="s">
        <v>3902</v>
      </c>
      <c r="G649" s="15" t="s">
        <v>3903</v>
      </c>
      <c r="H649" s="16" t="s">
        <v>3904</v>
      </c>
    </row>
    <row r="650" spans="1:8" ht="45" x14ac:dyDescent="0.3">
      <c r="A650" s="13">
        <v>21425</v>
      </c>
      <c r="B650" s="14" t="s">
        <v>3905</v>
      </c>
      <c r="C650" s="15" t="s">
        <v>3906</v>
      </c>
      <c r="D650" s="15" t="s">
        <v>3907</v>
      </c>
      <c r="E650" s="15" t="s">
        <v>3908</v>
      </c>
      <c r="F650" s="15" t="s">
        <v>3909</v>
      </c>
      <c r="G650" s="15" t="s">
        <v>3905</v>
      </c>
      <c r="H650" s="16" t="s">
        <v>3910</v>
      </c>
    </row>
    <row r="651" spans="1:8" ht="22.5" x14ac:dyDescent="0.3">
      <c r="A651" s="13">
        <v>21426</v>
      </c>
      <c r="B651" s="14" t="s">
        <v>3911</v>
      </c>
      <c r="C651" s="15" t="s">
        <v>3912</v>
      </c>
      <c r="D651" s="15" t="s">
        <v>3913</v>
      </c>
      <c r="E651" s="15" t="s">
        <v>3914</v>
      </c>
      <c r="F651" s="15" t="s">
        <v>3915</v>
      </c>
      <c r="G651" s="15" t="s">
        <v>3916</v>
      </c>
      <c r="H651" s="16" t="s">
        <v>3917</v>
      </c>
    </row>
    <row r="652" spans="1:8" ht="22.5" x14ac:dyDescent="0.3">
      <c r="A652" s="13">
        <v>21427</v>
      </c>
      <c r="B652" s="14" t="s">
        <v>3918</v>
      </c>
      <c r="C652" s="15" t="s">
        <v>3919</v>
      </c>
      <c r="D652" s="15" t="s">
        <v>3920</v>
      </c>
      <c r="E652" s="15" t="s">
        <v>3921</v>
      </c>
      <c r="F652" s="15" t="s">
        <v>3922</v>
      </c>
      <c r="G652" s="15" t="s">
        <v>3923</v>
      </c>
      <c r="H652" s="16" t="s">
        <v>3924</v>
      </c>
    </row>
    <row r="653" spans="1:8" ht="45" x14ac:dyDescent="0.3">
      <c r="A653" s="13" t="s">
        <v>3925</v>
      </c>
      <c r="B653" s="14" t="s">
        <v>3926</v>
      </c>
      <c r="C653" s="15" t="s">
        <v>3927</v>
      </c>
      <c r="D653" s="15" t="s">
        <v>3928</v>
      </c>
      <c r="E653" s="15" t="s">
        <v>3929</v>
      </c>
      <c r="F653" s="15" t="s">
        <v>3930</v>
      </c>
      <c r="G653" s="15"/>
      <c r="H653" s="16" t="s">
        <v>3931</v>
      </c>
    </row>
    <row r="654" spans="1:8" ht="22.5" x14ac:dyDescent="0.3">
      <c r="A654" s="13">
        <v>21428</v>
      </c>
      <c r="B654" s="14" t="s">
        <v>3932</v>
      </c>
      <c r="C654" s="15" t="s">
        <v>3933</v>
      </c>
      <c r="D654" s="15" t="s">
        <v>3934</v>
      </c>
      <c r="E654" s="15" t="s">
        <v>3935</v>
      </c>
      <c r="F654" s="15" t="s">
        <v>3936</v>
      </c>
      <c r="G654" s="15" t="s">
        <v>3937</v>
      </c>
      <c r="H654" s="16" t="s">
        <v>3938</v>
      </c>
    </row>
    <row r="655" spans="1:8" x14ac:dyDescent="0.3">
      <c r="A655" s="13">
        <v>21429</v>
      </c>
      <c r="B655" s="14" t="s">
        <v>3939</v>
      </c>
      <c r="C655" s="15" t="s">
        <v>3940</v>
      </c>
      <c r="D655" s="15" t="s">
        <v>3941</v>
      </c>
      <c r="E655" s="15" t="s">
        <v>3942</v>
      </c>
      <c r="F655" s="15" t="s">
        <v>3943</v>
      </c>
      <c r="G655" s="15" t="s">
        <v>3944</v>
      </c>
      <c r="H655" s="16" t="s">
        <v>3945</v>
      </c>
    </row>
    <row r="656" spans="1:8" ht="45" x14ac:dyDescent="0.3">
      <c r="A656" s="13">
        <v>21430</v>
      </c>
      <c r="B656" s="14" t="s">
        <v>3946</v>
      </c>
      <c r="C656" s="15" t="s">
        <v>3947</v>
      </c>
      <c r="D656" s="15" t="s">
        <v>3948</v>
      </c>
      <c r="E656" s="15" t="s">
        <v>3949</v>
      </c>
      <c r="F656" s="15" t="s">
        <v>3950</v>
      </c>
      <c r="G656" s="15" t="s">
        <v>3951</v>
      </c>
      <c r="H656" s="16" t="s">
        <v>3952</v>
      </c>
    </row>
    <row r="657" spans="1:8" ht="22.5" x14ac:dyDescent="0.3">
      <c r="A657" s="13" t="s">
        <v>3953</v>
      </c>
      <c r="B657" s="14" t="s">
        <v>19726</v>
      </c>
      <c r="C657" s="15" t="s">
        <v>3954</v>
      </c>
      <c r="D657" s="15"/>
      <c r="E657" s="15" t="s">
        <v>3955</v>
      </c>
      <c r="F657" s="15"/>
      <c r="G657" s="15" t="s">
        <v>3956</v>
      </c>
      <c r="H657" s="16" t="s">
        <v>3957</v>
      </c>
    </row>
    <row r="658" spans="1:8" ht="33.75" x14ac:dyDescent="0.3">
      <c r="A658" s="13">
        <v>21431</v>
      </c>
      <c r="B658" s="14" t="s">
        <v>3958</v>
      </c>
      <c r="C658" s="15" t="s">
        <v>3959</v>
      </c>
      <c r="D658" s="15" t="s">
        <v>3960</v>
      </c>
      <c r="E658" s="15" t="s">
        <v>3961</v>
      </c>
      <c r="F658" s="15" t="s">
        <v>3962</v>
      </c>
      <c r="G658" s="15" t="s">
        <v>3959</v>
      </c>
      <c r="H658" s="16" t="s">
        <v>3963</v>
      </c>
    </row>
    <row r="659" spans="1:8" ht="22.5" x14ac:dyDescent="0.3">
      <c r="A659" s="13">
        <v>21432</v>
      </c>
      <c r="B659" s="14" t="s">
        <v>3964</v>
      </c>
      <c r="C659" s="15" t="s">
        <v>3965</v>
      </c>
      <c r="D659" s="15" t="s">
        <v>3966</v>
      </c>
      <c r="E659" s="15" t="s">
        <v>3967</v>
      </c>
      <c r="F659" s="15" t="s">
        <v>3968</v>
      </c>
      <c r="G659" s="15" t="s">
        <v>3969</v>
      </c>
      <c r="H659" s="16" t="s">
        <v>3970</v>
      </c>
    </row>
    <row r="660" spans="1:8" ht="33.75" x14ac:dyDescent="0.3">
      <c r="A660" s="13">
        <v>21433</v>
      </c>
      <c r="B660" s="14" t="s">
        <v>3971</v>
      </c>
      <c r="C660" s="15" t="s">
        <v>3972</v>
      </c>
      <c r="D660" s="15" t="s">
        <v>3971</v>
      </c>
      <c r="E660" s="15" t="s">
        <v>3973</v>
      </c>
      <c r="F660" s="15" t="s">
        <v>3971</v>
      </c>
      <c r="G660" s="15" t="s">
        <v>3974</v>
      </c>
      <c r="H660" s="16" t="s">
        <v>3975</v>
      </c>
    </row>
    <row r="661" spans="1:8" ht="22.5" x14ac:dyDescent="0.3">
      <c r="A661" s="13">
        <v>21434</v>
      </c>
      <c r="B661" s="14" t="s">
        <v>3976</v>
      </c>
      <c r="C661" s="15" t="s">
        <v>3977</v>
      </c>
      <c r="D661" s="15" t="s">
        <v>3978</v>
      </c>
      <c r="E661" s="15" t="s">
        <v>3979</v>
      </c>
      <c r="F661" s="15" t="s">
        <v>3980</v>
      </c>
      <c r="G661" s="15" t="s">
        <v>3981</v>
      </c>
      <c r="H661" s="16" t="s">
        <v>3982</v>
      </c>
    </row>
    <row r="662" spans="1:8" ht="45" x14ac:dyDescent="0.3">
      <c r="A662" s="13">
        <v>21435</v>
      </c>
      <c r="B662" s="14" t="s">
        <v>3983</v>
      </c>
      <c r="C662" s="15" t="s">
        <v>3984</v>
      </c>
      <c r="D662" s="15" t="s">
        <v>3985</v>
      </c>
      <c r="E662" s="15" t="s">
        <v>3986</v>
      </c>
      <c r="F662" s="15" t="s">
        <v>3987</v>
      </c>
      <c r="G662" s="15" t="s">
        <v>3988</v>
      </c>
      <c r="H662" s="16" t="s">
        <v>3989</v>
      </c>
    </row>
    <row r="663" spans="1:8" ht="22.5" x14ac:dyDescent="0.3">
      <c r="A663" s="13">
        <v>21436</v>
      </c>
      <c r="B663" s="14" t="s">
        <v>3990</v>
      </c>
      <c r="C663" s="15" t="s">
        <v>3991</v>
      </c>
      <c r="D663" s="15" t="s">
        <v>3992</v>
      </c>
      <c r="E663" s="15" t="s">
        <v>3992</v>
      </c>
      <c r="F663" s="15" t="s">
        <v>3993</v>
      </c>
      <c r="G663" s="15" t="s">
        <v>3992</v>
      </c>
      <c r="H663" s="16" t="s">
        <v>3994</v>
      </c>
    </row>
    <row r="664" spans="1:8" x14ac:dyDescent="0.3">
      <c r="A664" s="13">
        <v>21437</v>
      </c>
      <c r="B664" s="14" t="s">
        <v>3995</v>
      </c>
      <c r="C664" s="15" t="s">
        <v>3996</v>
      </c>
      <c r="D664" s="15" t="s">
        <v>3997</v>
      </c>
      <c r="E664" s="15" t="s">
        <v>3995</v>
      </c>
      <c r="F664" s="15" t="s">
        <v>3998</v>
      </c>
      <c r="G664" s="15" t="s">
        <v>3995</v>
      </c>
      <c r="H664" s="16" t="s">
        <v>3995</v>
      </c>
    </row>
    <row r="665" spans="1:8" ht="22.5" x14ac:dyDescent="0.3">
      <c r="A665" s="13">
        <v>21438</v>
      </c>
      <c r="B665" s="14" t="s">
        <v>3999</v>
      </c>
      <c r="C665" s="15" t="s">
        <v>4000</v>
      </c>
      <c r="D665" s="15" t="s">
        <v>4001</v>
      </c>
      <c r="E665" s="15" t="s">
        <v>4001</v>
      </c>
      <c r="F665" s="15" t="s">
        <v>4002</v>
      </c>
      <c r="G665" s="15" t="s">
        <v>4001</v>
      </c>
      <c r="H665" s="16" t="s">
        <v>4003</v>
      </c>
    </row>
    <row r="666" spans="1:8" ht="22.5" x14ac:dyDescent="0.3">
      <c r="A666" s="13">
        <v>21439</v>
      </c>
      <c r="B666" s="14" t="s">
        <v>4004</v>
      </c>
      <c r="C666" s="15" t="s">
        <v>4005</v>
      </c>
      <c r="D666" s="15" t="s">
        <v>4004</v>
      </c>
      <c r="E666" s="15" t="s">
        <v>4006</v>
      </c>
      <c r="F666" s="15" t="s">
        <v>4007</v>
      </c>
      <c r="G666" s="15" t="s">
        <v>4008</v>
      </c>
      <c r="H666" s="16" t="s">
        <v>4007</v>
      </c>
    </row>
    <row r="667" spans="1:8" x14ac:dyDescent="0.3">
      <c r="A667" s="13" t="s">
        <v>4009</v>
      </c>
      <c r="B667" s="14" t="s">
        <v>4010</v>
      </c>
      <c r="C667" s="15" t="s">
        <v>4011</v>
      </c>
      <c r="D667" s="15" t="s">
        <v>4012</v>
      </c>
      <c r="E667" s="15" t="s">
        <v>4013</v>
      </c>
      <c r="F667" s="15" t="s">
        <v>4014</v>
      </c>
      <c r="G667" s="15" t="s">
        <v>4015</v>
      </c>
      <c r="H667" s="16" t="s">
        <v>4010</v>
      </c>
    </row>
    <row r="668" spans="1:8" ht="22.5" x14ac:dyDescent="0.3">
      <c r="A668" s="13">
        <v>21440</v>
      </c>
      <c r="B668" s="14" t="s">
        <v>4016</v>
      </c>
      <c r="C668" s="15" t="s">
        <v>4017</v>
      </c>
      <c r="D668" s="15" t="s">
        <v>4018</v>
      </c>
      <c r="E668" s="15" t="s">
        <v>4016</v>
      </c>
      <c r="F668" s="15" t="s">
        <v>4019</v>
      </c>
      <c r="G668" s="15" t="s">
        <v>4016</v>
      </c>
      <c r="H668" s="16" t="s">
        <v>4016</v>
      </c>
    </row>
    <row r="669" spans="1:8" ht="22.5" x14ac:dyDescent="0.3">
      <c r="A669" s="13">
        <v>21441</v>
      </c>
      <c r="B669" s="14" t="s">
        <v>4020</v>
      </c>
      <c r="C669" s="15" t="s">
        <v>4021</v>
      </c>
      <c r="D669" s="15" t="s">
        <v>4022</v>
      </c>
      <c r="E669" s="15" t="s">
        <v>4023</v>
      </c>
      <c r="F669" s="15" t="s">
        <v>4024</v>
      </c>
      <c r="G669" s="15" t="s">
        <v>4025</v>
      </c>
      <c r="H669" s="16" t="s">
        <v>4026</v>
      </c>
    </row>
    <row r="670" spans="1:8" ht="22.5" x14ac:dyDescent="0.3">
      <c r="A670" s="13">
        <v>21442</v>
      </c>
      <c r="B670" s="14" t="s">
        <v>4027</v>
      </c>
      <c r="C670" s="15" t="s">
        <v>4028</v>
      </c>
      <c r="D670" s="15" t="s">
        <v>4029</v>
      </c>
      <c r="E670" s="15" t="s">
        <v>4030</v>
      </c>
      <c r="F670" s="15" t="s">
        <v>4031</v>
      </c>
      <c r="G670" s="15" t="s">
        <v>4032</v>
      </c>
      <c r="H670" s="16" t="s">
        <v>4030</v>
      </c>
    </row>
    <row r="671" spans="1:8" ht="33.75" x14ac:dyDescent="0.3">
      <c r="A671" s="13">
        <v>21443</v>
      </c>
      <c r="B671" s="14" t="s">
        <v>4033</v>
      </c>
      <c r="C671" s="15" t="s">
        <v>4034</v>
      </c>
      <c r="D671" s="15" t="s">
        <v>4035</v>
      </c>
      <c r="E671" s="15" t="s">
        <v>4036</v>
      </c>
      <c r="F671" s="15" t="s">
        <v>4037</v>
      </c>
      <c r="G671" s="15" t="s">
        <v>4038</v>
      </c>
      <c r="H671" s="16" t="s">
        <v>4039</v>
      </c>
    </row>
    <row r="672" spans="1:8" ht="22.5" x14ac:dyDescent="0.3">
      <c r="A672" s="13">
        <v>21501</v>
      </c>
      <c r="B672" s="14" t="s">
        <v>4040</v>
      </c>
      <c r="C672" s="15" t="s">
        <v>4041</v>
      </c>
      <c r="D672" s="15" t="s">
        <v>4042</v>
      </c>
      <c r="E672" s="15" t="s">
        <v>4043</v>
      </c>
      <c r="F672" s="15" t="s">
        <v>4044</v>
      </c>
      <c r="G672" s="15" t="s">
        <v>4045</v>
      </c>
      <c r="H672" s="16" t="s">
        <v>4046</v>
      </c>
    </row>
    <row r="673" spans="1:8" ht="22.5" x14ac:dyDescent="0.3">
      <c r="A673" s="13">
        <v>21502</v>
      </c>
      <c r="B673" s="14" t="s">
        <v>4047</v>
      </c>
      <c r="C673" s="15" t="s">
        <v>4048</v>
      </c>
      <c r="D673" s="15" t="s">
        <v>4049</v>
      </c>
      <c r="E673" s="15" t="s">
        <v>4050</v>
      </c>
      <c r="F673" s="15" t="s">
        <v>4051</v>
      </c>
      <c r="G673" s="15" t="s">
        <v>4052</v>
      </c>
      <c r="H673" s="16" t="s">
        <v>4053</v>
      </c>
    </row>
    <row r="674" spans="1:8" ht="22.5" x14ac:dyDescent="0.3">
      <c r="A674" s="13">
        <v>21503</v>
      </c>
      <c r="B674" s="14" t="s">
        <v>4054</v>
      </c>
      <c r="C674" s="15" t="s">
        <v>4055</v>
      </c>
      <c r="D674" s="15" t="s">
        <v>4056</v>
      </c>
      <c r="E674" s="15" t="s">
        <v>4057</v>
      </c>
      <c r="F674" s="15" t="s">
        <v>4056</v>
      </c>
      <c r="G674" s="15" t="s">
        <v>4056</v>
      </c>
      <c r="H674" s="16" t="s">
        <v>4056</v>
      </c>
    </row>
    <row r="675" spans="1:8" ht="22.5" x14ac:dyDescent="0.3">
      <c r="A675" s="13">
        <v>21504</v>
      </c>
      <c r="B675" s="14" t="s">
        <v>4058</v>
      </c>
      <c r="C675" s="15" t="s">
        <v>57</v>
      </c>
      <c r="D675" s="15" t="s">
        <v>57</v>
      </c>
      <c r="E675" s="15" t="s">
        <v>57</v>
      </c>
      <c r="F675" s="15" t="s">
        <v>4059</v>
      </c>
      <c r="G675" s="15" t="s">
        <v>57</v>
      </c>
      <c r="H675" s="16" t="s">
        <v>4060</v>
      </c>
    </row>
    <row r="676" spans="1:8" ht="22.5" x14ac:dyDescent="0.3">
      <c r="A676" s="13">
        <v>21505</v>
      </c>
      <c r="B676" s="14" t="s">
        <v>4061</v>
      </c>
      <c r="C676" s="15" t="s">
        <v>4062</v>
      </c>
      <c r="D676" s="15" t="s">
        <v>4063</v>
      </c>
      <c r="E676" s="15" t="s">
        <v>4064</v>
      </c>
      <c r="F676" s="15" t="s">
        <v>4064</v>
      </c>
      <c r="G676" s="15" t="s">
        <v>4065</v>
      </c>
      <c r="H676" s="16" t="s">
        <v>4066</v>
      </c>
    </row>
    <row r="677" spans="1:8" ht="45" x14ac:dyDescent="0.3">
      <c r="A677" s="13" t="s">
        <v>4067</v>
      </c>
      <c r="B677" s="14" t="s">
        <v>19731</v>
      </c>
      <c r="C677" s="15" t="s">
        <v>4068</v>
      </c>
      <c r="D677" s="15" t="s">
        <v>4069</v>
      </c>
      <c r="E677" s="15" t="s">
        <v>4070</v>
      </c>
      <c r="F677" s="15" t="s">
        <v>4071</v>
      </c>
      <c r="G677" s="15" t="s">
        <v>4072</v>
      </c>
      <c r="H677" s="16" t="s">
        <v>4073</v>
      </c>
    </row>
    <row r="678" spans="1:8" ht="22.5" x14ac:dyDescent="0.3">
      <c r="A678" s="13" t="s">
        <v>4074</v>
      </c>
      <c r="B678" s="14" t="s">
        <v>4075</v>
      </c>
      <c r="C678" s="15" t="s">
        <v>4076</v>
      </c>
      <c r="D678" s="15" t="s">
        <v>4077</v>
      </c>
      <c r="E678" s="15" t="s">
        <v>4078</v>
      </c>
      <c r="F678" s="15" t="s">
        <v>4079</v>
      </c>
      <c r="G678" s="15" t="s">
        <v>4080</v>
      </c>
      <c r="H678" s="16" t="s">
        <v>4081</v>
      </c>
    </row>
    <row r="679" spans="1:8" ht="45" x14ac:dyDescent="0.3">
      <c r="A679" s="13" t="s">
        <v>4082</v>
      </c>
      <c r="B679" s="14" t="s">
        <v>4083</v>
      </c>
      <c r="C679" s="15" t="s">
        <v>4084</v>
      </c>
      <c r="D679" s="15" t="s">
        <v>4085</v>
      </c>
      <c r="E679" s="15" t="s">
        <v>4086</v>
      </c>
      <c r="F679" s="15" t="s">
        <v>57</v>
      </c>
      <c r="G679" s="15" t="s">
        <v>4087</v>
      </c>
      <c r="H679" s="16" t="s">
        <v>4088</v>
      </c>
    </row>
    <row r="680" spans="1:8" x14ac:dyDescent="0.3">
      <c r="A680" s="13" t="s">
        <v>4089</v>
      </c>
      <c r="B680" s="14" t="s">
        <v>4090</v>
      </c>
      <c r="C680" s="15" t="s">
        <v>4091</v>
      </c>
      <c r="D680" s="15" t="s">
        <v>4090</v>
      </c>
      <c r="E680" s="15" t="s">
        <v>4092</v>
      </c>
      <c r="F680" s="15" t="s">
        <v>4090</v>
      </c>
      <c r="G680" s="15" t="s">
        <v>4090</v>
      </c>
      <c r="H680" s="16" t="s">
        <v>4090</v>
      </c>
    </row>
    <row r="681" spans="1:8" x14ac:dyDescent="0.3">
      <c r="A681" s="13" t="s">
        <v>4093</v>
      </c>
      <c r="B681" s="14" t="s">
        <v>4094</v>
      </c>
      <c r="C681" s="15" t="s">
        <v>4095</v>
      </c>
      <c r="D681" s="15" t="s">
        <v>4096</v>
      </c>
      <c r="E681" s="15" t="s">
        <v>4094</v>
      </c>
      <c r="F681" s="15" t="s">
        <v>4094</v>
      </c>
      <c r="G681" s="15" t="s">
        <v>4097</v>
      </c>
      <c r="H681" s="16" t="s">
        <v>4098</v>
      </c>
    </row>
    <row r="682" spans="1:8" ht="22.5" x14ac:dyDescent="0.3">
      <c r="A682" s="13" t="s">
        <v>4099</v>
      </c>
      <c r="B682" s="14" t="s">
        <v>4100</v>
      </c>
      <c r="C682" s="15" t="s">
        <v>4101</v>
      </c>
      <c r="D682" s="15" t="s">
        <v>4102</v>
      </c>
      <c r="E682" s="15" t="s">
        <v>4103</v>
      </c>
      <c r="F682" s="15" t="s">
        <v>4104</v>
      </c>
      <c r="G682" s="15" t="s">
        <v>4105</v>
      </c>
      <c r="H682" s="16" t="s">
        <v>4106</v>
      </c>
    </row>
    <row r="683" spans="1:8" ht="33.75" x14ac:dyDescent="0.3">
      <c r="A683" s="13">
        <v>21506</v>
      </c>
      <c r="B683" s="14" t="s">
        <v>4107</v>
      </c>
      <c r="C683" s="15" t="s">
        <v>57</v>
      </c>
      <c r="D683" s="15" t="s">
        <v>4108</v>
      </c>
      <c r="E683" s="15" t="s">
        <v>57</v>
      </c>
      <c r="F683" s="15" t="s">
        <v>4109</v>
      </c>
      <c r="G683" s="15"/>
      <c r="H683" s="16" t="s">
        <v>57</v>
      </c>
    </row>
    <row r="684" spans="1:8" ht="22.5" x14ac:dyDescent="0.3">
      <c r="A684" s="13">
        <v>21507</v>
      </c>
      <c r="B684" s="14" t="s">
        <v>4110</v>
      </c>
      <c r="C684" s="15" t="s">
        <v>4111</v>
      </c>
      <c r="D684" s="15"/>
      <c r="E684" s="15" t="s">
        <v>4112</v>
      </c>
      <c r="F684" s="15"/>
      <c r="G684" s="15" t="s">
        <v>4113</v>
      </c>
      <c r="H684" s="16" t="s">
        <v>4114</v>
      </c>
    </row>
    <row r="685" spans="1:8" ht="56.25" x14ac:dyDescent="0.3">
      <c r="A685" s="13" t="s">
        <v>4115</v>
      </c>
      <c r="B685" s="14" t="s">
        <v>19725</v>
      </c>
      <c r="C685" s="15" t="s">
        <v>4116</v>
      </c>
      <c r="D685" s="15" t="s">
        <v>4117</v>
      </c>
      <c r="E685" s="15" t="s">
        <v>4118</v>
      </c>
      <c r="F685" s="15" t="s">
        <v>4119</v>
      </c>
      <c r="G685" s="15" t="s">
        <v>4120</v>
      </c>
      <c r="H685" s="16" t="s">
        <v>4121</v>
      </c>
    </row>
    <row r="686" spans="1:8" x14ac:dyDescent="0.3">
      <c r="A686" s="13" t="s">
        <v>4122</v>
      </c>
      <c r="B686" s="14" t="s">
        <v>19726</v>
      </c>
      <c r="C686" s="15" t="s">
        <v>4123</v>
      </c>
      <c r="D686" s="15"/>
      <c r="E686" s="15" t="s">
        <v>4124</v>
      </c>
      <c r="F686" s="15"/>
      <c r="G686" s="15" t="s">
        <v>4125</v>
      </c>
      <c r="H686" s="16" t="s">
        <v>4126</v>
      </c>
    </row>
    <row r="687" spans="1:8" ht="33.75" x14ac:dyDescent="0.3">
      <c r="A687" s="13" t="s">
        <v>4127</v>
      </c>
      <c r="B687" s="14" t="s">
        <v>4128</v>
      </c>
      <c r="C687" s="15" t="s">
        <v>4129</v>
      </c>
      <c r="D687" s="15" t="s">
        <v>4130</v>
      </c>
      <c r="E687" s="15" t="s">
        <v>4130</v>
      </c>
      <c r="F687" s="15" t="s">
        <v>4130</v>
      </c>
      <c r="G687" s="15" t="s">
        <v>4131</v>
      </c>
      <c r="H687" s="16" t="s">
        <v>4132</v>
      </c>
    </row>
    <row r="688" spans="1:8" ht="45" x14ac:dyDescent="0.3">
      <c r="A688" s="13">
        <v>21508</v>
      </c>
      <c r="B688" s="14" t="s">
        <v>4133</v>
      </c>
      <c r="C688" s="15" t="s">
        <v>4134</v>
      </c>
      <c r="D688" s="15" t="s">
        <v>4135</v>
      </c>
      <c r="E688" s="15" t="s">
        <v>4136</v>
      </c>
      <c r="F688" s="15" t="s">
        <v>4137</v>
      </c>
      <c r="G688" s="15" t="s">
        <v>4138</v>
      </c>
      <c r="H688" s="16" t="s">
        <v>4139</v>
      </c>
    </row>
    <row r="689" spans="1:8" ht="67.5" x14ac:dyDescent="0.3">
      <c r="A689" s="13" t="s">
        <v>4140</v>
      </c>
      <c r="B689" s="14" t="s">
        <v>4141</v>
      </c>
      <c r="C689" s="15" t="s">
        <v>4142</v>
      </c>
      <c r="D689" s="15" t="s">
        <v>4143</v>
      </c>
      <c r="E689" s="15" t="s">
        <v>4144</v>
      </c>
      <c r="F689" s="15" t="s">
        <v>4145</v>
      </c>
      <c r="G689" s="15" t="s">
        <v>4146</v>
      </c>
      <c r="H689" s="16" t="s">
        <v>4147</v>
      </c>
    </row>
    <row r="690" spans="1:8" ht="45" x14ac:dyDescent="0.3">
      <c r="A690" s="13" t="s">
        <v>4148</v>
      </c>
      <c r="B690" s="14" t="s">
        <v>4149</v>
      </c>
      <c r="C690" s="15" t="s">
        <v>4150</v>
      </c>
      <c r="D690" s="15" t="s">
        <v>4151</v>
      </c>
      <c r="E690" s="15" t="s">
        <v>4152</v>
      </c>
      <c r="F690" s="15" t="s">
        <v>4153</v>
      </c>
      <c r="G690" s="15" t="s">
        <v>4154</v>
      </c>
      <c r="H690" s="16" t="s">
        <v>4154</v>
      </c>
    </row>
    <row r="691" spans="1:8" ht="45" x14ac:dyDescent="0.3">
      <c r="A691" s="13" t="s">
        <v>4155</v>
      </c>
      <c r="B691" s="14" t="s">
        <v>4156</v>
      </c>
      <c r="C691" s="15" t="s">
        <v>4157</v>
      </c>
      <c r="D691" s="15" t="s">
        <v>4156</v>
      </c>
      <c r="E691" s="15" t="s">
        <v>4158</v>
      </c>
      <c r="F691" s="15" t="s">
        <v>4159</v>
      </c>
      <c r="G691" s="15" t="s">
        <v>4160</v>
      </c>
      <c r="H691" s="16" t="s">
        <v>4161</v>
      </c>
    </row>
    <row r="692" spans="1:8" ht="33.75" x14ac:dyDescent="0.3">
      <c r="A692" s="13" t="s">
        <v>4162</v>
      </c>
      <c r="B692" s="14" t="s">
        <v>4110</v>
      </c>
      <c r="C692" s="15" t="s">
        <v>4163</v>
      </c>
      <c r="D692" s="15" t="s">
        <v>4164</v>
      </c>
      <c r="E692" s="15" t="s">
        <v>4165</v>
      </c>
      <c r="F692" s="15" t="s">
        <v>4166</v>
      </c>
      <c r="G692" s="15" t="s">
        <v>4167</v>
      </c>
      <c r="H692" s="16" t="s">
        <v>4168</v>
      </c>
    </row>
    <row r="693" spans="1:8" ht="22.5" x14ac:dyDescent="0.3">
      <c r="A693" s="13" t="s">
        <v>4169</v>
      </c>
      <c r="B693" s="14" t="s">
        <v>4170</v>
      </c>
      <c r="C693" s="15" t="s">
        <v>4171</v>
      </c>
      <c r="D693" s="15" t="s">
        <v>4172</v>
      </c>
      <c r="E693" s="15" t="s">
        <v>4173</v>
      </c>
      <c r="F693" s="15" t="s">
        <v>4174</v>
      </c>
      <c r="G693" s="15" t="s">
        <v>4175</v>
      </c>
      <c r="H693" s="16" t="s">
        <v>4170</v>
      </c>
    </row>
    <row r="694" spans="1:8" ht="56.25" x14ac:dyDescent="0.3">
      <c r="A694" s="13">
        <v>21509</v>
      </c>
      <c r="B694" s="14" t="s">
        <v>4176</v>
      </c>
      <c r="C694" s="15" t="s">
        <v>4177</v>
      </c>
      <c r="D694" s="15" t="s">
        <v>4178</v>
      </c>
      <c r="E694" s="15" t="s">
        <v>4179</v>
      </c>
      <c r="F694" s="15" t="s">
        <v>4180</v>
      </c>
      <c r="G694" s="15" t="s">
        <v>4181</v>
      </c>
      <c r="H694" s="16" t="s">
        <v>4182</v>
      </c>
    </row>
    <row r="695" spans="1:8" ht="22.5" x14ac:dyDescent="0.3">
      <c r="A695" s="13" t="s">
        <v>4183</v>
      </c>
      <c r="B695" s="14" t="s">
        <v>4184</v>
      </c>
      <c r="C695" s="15" t="s">
        <v>4185</v>
      </c>
      <c r="D695" s="15"/>
      <c r="E695" s="15" t="s">
        <v>4186</v>
      </c>
      <c r="F695" s="15"/>
      <c r="G695" s="15" t="s">
        <v>57</v>
      </c>
      <c r="H695" s="16" t="s">
        <v>4187</v>
      </c>
    </row>
    <row r="696" spans="1:8" ht="45" x14ac:dyDescent="0.3">
      <c r="A696" s="13" t="s">
        <v>4188</v>
      </c>
      <c r="B696" s="14" t="s">
        <v>4189</v>
      </c>
      <c r="C696" s="15" t="s">
        <v>4190</v>
      </c>
      <c r="D696" s="15" t="s">
        <v>4191</v>
      </c>
      <c r="E696" s="15" t="s">
        <v>4192</v>
      </c>
      <c r="F696" s="15" t="s">
        <v>4193</v>
      </c>
      <c r="G696" s="15" t="s">
        <v>57</v>
      </c>
      <c r="H696" s="16" t="s">
        <v>4194</v>
      </c>
    </row>
    <row r="697" spans="1:8" ht="33.75" x14ac:dyDescent="0.3">
      <c r="A697" s="13" t="s">
        <v>4195</v>
      </c>
      <c r="B697" s="14" t="s">
        <v>4196</v>
      </c>
      <c r="C697" s="15" t="s">
        <v>4197</v>
      </c>
      <c r="D697" s="15" t="s">
        <v>4198</v>
      </c>
      <c r="E697" s="15" t="s">
        <v>4199</v>
      </c>
      <c r="F697" s="15" t="s">
        <v>4200</v>
      </c>
      <c r="G697" s="15" t="s">
        <v>57</v>
      </c>
      <c r="H697" s="16" t="s">
        <v>4201</v>
      </c>
    </row>
    <row r="698" spans="1:8" ht="56.25" x14ac:dyDescent="0.3">
      <c r="A698" s="13" t="s">
        <v>4202</v>
      </c>
      <c r="B698" s="14" t="s">
        <v>4203</v>
      </c>
      <c r="C698" s="15" t="s">
        <v>4204</v>
      </c>
      <c r="D698" s="15"/>
      <c r="E698" s="15" t="s">
        <v>4205</v>
      </c>
      <c r="F698" s="15" t="s">
        <v>4206</v>
      </c>
      <c r="G698" s="15" t="s">
        <v>57</v>
      </c>
      <c r="H698" s="16" t="s">
        <v>4207</v>
      </c>
    </row>
    <row r="699" spans="1:8" ht="78.75" x14ac:dyDescent="0.3">
      <c r="A699" s="13" t="s">
        <v>4208</v>
      </c>
      <c r="B699" s="14" t="s">
        <v>4209</v>
      </c>
      <c r="C699" s="15" t="s">
        <v>4210</v>
      </c>
      <c r="D699" s="15"/>
      <c r="E699" s="15" t="s">
        <v>4211</v>
      </c>
      <c r="F699" s="15"/>
      <c r="G699" s="15" t="s">
        <v>57</v>
      </c>
      <c r="H699" s="16" t="s">
        <v>4212</v>
      </c>
    </row>
    <row r="700" spans="1:8" ht="78.75" x14ac:dyDescent="0.3">
      <c r="A700" s="13" t="s">
        <v>4213</v>
      </c>
      <c r="B700" s="14" t="s">
        <v>4214</v>
      </c>
      <c r="C700" s="15" t="s">
        <v>4215</v>
      </c>
      <c r="D700" s="15"/>
      <c r="E700" s="15" t="s">
        <v>57</v>
      </c>
      <c r="F700" s="15"/>
      <c r="G700" s="15" t="s">
        <v>57</v>
      </c>
      <c r="H700" s="16" t="s">
        <v>4216</v>
      </c>
    </row>
    <row r="701" spans="1:8" ht="33.75" x14ac:dyDescent="0.3">
      <c r="A701" s="13">
        <v>21510</v>
      </c>
      <c r="B701" s="14" t="s">
        <v>4217</v>
      </c>
      <c r="C701" s="15" t="s">
        <v>4218</v>
      </c>
      <c r="D701" s="15" t="s">
        <v>4219</v>
      </c>
      <c r="E701" s="15" t="s">
        <v>4220</v>
      </c>
      <c r="F701" s="15" t="s">
        <v>4221</v>
      </c>
      <c r="G701" s="15" t="s">
        <v>4222</v>
      </c>
      <c r="H701" s="16" t="s">
        <v>4223</v>
      </c>
    </row>
    <row r="702" spans="1:8" x14ac:dyDescent="0.3">
      <c r="A702" s="13" t="s">
        <v>4224</v>
      </c>
      <c r="B702" s="14" t="s">
        <v>4225</v>
      </c>
      <c r="C702" s="15" t="s">
        <v>4226</v>
      </c>
      <c r="D702" s="15"/>
      <c r="E702" s="15" t="s">
        <v>4227</v>
      </c>
      <c r="F702" s="15" t="s">
        <v>4227</v>
      </c>
      <c r="G702" s="15" t="s">
        <v>57</v>
      </c>
      <c r="H702" s="16" t="s">
        <v>57</v>
      </c>
    </row>
    <row r="703" spans="1:8" ht="56.25" x14ac:dyDescent="0.3">
      <c r="A703" s="13">
        <v>21511</v>
      </c>
      <c r="B703" s="14" t="s">
        <v>4228</v>
      </c>
      <c r="C703" s="15" t="s">
        <v>4229</v>
      </c>
      <c r="D703" s="15" t="s">
        <v>4230</v>
      </c>
      <c r="E703" s="15" t="s">
        <v>4228</v>
      </c>
      <c r="F703" s="15" t="s">
        <v>4231</v>
      </c>
      <c r="G703" s="15" t="s">
        <v>4232</v>
      </c>
      <c r="H703" s="16" t="s">
        <v>4233</v>
      </c>
    </row>
    <row r="704" spans="1:8" ht="33.75" x14ac:dyDescent="0.3">
      <c r="A704" s="13">
        <v>21512</v>
      </c>
      <c r="B704" s="14" t="s">
        <v>4234</v>
      </c>
      <c r="C704" s="15" t="s">
        <v>4235</v>
      </c>
      <c r="D704" s="15" t="s">
        <v>4236</v>
      </c>
      <c r="E704" s="15" t="s">
        <v>4237</v>
      </c>
      <c r="F704" s="15" t="s">
        <v>4238</v>
      </c>
      <c r="G704" s="15" t="s">
        <v>57</v>
      </c>
      <c r="H704" s="16" t="s">
        <v>4239</v>
      </c>
    </row>
    <row r="705" spans="1:8" ht="33.75" x14ac:dyDescent="0.3">
      <c r="A705" s="13">
        <v>21513</v>
      </c>
      <c r="B705" s="14" t="s">
        <v>4240</v>
      </c>
      <c r="C705" s="15" t="s">
        <v>4241</v>
      </c>
      <c r="D705" s="15" t="s">
        <v>4242</v>
      </c>
      <c r="E705" s="15" t="s">
        <v>4243</v>
      </c>
      <c r="F705" s="15" t="s">
        <v>4244</v>
      </c>
      <c r="G705" s="15" t="s">
        <v>4245</v>
      </c>
      <c r="H705" s="16" t="s">
        <v>4243</v>
      </c>
    </row>
    <row r="706" spans="1:8" ht="22.5" x14ac:dyDescent="0.3">
      <c r="A706" s="13">
        <v>21514</v>
      </c>
      <c r="B706" s="14" t="s">
        <v>4246</v>
      </c>
      <c r="C706" s="15" t="s">
        <v>4247</v>
      </c>
      <c r="D706" s="15" t="s">
        <v>4248</v>
      </c>
      <c r="E706" s="15" t="s">
        <v>4246</v>
      </c>
      <c r="F706" s="15" t="s">
        <v>4249</v>
      </c>
      <c r="G706" s="15" t="s">
        <v>4246</v>
      </c>
      <c r="H706" s="16" t="s">
        <v>4250</v>
      </c>
    </row>
    <row r="707" spans="1:8" ht="22.5" x14ac:dyDescent="0.3">
      <c r="A707" s="13" t="s">
        <v>4251</v>
      </c>
      <c r="B707" s="14" t="s">
        <v>4252</v>
      </c>
      <c r="C707" s="15" t="s">
        <v>4253</v>
      </c>
      <c r="D707" s="15" t="s">
        <v>4254</v>
      </c>
      <c r="E707" s="15" t="s">
        <v>4255</v>
      </c>
      <c r="F707" s="15" t="s">
        <v>4256</v>
      </c>
      <c r="G707" s="15" t="s">
        <v>4257</v>
      </c>
      <c r="H707" s="16" t="s">
        <v>4258</v>
      </c>
    </row>
    <row r="708" spans="1:8" ht="22.5" x14ac:dyDescent="0.3">
      <c r="A708" s="13" t="s">
        <v>4259</v>
      </c>
      <c r="B708" s="14" t="s">
        <v>4260</v>
      </c>
      <c r="C708" s="15" t="s">
        <v>4261</v>
      </c>
      <c r="D708" s="15" t="s">
        <v>4262</v>
      </c>
      <c r="E708" s="15" t="s">
        <v>4263</v>
      </c>
      <c r="F708" s="15" t="s">
        <v>4264</v>
      </c>
      <c r="G708" s="15" t="s">
        <v>57</v>
      </c>
      <c r="H708" s="16" t="s">
        <v>4264</v>
      </c>
    </row>
    <row r="709" spans="1:8" ht="22.5" x14ac:dyDescent="0.3">
      <c r="A709" s="13">
        <v>21515</v>
      </c>
      <c r="B709" s="14" t="s">
        <v>4265</v>
      </c>
      <c r="C709" s="15" t="s">
        <v>4266</v>
      </c>
      <c r="D709" s="15" t="s">
        <v>4265</v>
      </c>
      <c r="E709" s="15" t="s">
        <v>4267</v>
      </c>
      <c r="F709" s="15" t="s">
        <v>4268</v>
      </c>
      <c r="G709" s="15" t="s">
        <v>4265</v>
      </c>
      <c r="H709" s="16" t="s">
        <v>4265</v>
      </c>
    </row>
    <row r="710" spans="1:8" ht="78.75" x14ac:dyDescent="0.3">
      <c r="A710" s="13">
        <v>21516</v>
      </c>
      <c r="B710" s="14" t="s">
        <v>4269</v>
      </c>
      <c r="C710" s="15" t="s">
        <v>4270</v>
      </c>
      <c r="D710" s="15" t="s">
        <v>4271</v>
      </c>
      <c r="E710" s="15" t="s">
        <v>4272</v>
      </c>
      <c r="F710" s="15" t="s">
        <v>4273</v>
      </c>
      <c r="G710" s="15" t="s">
        <v>4274</v>
      </c>
      <c r="H710" s="16" t="s">
        <v>4275</v>
      </c>
    </row>
    <row r="711" spans="1:8" x14ac:dyDescent="0.3">
      <c r="A711" s="13">
        <v>21517</v>
      </c>
      <c r="B711" s="14" t="s">
        <v>4276</v>
      </c>
      <c r="C711" s="15" t="s">
        <v>4277</v>
      </c>
      <c r="D711" s="15" t="s">
        <v>4278</v>
      </c>
      <c r="E711" s="15" t="s">
        <v>4279</v>
      </c>
      <c r="F711" s="15" t="s">
        <v>4280</v>
      </c>
      <c r="G711" s="15" t="s">
        <v>4281</v>
      </c>
      <c r="H711" s="16" t="s">
        <v>4281</v>
      </c>
    </row>
    <row r="712" spans="1:8" x14ac:dyDescent="0.3">
      <c r="A712" s="13">
        <v>21518</v>
      </c>
      <c r="B712" s="14" t="s">
        <v>4282</v>
      </c>
      <c r="C712" s="15" t="s">
        <v>4283</v>
      </c>
      <c r="D712" s="15" t="s">
        <v>4282</v>
      </c>
      <c r="E712" s="15" t="s">
        <v>4284</v>
      </c>
      <c r="F712" s="15" t="s">
        <v>4282</v>
      </c>
      <c r="G712" s="15" t="s">
        <v>4285</v>
      </c>
      <c r="H712" s="16" t="s">
        <v>4282</v>
      </c>
    </row>
    <row r="713" spans="1:8" ht="101.25" x14ac:dyDescent="0.3">
      <c r="A713" s="13">
        <v>21519</v>
      </c>
      <c r="B713" s="14" t="s">
        <v>4286</v>
      </c>
      <c r="C713" s="15" t="s">
        <v>4287</v>
      </c>
      <c r="D713" s="15" t="s">
        <v>4288</v>
      </c>
      <c r="E713" s="15" t="s">
        <v>4289</v>
      </c>
      <c r="F713" s="15" t="s">
        <v>4290</v>
      </c>
      <c r="G713" s="15" t="s">
        <v>4291</v>
      </c>
      <c r="H713" s="16" t="s">
        <v>4292</v>
      </c>
    </row>
    <row r="714" spans="1:8" ht="78.75" x14ac:dyDescent="0.3">
      <c r="A714" s="13">
        <v>21520</v>
      </c>
      <c r="B714" s="14" t="s">
        <v>4293</v>
      </c>
      <c r="C714" s="15" t="s">
        <v>4294</v>
      </c>
      <c r="D714" s="15" t="s">
        <v>4295</v>
      </c>
      <c r="E714" s="15" t="s">
        <v>4296</v>
      </c>
      <c r="F714" s="15" t="s">
        <v>4297</v>
      </c>
      <c r="G714" s="15" t="s">
        <v>4298</v>
      </c>
      <c r="H714" s="16" t="s">
        <v>4298</v>
      </c>
    </row>
    <row r="715" spans="1:8" ht="56.25" x14ac:dyDescent="0.3">
      <c r="A715" s="13" t="s">
        <v>4299</v>
      </c>
      <c r="B715" s="14" t="s">
        <v>4300</v>
      </c>
      <c r="C715" s="15" t="s">
        <v>57</v>
      </c>
      <c r="D715" s="15" t="s">
        <v>4301</v>
      </c>
      <c r="E715" s="15" t="s">
        <v>4302</v>
      </c>
      <c r="F715" s="15" t="s">
        <v>4303</v>
      </c>
      <c r="G715" s="15" t="s">
        <v>4304</v>
      </c>
      <c r="H715" s="16" t="s">
        <v>4305</v>
      </c>
    </row>
    <row r="716" spans="1:8" ht="45" x14ac:dyDescent="0.3">
      <c r="A716" s="13">
        <v>21521</v>
      </c>
      <c r="B716" s="14" t="s">
        <v>4306</v>
      </c>
      <c r="C716" s="15" t="s">
        <v>4307</v>
      </c>
      <c r="D716" s="15" t="s">
        <v>4308</v>
      </c>
      <c r="E716" s="15" t="s">
        <v>4309</v>
      </c>
      <c r="F716" s="15" t="s">
        <v>4310</v>
      </c>
      <c r="G716" s="15" t="s">
        <v>4311</v>
      </c>
      <c r="H716" s="16" t="s">
        <v>4312</v>
      </c>
    </row>
    <row r="717" spans="1:8" ht="45" x14ac:dyDescent="0.3">
      <c r="A717" s="13" t="s">
        <v>4313</v>
      </c>
      <c r="B717" s="14" t="s">
        <v>4314</v>
      </c>
      <c r="C717" s="15" t="s">
        <v>4315</v>
      </c>
      <c r="D717" s="15" t="s">
        <v>4316</v>
      </c>
      <c r="E717" s="15" t="s">
        <v>4317</v>
      </c>
      <c r="F717" s="15" t="s">
        <v>57</v>
      </c>
      <c r="G717" s="15" t="s">
        <v>4308</v>
      </c>
      <c r="H717" s="16" t="s">
        <v>4318</v>
      </c>
    </row>
    <row r="718" spans="1:8" ht="33.75" x14ac:dyDescent="0.3">
      <c r="A718" s="13">
        <v>21522</v>
      </c>
      <c r="B718" s="14" t="s">
        <v>4319</v>
      </c>
      <c r="C718" s="15" t="s">
        <v>4320</v>
      </c>
      <c r="D718" s="15" t="s">
        <v>4321</v>
      </c>
      <c r="E718" s="15" t="s">
        <v>4322</v>
      </c>
      <c r="F718" s="15" t="s">
        <v>4323</v>
      </c>
      <c r="G718" s="15" t="s">
        <v>4324</v>
      </c>
      <c r="H718" s="16" t="s">
        <v>4325</v>
      </c>
    </row>
    <row r="719" spans="1:8" ht="45" x14ac:dyDescent="0.3">
      <c r="A719" s="13">
        <v>21523</v>
      </c>
      <c r="B719" s="14" t="s">
        <v>4326</v>
      </c>
      <c r="C719" s="15" t="s">
        <v>4327</v>
      </c>
      <c r="D719" s="15" t="s">
        <v>4328</v>
      </c>
      <c r="E719" s="15" t="s">
        <v>4329</v>
      </c>
      <c r="F719" s="15" t="s">
        <v>4330</v>
      </c>
      <c r="G719" s="15" t="s">
        <v>4331</v>
      </c>
      <c r="H719" s="16" t="s">
        <v>4332</v>
      </c>
    </row>
    <row r="720" spans="1:8" ht="67.5" x14ac:dyDescent="0.3">
      <c r="A720" s="13">
        <v>21524</v>
      </c>
      <c r="B720" s="14" t="s">
        <v>4333</v>
      </c>
      <c r="C720" s="15" t="s">
        <v>4334</v>
      </c>
      <c r="D720" s="15" t="s">
        <v>4333</v>
      </c>
      <c r="E720" s="15" t="s">
        <v>4335</v>
      </c>
      <c r="F720" s="15" t="s">
        <v>4336</v>
      </c>
      <c r="G720" s="15" t="s">
        <v>4337</v>
      </c>
      <c r="H720" s="16" t="s">
        <v>4338</v>
      </c>
    </row>
    <row r="721" spans="1:8" ht="45" x14ac:dyDescent="0.3">
      <c r="A721" s="13">
        <v>21525</v>
      </c>
      <c r="B721" s="14" t="s">
        <v>4339</v>
      </c>
      <c r="C721" s="15" t="s">
        <v>4340</v>
      </c>
      <c r="D721" s="15" t="s">
        <v>4341</v>
      </c>
      <c r="E721" s="15" t="s">
        <v>4342</v>
      </c>
      <c r="F721" s="15" t="s">
        <v>4343</v>
      </c>
      <c r="G721" s="15" t="s">
        <v>4344</v>
      </c>
      <c r="H721" s="16" t="s">
        <v>4344</v>
      </c>
    </row>
    <row r="722" spans="1:8" ht="33.75" x14ac:dyDescent="0.3">
      <c r="A722" s="13">
        <v>21526</v>
      </c>
      <c r="B722" s="14" t="s">
        <v>4345</v>
      </c>
      <c r="C722" s="15" t="s">
        <v>4346</v>
      </c>
      <c r="D722" s="15" t="s">
        <v>4347</v>
      </c>
      <c r="E722" s="15" t="s">
        <v>4348</v>
      </c>
      <c r="F722" s="15" t="s">
        <v>4349</v>
      </c>
      <c r="G722" s="15" t="s">
        <v>4350</v>
      </c>
      <c r="H722" s="16" t="s">
        <v>4351</v>
      </c>
    </row>
    <row r="723" spans="1:8" ht="45" x14ac:dyDescent="0.3">
      <c r="A723" s="13">
        <v>21527</v>
      </c>
      <c r="B723" s="14" t="s">
        <v>4352</v>
      </c>
      <c r="C723" s="15" t="s">
        <v>4353</v>
      </c>
      <c r="D723" s="15" t="s">
        <v>4354</v>
      </c>
      <c r="E723" s="15" t="s">
        <v>4355</v>
      </c>
      <c r="F723" s="15" t="s">
        <v>4356</v>
      </c>
      <c r="G723" s="15" t="s">
        <v>4357</v>
      </c>
      <c r="H723" s="16" t="s">
        <v>4358</v>
      </c>
    </row>
    <row r="724" spans="1:8" x14ac:dyDescent="0.3">
      <c r="A724" s="13">
        <v>21528</v>
      </c>
      <c r="B724" s="14" t="s">
        <v>4359</v>
      </c>
      <c r="C724" s="15" t="s">
        <v>4360</v>
      </c>
      <c r="D724" s="15" t="s">
        <v>4359</v>
      </c>
      <c r="E724" s="15" t="s">
        <v>4359</v>
      </c>
      <c r="F724" s="15" t="s">
        <v>4361</v>
      </c>
      <c r="G724" s="15" t="s">
        <v>4362</v>
      </c>
      <c r="H724" s="16" t="s">
        <v>4359</v>
      </c>
    </row>
    <row r="725" spans="1:8" ht="33.75" x14ac:dyDescent="0.3">
      <c r="A725" s="13">
        <v>21601</v>
      </c>
      <c r="B725" s="14" t="s">
        <v>4363</v>
      </c>
      <c r="C725" s="15" t="s">
        <v>4364</v>
      </c>
      <c r="D725" s="15" t="s">
        <v>4365</v>
      </c>
      <c r="E725" s="15" t="s">
        <v>4366</v>
      </c>
      <c r="F725" s="15" t="s">
        <v>4367</v>
      </c>
      <c r="G725" s="15" t="s">
        <v>4368</v>
      </c>
      <c r="H725" s="16" t="s">
        <v>4363</v>
      </c>
    </row>
    <row r="726" spans="1:8" ht="67.5" x14ac:dyDescent="0.3">
      <c r="A726" s="13">
        <v>21602</v>
      </c>
      <c r="B726" s="14" t="s">
        <v>4369</v>
      </c>
      <c r="C726" s="15" t="s">
        <v>4370</v>
      </c>
      <c r="D726" s="15" t="s">
        <v>4371</v>
      </c>
      <c r="E726" s="15" t="s">
        <v>4372</v>
      </c>
      <c r="F726" s="15" t="s">
        <v>4373</v>
      </c>
      <c r="G726" s="15" t="s">
        <v>4374</v>
      </c>
      <c r="H726" s="16" t="s">
        <v>4372</v>
      </c>
    </row>
    <row r="727" spans="1:8" ht="22.5" x14ac:dyDescent="0.3">
      <c r="A727" s="13">
        <v>21603</v>
      </c>
      <c r="B727" s="14" t="s">
        <v>4375</v>
      </c>
      <c r="C727" s="15" t="s">
        <v>4376</v>
      </c>
      <c r="D727" s="15" t="s">
        <v>4377</v>
      </c>
      <c r="E727" s="15" t="s">
        <v>4378</v>
      </c>
      <c r="F727" s="15" t="s">
        <v>4375</v>
      </c>
      <c r="G727" s="15" t="s">
        <v>4379</v>
      </c>
      <c r="H727" s="16" t="s">
        <v>4375</v>
      </c>
    </row>
    <row r="728" spans="1:8" ht="33.75" x14ac:dyDescent="0.3">
      <c r="A728" s="13">
        <v>21604</v>
      </c>
      <c r="B728" s="14" t="s">
        <v>4380</v>
      </c>
      <c r="C728" s="15" t="s">
        <v>4381</v>
      </c>
      <c r="D728" s="15" t="s">
        <v>4382</v>
      </c>
      <c r="E728" s="15" t="s">
        <v>4383</v>
      </c>
      <c r="F728" s="15" t="s">
        <v>4384</v>
      </c>
      <c r="G728" s="15" t="s">
        <v>4385</v>
      </c>
      <c r="H728" s="16" t="s">
        <v>4386</v>
      </c>
    </row>
    <row r="729" spans="1:8" ht="22.5" x14ac:dyDescent="0.3">
      <c r="A729" s="13">
        <v>21605</v>
      </c>
      <c r="B729" s="14" t="s">
        <v>4387</v>
      </c>
      <c r="C729" s="15" t="s">
        <v>4388</v>
      </c>
      <c r="D729" s="15" t="s">
        <v>4389</v>
      </c>
      <c r="E729" s="15" t="s">
        <v>4390</v>
      </c>
      <c r="F729" s="15" t="s">
        <v>4391</v>
      </c>
      <c r="G729" s="15" t="s">
        <v>4392</v>
      </c>
      <c r="H729" s="16" t="s">
        <v>4393</v>
      </c>
    </row>
    <row r="730" spans="1:8" ht="33.75" x14ac:dyDescent="0.3">
      <c r="A730" s="13">
        <v>21606</v>
      </c>
      <c r="B730" s="14" t="s">
        <v>4394</v>
      </c>
      <c r="C730" s="15" t="s">
        <v>4395</v>
      </c>
      <c r="D730" s="15" t="s">
        <v>4396</v>
      </c>
      <c r="E730" s="15" t="s">
        <v>4397</v>
      </c>
      <c r="F730" s="15" t="s">
        <v>4398</v>
      </c>
      <c r="G730" s="15" t="s">
        <v>4399</v>
      </c>
      <c r="H730" s="16" t="s">
        <v>4400</v>
      </c>
    </row>
    <row r="731" spans="1:8" ht="22.5" x14ac:dyDescent="0.3">
      <c r="A731" s="13">
        <v>21607</v>
      </c>
      <c r="B731" s="14" t="s">
        <v>4401</v>
      </c>
      <c r="C731" s="15" t="s">
        <v>4402</v>
      </c>
      <c r="D731" s="15" t="s">
        <v>4403</v>
      </c>
      <c r="E731" s="15" t="s">
        <v>4404</v>
      </c>
      <c r="F731" s="15" t="s">
        <v>4405</v>
      </c>
      <c r="G731" s="15" t="s">
        <v>4406</v>
      </c>
      <c r="H731" s="16" t="s">
        <v>4404</v>
      </c>
    </row>
    <row r="732" spans="1:8" ht="78.75" x14ac:dyDescent="0.3">
      <c r="A732" s="13">
        <v>21608</v>
      </c>
      <c r="B732" s="14" t="s">
        <v>4407</v>
      </c>
      <c r="C732" s="15" t="s">
        <v>4408</v>
      </c>
      <c r="D732" s="15"/>
      <c r="E732" s="15" t="s">
        <v>4409</v>
      </c>
      <c r="F732" s="15" t="s">
        <v>4410</v>
      </c>
      <c r="G732" s="15" t="s">
        <v>4411</v>
      </c>
      <c r="H732" s="16" t="s">
        <v>4412</v>
      </c>
    </row>
    <row r="733" spans="1:8" ht="67.5" x14ac:dyDescent="0.3">
      <c r="A733" s="13">
        <v>21609</v>
      </c>
      <c r="B733" s="14" t="s">
        <v>4413</v>
      </c>
      <c r="C733" s="15" t="s">
        <v>4414</v>
      </c>
      <c r="D733" s="15" t="s">
        <v>4415</v>
      </c>
      <c r="E733" s="15" t="s">
        <v>4416</v>
      </c>
      <c r="F733" s="15" t="s">
        <v>4417</v>
      </c>
      <c r="G733" s="15" t="s">
        <v>4418</v>
      </c>
      <c r="H733" s="16" t="s">
        <v>4419</v>
      </c>
    </row>
    <row r="734" spans="1:8" ht="101.25" x14ac:dyDescent="0.3">
      <c r="A734" s="13">
        <v>21610</v>
      </c>
      <c r="B734" s="14" t="s">
        <v>4420</v>
      </c>
      <c r="C734" s="15" t="s">
        <v>4421</v>
      </c>
      <c r="D734" s="15" t="s">
        <v>4422</v>
      </c>
      <c r="E734" s="15" t="s">
        <v>4423</v>
      </c>
      <c r="F734" s="15" t="s">
        <v>4424</v>
      </c>
      <c r="G734" s="15" t="s">
        <v>4425</v>
      </c>
      <c r="H734" s="16" t="s">
        <v>4426</v>
      </c>
    </row>
    <row r="735" spans="1:8" ht="56.25" x14ac:dyDescent="0.3">
      <c r="A735" s="13">
        <v>21611</v>
      </c>
      <c r="B735" s="14" t="s">
        <v>4427</v>
      </c>
      <c r="C735" s="15" t="s">
        <v>4428</v>
      </c>
      <c r="D735" s="15" t="s">
        <v>4429</v>
      </c>
      <c r="E735" s="15" t="s">
        <v>4430</v>
      </c>
      <c r="F735" s="15" t="s">
        <v>4431</v>
      </c>
      <c r="G735" s="15" t="s">
        <v>4432</v>
      </c>
      <c r="H735" s="16" t="s">
        <v>4433</v>
      </c>
    </row>
    <row r="736" spans="1:8" ht="101.25" x14ac:dyDescent="0.3">
      <c r="A736" s="13">
        <v>21612</v>
      </c>
      <c r="B736" s="14" t="s">
        <v>4434</v>
      </c>
      <c r="C736" s="15" t="s">
        <v>4435</v>
      </c>
      <c r="D736" s="15" t="s">
        <v>4436</v>
      </c>
      <c r="E736" s="15" t="s">
        <v>4437</v>
      </c>
      <c r="F736" s="15" t="s">
        <v>4438</v>
      </c>
      <c r="G736" s="15" t="s">
        <v>4439</v>
      </c>
      <c r="H736" s="16" t="s">
        <v>4440</v>
      </c>
    </row>
    <row r="737" spans="1:8" ht="56.25" x14ac:dyDescent="0.3">
      <c r="A737" s="13">
        <v>21613</v>
      </c>
      <c r="B737" s="14" t="s">
        <v>4441</v>
      </c>
      <c r="C737" s="15" t="s">
        <v>4442</v>
      </c>
      <c r="D737" s="15"/>
      <c r="E737" s="15" t="s">
        <v>4443</v>
      </c>
      <c r="F737" s="15" t="s">
        <v>1585</v>
      </c>
      <c r="G737" s="15" t="s">
        <v>4444</v>
      </c>
      <c r="H737" s="16" t="s">
        <v>4445</v>
      </c>
    </row>
    <row r="738" spans="1:8" ht="101.25" x14ac:dyDescent="0.3">
      <c r="A738" s="13" t="s">
        <v>4446</v>
      </c>
      <c r="B738" s="14" t="s">
        <v>19717</v>
      </c>
      <c r="C738" s="15" t="s">
        <v>4447</v>
      </c>
      <c r="D738" s="15" t="s">
        <v>4448</v>
      </c>
      <c r="E738" s="15" t="s">
        <v>4449</v>
      </c>
      <c r="F738" s="15" t="s">
        <v>4450</v>
      </c>
      <c r="G738" s="15" t="s">
        <v>4450</v>
      </c>
      <c r="H738" s="16" t="s">
        <v>4451</v>
      </c>
    </row>
    <row r="739" spans="1:8" ht="33.75" x14ac:dyDescent="0.3">
      <c r="A739" s="13">
        <v>21614</v>
      </c>
      <c r="B739" s="14" t="s">
        <v>4452</v>
      </c>
      <c r="C739" s="15" t="s">
        <v>4453</v>
      </c>
      <c r="D739" s="15" t="s">
        <v>4454</v>
      </c>
      <c r="E739" s="15" t="s">
        <v>4455</v>
      </c>
      <c r="F739" s="15" t="s">
        <v>4456</v>
      </c>
      <c r="G739" s="15" t="s">
        <v>4457</v>
      </c>
      <c r="H739" s="16" t="s">
        <v>4458</v>
      </c>
    </row>
    <row r="740" spans="1:8" ht="45" x14ac:dyDescent="0.3">
      <c r="A740" s="13">
        <v>21615</v>
      </c>
      <c r="B740" s="14" t="s">
        <v>4459</v>
      </c>
      <c r="C740" s="15" t="s">
        <v>4460</v>
      </c>
      <c r="D740" s="15" t="s">
        <v>4461</v>
      </c>
      <c r="E740" s="15" t="s">
        <v>4462</v>
      </c>
      <c r="F740" s="15" t="s">
        <v>4463</v>
      </c>
      <c r="G740" s="15" t="s">
        <v>4464</v>
      </c>
      <c r="H740" s="16" t="s">
        <v>4465</v>
      </c>
    </row>
    <row r="741" spans="1:8" ht="33.75" x14ac:dyDescent="0.3">
      <c r="A741" s="13" t="s">
        <v>4466</v>
      </c>
      <c r="B741" s="14" t="s">
        <v>4467</v>
      </c>
      <c r="C741" s="15" t="s">
        <v>4468</v>
      </c>
      <c r="D741" s="15" t="s">
        <v>4469</v>
      </c>
      <c r="E741" s="15" t="s">
        <v>4470</v>
      </c>
      <c r="F741" s="15" t="s">
        <v>4471</v>
      </c>
      <c r="G741" s="15" t="s">
        <v>4472</v>
      </c>
      <c r="H741" s="16" t="s">
        <v>4473</v>
      </c>
    </row>
    <row r="742" spans="1:8" ht="45" x14ac:dyDescent="0.3">
      <c r="A742" s="13">
        <v>21616</v>
      </c>
      <c r="B742" s="14" t="s">
        <v>4474</v>
      </c>
      <c r="C742" s="15" t="s">
        <v>4475</v>
      </c>
      <c r="D742" s="15" t="s">
        <v>4476</v>
      </c>
      <c r="E742" s="15" t="s">
        <v>4477</v>
      </c>
      <c r="F742" s="15" t="s">
        <v>4474</v>
      </c>
      <c r="G742" s="15" t="s">
        <v>4478</v>
      </c>
      <c r="H742" s="16" t="s">
        <v>4479</v>
      </c>
    </row>
    <row r="743" spans="1:8" ht="67.5" x14ac:dyDescent="0.3">
      <c r="A743" s="13">
        <v>21617</v>
      </c>
      <c r="B743" s="14" t="s">
        <v>4480</v>
      </c>
      <c r="C743" s="15" t="s">
        <v>4481</v>
      </c>
      <c r="D743" s="15" t="s">
        <v>4482</v>
      </c>
      <c r="E743" s="15" t="s">
        <v>4483</v>
      </c>
      <c r="F743" s="15" t="s">
        <v>4484</v>
      </c>
      <c r="G743" s="15" t="s">
        <v>4485</v>
      </c>
      <c r="H743" s="16" t="s">
        <v>4486</v>
      </c>
    </row>
    <row r="744" spans="1:8" ht="22.5" x14ac:dyDescent="0.3">
      <c r="A744" s="13">
        <v>21618</v>
      </c>
      <c r="B744" s="14" t="s">
        <v>4487</v>
      </c>
      <c r="C744" s="15" t="s">
        <v>4488</v>
      </c>
      <c r="D744" s="15" t="s">
        <v>4489</v>
      </c>
      <c r="E744" s="15" t="s">
        <v>4490</v>
      </c>
      <c r="F744" s="15" t="s">
        <v>4491</v>
      </c>
      <c r="G744" s="15" t="s">
        <v>4492</v>
      </c>
      <c r="H744" s="16" t="s">
        <v>4493</v>
      </c>
    </row>
    <row r="745" spans="1:8" ht="22.5" x14ac:dyDescent="0.3">
      <c r="A745" s="13">
        <v>21619</v>
      </c>
      <c r="B745" s="14" t="s">
        <v>4494</v>
      </c>
      <c r="C745" s="15" t="s">
        <v>4495</v>
      </c>
      <c r="D745" s="15" t="s">
        <v>4496</v>
      </c>
      <c r="E745" s="15" t="s">
        <v>4497</v>
      </c>
      <c r="F745" s="15" t="s">
        <v>4498</v>
      </c>
      <c r="G745" s="15" t="s">
        <v>4494</v>
      </c>
      <c r="H745" s="16" t="s">
        <v>4499</v>
      </c>
    </row>
    <row r="746" spans="1:8" ht="22.5" x14ac:dyDescent="0.3">
      <c r="A746" s="13" t="s">
        <v>4500</v>
      </c>
      <c r="B746" s="14" t="s">
        <v>4501</v>
      </c>
      <c r="C746" s="15" t="s">
        <v>4502</v>
      </c>
      <c r="D746" s="15" t="s">
        <v>4503</v>
      </c>
      <c r="E746" s="15" t="s">
        <v>4501</v>
      </c>
      <c r="F746" s="15" t="s">
        <v>4501</v>
      </c>
      <c r="G746" s="15" t="s">
        <v>4504</v>
      </c>
      <c r="H746" s="16" t="s">
        <v>4505</v>
      </c>
    </row>
    <row r="747" spans="1:8" ht="22.5" x14ac:dyDescent="0.3">
      <c r="A747" s="13">
        <v>21620</v>
      </c>
      <c r="B747" s="14" t="s">
        <v>4506</v>
      </c>
      <c r="C747" s="15" t="s">
        <v>4507</v>
      </c>
      <c r="D747" s="15" t="s">
        <v>4508</v>
      </c>
      <c r="E747" s="15" t="s">
        <v>4509</v>
      </c>
      <c r="F747" s="15" t="s">
        <v>4510</v>
      </c>
      <c r="G747" s="15" t="s">
        <v>4511</v>
      </c>
      <c r="H747" s="16" t="s">
        <v>4510</v>
      </c>
    </row>
    <row r="748" spans="1:8" ht="33.75" x14ac:dyDescent="0.3">
      <c r="A748" s="13">
        <v>21621</v>
      </c>
      <c r="B748" s="14" t="s">
        <v>4512</v>
      </c>
      <c r="C748" s="15" t="s">
        <v>4513</v>
      </c>
      <c r="D748" s="15" t="s">
        <v>4512</v>
      </c>
      <c r="E748" s="15"/>
      <c r="F748" s="15" t="s">
        <v>4514</v>
      </c>
      <c r="G748" s="15" t="s">
        <v>4515</v>
      </c>
      <c r="H748" s="16" t="s">
        <v>4516</v>
      </c>
    </row>
    <row r="749" spans="1:8" ht="56.25" x14ac:dyDescent="0.3">
      <c r="A749" s="13" t="s">
        <v>4517</v>
      </c>
      <c r="B749" s="14" t="s">
        <v>4518</v>
      </c>
      <c r="C749" s="15" t="s">
        <v>4519</v>
      </c>
      <c r="D749" s="15" t="s">
        <v>4520</v>
      </c>
      <c r="E749" s="15" t="s">
        <v>4521</v>
      </c>
      <c r="F749" s="15" t="s">
        <v>4522</v>
      </c>
      <c r="G749" s="15" t="s">
        <v>4523</v>
      </c>
      <c r="H749" s="16" t="s">
        <v>4524</v>
      </c>
    </row>
    <row r="750" spans="1:8" ht="22.5" x14ac:dyDescent="0.3">
      <c r="A750" s="13">
        <v>21622</v>
      </c>
      <c r="B750" s="14" t="s">
        <v>4525</v>
      </c>
      <c r="C750" s="15" t="s">
        <v>4526</v>
      </c>
      <c r="D750" s="15" t="s">
        <v>4525</v>
      </c>
      <c r="E750" s="15" t="s">
        <v>4525</v>
      </c>
      <c r="F750" s="15" t="s">
        <v>4527</v>
      </c>
      <c r="G750" s="15" t="s">
        <v>4525</v>
      </c>
      <c r="H750" s="16" t="s">
        <v>4528</v>
      </c>
    </row>
    <row r="751" spans="1:8" ht="33.75" x14ac:dyDescent="0.3">
      <c r="A751" s="13">
        <v>21623</v>
      </c>
      <c r="B751" s="14" t="s">
        <v>4529</v>
      </c>
      <c r="C751" s="15" t="s">
        <v>4530</v>
      </c>
      <c r="D751" s="15" t="s">
        <v>4531</v>
      </c>
      <c r="E751" s="15" t="s">
        <v>4532</v>
      </c>
      <c r="F751" s="15" t="s">
        <v>4533</v>
      </c>
      <c r="G751" s="15" t="s">
        <v>4534</v>
      </c>
      <c r="H751" s="16" t="s">
        <v>4535</v>
      </c>
    </row>
    <row r="752" spans="1:8" x14ac:dyDescent="0.3">
      <c r="A752" s="13" t="s">
        <v>4536</v>
      </c>
      <c r="B752" s="14" t="s">
        <v>4537</v>
      </c>
      <c r="C752" s="15" t="s">
        <v>4538</v>
      </c>
      <c r="D752" s="15" t="s">
        <v>4539</v>
      </c>
      <c r="E752" s="15" t="s">
        <v>4540</v>
      </c>
      <c r="F752" s="15" t="s">
        <v>4541</v>
      </c>
      <c r="G752" s="15" t="s">
        <v>4542</v>
      </c>
      <c r="H752" s="16" t="s">
        <v>4543</v>
      </c>
    </row>
    <row r="753" spans="1:8" ht="22.5" x14ac:dyDescent="0.3">
      <c r="A753" s="13" t="s">
        <v>4544</v>
      </c>
      <c r="B753" s="14" t="s">
        <v>4545</v>
      </c>
      <c r="C753" s="15" t="s">
        <v>4546</v>
      </c>
      <c r="D753" s="15" t="s">
        <v>4547</v>
      </c>
      <c r="E753" s="15" t="s">
        <v>4548</v>
      </c>
      <c r="F753" s="15" t="s">
        <v>4549</v>
      </c>
      <c r="G753" s="15" t="s">
        <v>4550</v>
      </c>
      <c r="H753" s="16" t="s">
        <v>4551</v>
      </c>
    </row>
    <row r="754" spans="1:8" ht="22.5" x14ac:dyDescent="0.3">
      <c r="A754" s="13">
        <v>21624</v>
      </c>
      <c r="B754" s="14" t="s">
        <v>4552</v>
      </c>
      <c r="C754" s="15" t="s">
        <v>4553</v>
      </c>
      <c r="D754" s="15" t="s">
        <v>4554</v>
      </c>
      <c r="E754" s="15" t="s">
        <v>4555</v>
      </c>
      <c r="F754" s="15" t="s">
        <v>4556</v>
      </c>
      <c r="G754" s="15" t="s">
        <v>4557</v>
      </c>
      <c r="H754" s="16" t="s">
        <v>4558</v>
      </c>
    </row>
    <row r="755" spans="1:8" ht="112.5" x14ac:dyDescent="0.3">
      <c r="A755" s="13">
        <v>21625</v>
      </c>
      <c r="B755" s="14" t="s">
        <v>4559</v>
      </c>
      <c r="C755" s="15" t="s">
        <v>4560</v>
      </c>
      <c r="D755" s="15" t="s">
        <v>4561</v>
      </c>
      <c r="E755" s="15" t="s">
        <v>4562</v>
      </c>
      <c r="F755" s="15" t="s">
        <v>4563</v>
      </c>
      <c r="G755" s="15" t="s">
        <v>4564</v>
      </c>
      <c r="H755" s="16" t="s">
        <v>4565</v>
      </c>
    </row>
    <row r="756" spans="1:8" ht="45" x14ac:dyDescent="0.3">
      <c r="A756" s="13" t="s">
        <v>4566</v>
      </c>
      <c r="B756" s="14" t="s">
        <v>4567</v>
      </c>
      <c r="C756" s="15" t="s">
        <v>4568</v>
      </c>
      <c r="D756" s="15" t="s">
        <v>4569</v>
      </c>
      <c r="E756" s="15" t="s">
        <v>4570</v>
      </c>
      <c r="F756" s="15" t="s">
        <v>4571</v>
      </c>
      <c r="G756" s="15" t="s">
        <v>4572</v>
      </c>
      <c r="H756" s="16" t="s">
        <v>4573</v>
      </c>
    </row>
    <row r="757" spans="1:8" ht="45" x14ac:dyDescent="0.3">
      <c r="A757" s="13" t="s">
        <v>4574</v>
      </c>
      <c r="B757" s="14" t="s">
        <v>4575</v>
      </c>
      <c r="C757" s="15" t="s">
        <v>4576</v>
      </c>
      <c r="D757" s="15" t="s">
        <v>4577</v>
      </c>
      <c r="E757" s="15"/>
      <c r="F757" s="15" t="s">
        <v>4578</v>
      </c>
      <c r="G757" s="15" t="s">
        <v>4579</v>
      </c>
      <c r="H757" s="16" t="s">
        <v>4580</v>
      </c>
    </row>
    <row r="758" spans="1:8" ht="45" x14ac:dyDescent="0.3">
      <c r="A758" s="13">
        <v>21626</v>
      </c>
      <c r="B758" s="14" t="s">
        <v>4581</v>
      </c>
      <c r="C758" s="15" t="s">
        <v>4582</v>
      </c>
      <c r="D758" s="15" t="s">
        <v>4583</v>
      </c>
      <c r="E758" s="15" t="s">
        <v>4584</v>
      </c>
      <c r="F758" s="15" t="s">
        <v>4585</v>
      </c>
      <c r="G758" s="15" t="s">
        <v>4586</v>
      </c>
      <c r="H758" s="16" t="s">
        <v>4587</v>
      </c>
    </row>
    <row r="759" spans="1:8" ht="22.5" x14ac:dyDescent="0.3">
      <c r="A759" s="13">
        <v>21627</v>
      </c>
      <c r="B759" s="14" t="s">
        <v>4588</v>
      </c>
      <c r="C759" s="15" t="s">
        <v>4589</v>
      </c>
      <c r="D759" s="15" t="s">
        <v>4590</v>
      </c>
      <c r="E759" s="15" t="s">
        <v>4591</v>
      </c>
      <c r="F759" s="15" t="s">
        <v>4592</v>
      </c>
      <c r="G759" s="15" t="s">
        <v>4593</v>
      </c>
      <c r="H759" s="16" t="s">
        <v>4594</v>
      </c>
    </row>
    <row r="760" spans="1:8" ht="22.5" x14ac:dyDescent="0.3">
      <c r="A760" s="13">
        <v>21628</v>
      </c>
      <c r="B760" s="14" t="s">
        <v>4595</v>
      </c>
      <c r="C760" s="15" t="s">
        <v>4596</v>
      </c>
      <c r="D760" s="15" t="s">
        <v>4597</v>
      </c>
      <c r="E760" s="15" t="s">
        <v>4598</v>
      </c>
      <c r="F760" s="15" t="s">
        <v>4599</v>
      </c>
      <c r="G760" s="15" t="s">
        <v>469</v>
      </c>
      <c r="H760" s="16" t="s">
        <v>469</v>
      </c>
    </row>
    <row r="761" spans="1:8" ht="22.5" x14ac:dyDescent="0.3">
      <c r="A761" s="13">
        <v>21629</v>
      </c>
      <c r="B761" s="14" t="s">
        <v>4600</v>
      </c>
      <c r="C761" s="15" t="s">
        <v>4601</v>
      </c>
      <c r="D761" s="15" t="s">
        <v>4602</v>
      </c>
      <c r="E761" s="15" t="s">
        <v>4603</v>
      </c>
      <c r="F761" s="15"/>
      <c r="G761" s="15" t="s">
        <v>4604</v>
      </c>
      <c r="H761" s="16" t="s">
        <v>57</v>
      </c>
    </row>
    <row r="762" spans="1:8" x14ac:dyDescent="0.3">
      <c r="A762" s="13">
        <v>21630</v>
      </c>
      <c r="B762" s="14" t="s">
        <v>4605</v>
      </c>
      <c r="C762" s="15" t="s">
        <v>57</v>
      </c>
      <c r="D762" s="15"/>
      <c r="E762" s="15" t="s">
        <v>4606</v>
      </c>
      <c r="F762" s="15" t="s">
        <v>57</v>
      </c>
      <c r="G762" s="15" t="s">
        <v>4607</v>
      </c>
      <c r="H762" s="16" t="s">
        <v>57</v>
      </c>
    </row>
    <row r="763" spans="1:8" ht="33.75" x14ac:dyDescent="0.3">
      <c r="A763" s="13">
        <v>21631</v>
      </c>
      <c r="B763" s="14" t="s">
        <v>4608</v>
      </c>
      <c r="C763" s="15" t="s">
        <v>4609</v>
      </c>
      <c r="D763" s="15" t="s">
        <v>4610</v>
      </c>
      <c r="E763" s="15" t="s">
        <v>4611</v>
      </c>
      <c r="F763" s="15" t="s">
        <v>4612</v>
      </c>
      <c r="G763" s="15" t="s">
        <v>4613</v>
      </c>
      <c r="H763" s="16" t="s">
        <v>4614</v>
      </c>
    </row>
    <row r="764" spans="1:8" ht="22.5" x14ac:dyDescent="0.3">
      <c r="A764" s="13">
        <v>21632</v>
      </c>
      <c r="B764" s="14" t="s">
        <v>4615</v>
      </c>
      <c r="C764" s="15" t="s">
        <v>363</v>
      </c>
      <c r="D764" s="15" t="s">
        <v>368</v>
      </c>
      <c r="E764" s="15" t="s">
        <v>368</v>
      </c>
      <c r="F764" s="15" t="s">
        <v>4616</v>
      </c>
      <c r="G764" s="15" t="s">
        <v>4617</v>
      </c>
      <c r="H764" s="16" t="s">
        <v>4617</v>
      </c>
    </row>
    <row r="765" spans="1:8" ht="22.5" x14ac:dyDescent="0.3">
      <c r="A765" s="13">
        <v>21633</v>
      </c>
      <c r="B765" s="14" t="s">
        <v>4618</v>
      </c>
      <c r="C765" s="15" t="s">
        <v>4619</v>
      </c>
      <c r="D765" s="15" t="s">
        <v>4620</v>
      </c>
      <c r="E765" s="15" t="s">
        <v>4621</v>
      </c>
      <c r="F765" s="15" t="s">
        <v>4622</v>
      </c>
      <c r="G765" s="15" t="s">
        <v>4623</v>
      </c>
      <c r="H765" s="16" t="s">
        <v>4624</v>
      </c>
    </row>
    <row r="766" spans="1:8" ht="22.5" x14ac:dyDescent="0.3">
      <c r="A766" s="13" t="s">
        <v>4625</v>
      </c>
      <c r="B766" s="14" t="s">
        <v>4626</v>
      </c>
      <c r="C766" s="15" t="s">
        <v>4627</v>
      </c>
      <c r="D766" s="15" t="s">
        <v>4628</v>
      </c>
      <c r="E766" s="15" t="s">
        <v>4629</v>
      </c>
      <c r="F766" s="15" t="s">
        <v>4630</v>
      </c>
      <c r="G766" s="15" t="s">
        <v>4631</v>
      </c>
      <c r="H766" s="16" t="s">
        <v>4632</v>
      </c>
    </row>
    <row r="767" spans="1:8" ht="78.75" x14ac:dyDescent="0.3">
      <c r="A767" s="13">
        <v>21634</v>
      </c>
      <c r="B767" s="14" t="s">
        <v>4633</v>
      </c>
      <c r="C767" s="15" t="s">
        <v>4634</v>
      </c>
      <c r="D767" s="15" t="s">
        <v>4633</v>
      </c>
      <c r="E767" s="15" t="s">
        <v>4635</v>
      </c>
      <c r="F767" s="15" t="s">
        <v>4636</v>
      </c>
      <c r="G767" s="15" t="s">
        <v>4633</v>
      </c>
      <c r="H767" s="16" t="s">
        <v>4633</v>
      </c>
    </row>
    <row r="768" spans="1:8" ht="45" x14ac:dyDescent="0.3">
      <c r="A768" s="13" t="s">
        <v>4637</v>
      </c>
      <c r="B768" s="14" t="s">
        <v>19726</v>
      </c>
      <c r="C768" s="15" t="s">
        <v>4638</v>
      </c>
      <c r="D768" s="15" t="s">
        <v>4639</v>
      </c>
      <c r="E768" s="15" t="s">
        <v>4640</v>
      </c>
      <c r="F768" s="15" t="s">
        <v>4641</v>
      </c>
      <c r="G768" s="15" t="s">
        <v>4642</v>
      </c>
      <c r="H768" s="16" t="s">
        <v>4643</v>
      </c>
    </row>
    <row r="769" spans="1:8" ht="33.75" x14ac:dyDescent="0.3">
      <c r="A769" s="13">
        <v>21635</v>
      </c>
      <c r="B769" s="14" t="s">
        <v>4644</v>
      </c>
      <c r="C769" s="15" t="s">
        <v>4645</v>
      </c>
      <c r="D769" s="15" t="s">
        <v>4646</v>
      </c>
      <c r="E769" s="15" t="s">
        <v>4647</v>
      </c>
      <c r="F769" s="15" t="s">
        <v>4648</v>
      </c>
      <c r="G769" s="15" t="s">
        <v>4649</v>
      </c>
      <c r="H769" s="16" t="s">
        <v>4650</v>
      </c>
    </row>
    <row r="770" spans="1:8" ht="90" x14ac:dyDescent="0.3">
      <c r="A770" s="13">
        <v>21636</v>
      </c>
      <c r="B770" s="14" t="s">
        <v>4651</v>
      </c>
      <c r="C770" s="15" t="s">
        <v>4652</v>
      </c>
      <c r="D770" s="15" t="s">
        <v>4653</v>
      </c>
      <c r="E770" s="15" t="s">
        <v>4654</v>
      </c>
      <c r="F770" s="15" t="s">
        <v>4655</v>
      </c>
      <c r="G770" s="15" t="s">
        <v>4656</v>
      </c>
      <c r="H770" s="16" t="s">
        <v>4657</v>
      </c>
    </row>
    <row r="771" spans="1:8" ht="45" x14ac:dyDescent="0.3">
      <c r="A771" s="13" t="s">
        <v>4658</v>
      </c>
      <c r="B771" s="14" t="s">
        <v>19725</v>
      </c>
      <c r="C771" s="15" t="s">
        <v>4659</v>
      </c>
      <c r="D771" s="15"/>
      <c r="E771" s="15" t="s">
        <v>4660</v>
      </c>
      <c r="F771" s="15" t="s">
        <v>4661</v>
      </c>
      <c r="G771" s="15" t="s">
        <v>4662</v>
      </c>
      <c r="H771" s="16" t="s">
        <v>4663</v>
      </c>
    </row>
    <row r="772" spans="1:8" ht="45" x14ac:dyDescent="0.3">
      <c r="A772" s="13" t="s">
        <v>4664</v>
      </c>
      <c r="B772" s="14" t="s">
        <v>19726</v>
      </c>
      <c r="C772" s="15" t="s">
        <v>4665</v>
      </c>
      <c r="D772" s="15"/>
      <c r="E772" s="15" t="s">
        <v>4666</v>
      </c>
      <c r="F772" s="15" t="s">
        <v>4667</v>
      </c>
      <c r="G772" s="15" t="s">
        <v>4668</v>
      </c>
      <c r="H772" s="16" t="s">
        <v>4669</v>
      </c>
    </row>
    <row r="773" spans="1:8" x14ac:dyDescent="0.3">
      <c r="A773" s="13">
        <v>21637</v>
      </c>
      <c r="B773" s="14" t="s">
        <v>4670</v>
      </c>
      <c r="C773" s="15" t="s">
        <v>4671</v>
      </c>
      <c r="D773" s="15" t="s">
        <v>4672</v>
      </c>
      <c r="E773" s="15" t="s">
        <v>4673</v>
      </c>
      <c r="F773" s="15" t="s">
        <v>4674</v>
      </c>
      <c r="G773" s="15" t="s">
        <v>4675</v>
      </c>
      <c r="H773" s="16" t="s">
        <v>4676</v>
      </c>
    </row>
    <row r="774" spans="1:8" ht="22.5" x14ac:dyDescent="0.3">
      <c r="A774" s="13">
        <v>21638</v>
      </c>
      <c r="B774" s="14" t="s">
        <v>4677</v>
      </c>
      <c r="C774" s="15" t="s">
        <v>4678</v>
      </c>
      <c r="D774" s="15"/>
      <c r="E774" s="15" t="s">
        <v>4679</v>
      </c>
      <c r="F774" s="15" t="s">
        <v>4680</v>
      </c>
      <c r="G774" s="15" t="s">
        <v>4681</v>
      </c>
      <c r="H774" s="16" t="s">
        <v>4682</v>
      </c>
    </row>
    <row r="775" spans="1:8" ht="22.5" x14ac:dyDescent="0.3">
      <c r="A775" s="13">
        <v>21639</v>
      </c>
      <c r="B775" s="14" t="s">
        <v>4683</v>
      </c>
      <c r="C775" s="15" t="s">
        <v>4684</v>
      </c>
      <c r="D775" s="15"/>
      <c r="E775" s="15" t="s">
        <v>4685</v>
      </c>
      <c r="F775" s="15" t="s">
        <v>4686</v>
      </c>
      <c r="G775" s="15" t="s">
        <v>4685</v>
      </c>
      <c r="H775" s="16" t="s">
        <v>4685</v>
      </c>
    </row>
    <row r="776" spans="1:8" ht="22.5" x14ac:dyDescent="0.3">
      <c r="A776" s="13" t="s">
        <v>4687</v>
      </c>
      <c r="B776" s="14" t="s">
        <v>19726</v>
      </c>
      <c r="C776" s="15" t="s">
        <v>4688</v>
      </c>
      <c r="D776" s="15"/>
      <c r="E776" s="15" t="s">
        <v>4689</v>
      </c>
      <c r="F776" s="15" t="s">
        <v>4690</v>
      </c>
      <c r="G776" s="15" t="s">
        <v>4691</v>
      </c>
      <c r="H776" s="16" t="s">
        <v>4692</v>
      </c>
    </row>
    <row r="777" spans="1:8" ht="45" x14ac:dyDescent="0.3">
      <c r="A777" s="13">
        <v>21640</v>
      </c>
      <c r="B777" s="14" t="s">
        <v>4693</v>
      </c>
      <c r="C777" s="15" t="s">
        <v>4694</v>
      </c>
      <c r="D777" s="15" t="s">
        <v>4695</v>
      </c>
      <c r="E777" s="15" t="s">
        <v>4696</v>
      </c>
      <c r="F777" s="15" t="s">
        <v>4697</v>
      </c>
      <c r="G777" s="15" t="s">
        <v>4698</v>
      </c>
      <c r="H777" s="16" t="s">
        <v>4699</v>
      </c>
    </row>
    <row r="778" spans="1:8" ht="22.5" x14ac:dyDescent="0.3">
      <c r="A778" s="13">
        <v>21641</v>
      </c>
      <c r="B778" s="14" t="s">
        <v>4700</v>
      </c>
      <c r="C778" s="15" t="s">
        <v>4701</v>
      </c>
      <c r="D778" s="15" t="s">
        <v>4702</v>
      </c>
      <c r="E778" s="15" t="s">
        <v>4703</v>
      </c>
      <c r="F778" s="15" t="s">
        <v>4704</v>
      </c>
      <c r="G778" s="15" t="s">
        <v>4705</v>
      </c>
      <c r="H778" s="16" t="s">
        <v>4706</v>
      </c>
    </row>
    <row r="779" spans="1:8" ht="22.5" x14ac:dyDescent="0.3">
      <c r="A779" s="13" t="s">
        <v>4707</v>
      </c>
      <c r="B779" s="14" t="s">
        <v>19726</v>
      </c>
      <c r="C779" s="15" t="s">
        <v>4708</v>
      </c>
      <c r="D779" s="15" t="s">
        <v>4709</v>
      </c>
      <c r="E779" s="15" t="s">
        <v>4710</v>
      </c>
      <c r="F779" s="15" t="s">
        <v>4711</v>
      </c>
      <c r="G779" s="15" t="s">
        <v>4712</v>
      </c>
      <c r="H779" s="16" t="s">
        <v>4713</v>
      </c>
    </row>
    <row r="780" spans="1:8" ht="33.75" x14ac:dyDescent="0.3">
      <c r="A780" s="13">
        <v>21642</v>
      </c>
      <c r="B780" s="14" t="s">
        <v>4714</v>
      </c>
      <c r="C780" s="15" t="s">
        <v>4715</v>
      </c>
      <c r="D780" s="15" t="s">
        <v>4716</v>
      </c>
      <c r="E780" s="15" t="s">
        <v>4717</v>
      </c>
      <c r="F780" s="15" t="s">
        <v>4718</v>
      </c>
      <c r="G780" s="15" t="s">
        <v>4719</v>
      </c>
      <c r="H780" s="16" t="s">
        <v>4719</v>
      </c>
    </row>
    <row r="781" spans="1:8" ht="67.5" x14ac:dyDescent="0.3">
      <c r="A781" s="13" t="s">
        <v>4720</v>
      </c>
      <c r="B781" s="14" t="s">
        <v>4721</v>
      </c>
      <c r="C781" s="15" t="s">
        <v>4722</v>
      </c>
      <c r="D781" s="15" t="s">
        <v>4721</v>
      </c>
      <c r="E781" s="15" t="s">
        <v>4723</v>
      </c>
      <c r="F781" s="15" t="s">
        <v>4724</v>
      </c>
      <c r="G781" s="15" t="s">
        <v>4725</v>
      </c>
      <c r="H781" s="16" t="s">
        <v>4726</v>
      </c>
    </row>
    <row r="782" spans="1:8" ht="22.5" x14ac:dyDescent="0.3">
      <c r="A782" s="13" t="s">
        <v>4727</v>
      </c>
      <c r="B782" s="14" t="s">
        <v>4728</v>
      </c>
      <c r="C782" s="15" t="s">
        <v>4729</v>
      </c>
      <c r="D782" s="15" t="s">
        <v>4730</v>
      </c>
      <c r="E782" s="15" t="s">
        <v>4731</v>
      </c>
      <c r="F782" s="15" t="s">
        <v>4732</v>
      </c>
      <c r="G782" s="15" t="s">
        <v>4733</v>
      </c>
      <c r="H782" s="16" t="s">
        <v>4734</v>
      </c>
    </row>
    <row r="783" spans="1:8" ht="22.5" x14ac:dyDescent="0.3">
      <c r="A783" s="13">
        <v>21643</v>
      </c>
      <c r="B783" s="14" t="s">
        <v>4735</v>
      </c>
      <c r="C783" s="15" t="s">
        <v>4736</v>
      </c>
      <c r="D783" s="15" t="s">
        <v>4737</v>
      </c>
      <c r="E783" s="15" t="s">
        <v>4738</v>
      </c>
      <c r="F783" s="15" t="s">
        <v>4735</v>
      </c>
      <c r="G783" s="15" t="s">
        <v>4739</v>
      </c>
      <c r="H783" s="16" t="s">
        <v>4735</v>
      </c>
    </row>
    <row r="784" spans="1:8" ht="33.75" x14ac:dyDescent="0.3">
      <c r="A784" s="13">
        <v>21644</v>
      </c>
      <c r="B784" s="14" t="s">
        <v>4740</v>
      </c>
      <c r="C784" s="15" t="s">
        <v>4741</v>
      </c>
      <c r="D784" s="15" t="s">
        <v>4742</v>
      </c>
      <c r="E784" s="15" t="s">
        <v>4743</v>
      </c>
      <c r="F784" s="15" t="s">
        <v>4744</v>
      </c>
      <c r="G784" s="15" t="s">
        <v>4745</v>
      </c>
      <c r="H784" s="16" t="s">
        <v>4746</v>
      </c>
    </row>
    <row r="785" spans="1:8" ht="22.5" x14ac:dyDescent="0.3">
      <c r="A785" s="13">
        <v>21645</v>
      </c>
      <c r="B785" s="14" t="s">
        <v>4747</v>
      </c>
      <c r="C785" s="15" t="s">
        <v>4748</v>
      </c>
      <c r="D785" s="15" t="s">
        <v>4749</v>
      </c>
      <c r="E785" s="15" t="s">
        <v>4749</v>
      </c>
      <c r="F785" s="15" t="s">
        <v>4750</v>
      </c>
      <c r="G785" s="15" t="s">
        <v>4751</v>
      </c>
      <c r="H785" s="16" t="s">
        <v>4752</v>
      </c>
    </row>
    <row r="786" spans="1:8" ht="33.75" x14ac:dyDescent="0.3">
      <c r="A786" s="13">
        <v>21646</v>
      </c>
      <c r="B786" s="14" t="s">
        <v>4753</v>
      </c>
      <c r="C786" s="15" t="s">
        <v>4754</v>
      </c>
      <c r="D786" s="15" t="s">
        <v>4755</v>
      </c>
      <c r="E786" s="15"/>
      <c r="F786" s="15" t="s">
        <v>4756</v>
      </c>
      <c r="G786" s="15" t="s">
        <v>4757</v>
      </c>
      <c r="H786" s="16" t="s">
        <v>4758</v>
      </c>
    </row>
    <row r="787" spans="1:8" ht="45" x14ac:dyDescent="0.3">
      <c r="A787" s="13">
        <v>21647</v>
      </c>
      <c r="B787" s="14" t="s">
        <v>4759</v>
      </c>
      <c r="C787" s="15" t="s">
        <v>4760</v>
      </c>
      <c r="D787" s="15" t="s">
        <v>4761</v>
      </c>
      <c r="E787" s="15" t="s">
        <v>4762</v>
      </c>
      <c r="F787" s="15" t="s">
        <v>4763</v>
      </c>
      <c r="G787" s="15" t="s">
        <v>4762</v>
      </c>
      <c r="H787" s="16" t="s">
        <v>4764</v>
      </c>
    </row>
    <row r="788" spans="1:8" ht="45" x14ac:dyDescent="0.3">
      <c r="A788" s="13">
        <v>21701</v>
      </c>
      <c r="B788" s="14" t="s">
        <v>4765</v>
      </c>
      <c r="C788" s="15" t="s">
        <v>4766</v>
      </c>
      <c r="D788" s="15" t="s">
        <v>4767</v>
      </c>
      <c r="E788" s="15" t="s">
        <v>4768</v>
      </c>
      <c r="F788" s="15" t="s">
        <v>4769</v>
      </c>
      <c r="G788" s="15" t="s">
        <v>4770</v>
      </c>
      <c r="H788" s="16" t="s">
        <v>4771</v>
      </c>
    </row>
    <row r="789" spans="1:8" ht="22.5" x14ac:dyDescent="0.3">
      <c r="A789" s="13">
        <v>21702</v>
      </c>
      <c r="B789" s="14" t="s">
        <v>4772</v>
      </c>
      <c r="C789" s="15" t="s">
        <v>4773</v>
      </c>
      <c r="D789" s="15" t="s">
        <v>4774</v>
      </c>
      <c r="E789" s="15" t="s">
        <v>4775</v>
      </c>
      <c r="F789" s="15" t="s">
        <v>4776</v>
      </c>
      <c r="G789" s="15" t="s">
        <v>4777</v>
      </c>
      <c r="H789" s="16" t="s">
        <v>4778</v>
      </c>
    </row>
    <row r="790" spans="1:8" ht="22.5" x14ac:dyDescent="0.3">
      <c r="A790" s="13">
        <v>21703</v>
      </c>
      <c r="B790" s="14" t="s">
        <v>4779</v>
      </c>
      <c r="C790" s="15" t="s">
        <v>1792</v>
      </c>
      <c r="D790" s="15" t="s">
        <v>4780</v>
      </c>
      <c r="E790" s="15" t="s">
        <v>4781</v>
      </c>
      <c r="F790" s="15" t="s">
        <v>4782</v>
      </c>
      <c r="G790" s="15" t="s">
        <v>4783</v>
      </c>
      <c r="H790" s="16" t="s">
        <v>1791</v>
      </c>
    </row>
    <row r="791" spans="1:8" ht="67.5" x14ac:dyDescent="0.3">
      <c r="A791" s="13">
        <v>21704</v>
      </c>
      <c r="B791" s="14" t="s">
        <v>4784</v>
      </c>
      <c r="C791" s="15" t="s">
        <v>4785</v>
      </c>
      <c r="D791" s="15" t="s">
        <v>4786</v>
      </c>
      <c r="E791" s="15" t="s">
        <v>4787</v>
      </c>
      <c r="F791" s="15" t="s">
        <v>4788</v>
      </c>
      <c r="G791" s="15" t="s">
        <v>4789</v>
      </c>
      <c r="H791" s="16" t="s">
        <v>4790</v>
      </c>
    </row>
    <row r="792" spans="1:8" ht="22.5" x14ac:dyDescent="0.3">
      <c r="A792" s="13">
        <v>21705</v>
      </c>
      <c r="B792" s="14" t="s">
        <v>4791</v>
      </c>
      <c r="C792" s="15" t="s">
        <v>4792</v>
      </c>
      <c r="D792" s="15" t="s">
        <v>4793</v>
      </c>
      <c r="E792" s="15" t="s">
        <v>4794</v>
      </c>
      <c r="F792" s="15" t="s">
        <v>4795</v>
      </c>
      <c r="G792" s="15" t="s">
        <v>4796</v>
      </c>
      <c r="H792" s="16" t="s">
        <v>4797</v>
      </c>
    </row>
    <row r="793" spans="1:8" ht="33.75" x14ac:dyDescent="0.3">
      <c r="A793" s="13" t="s">
        <v>4798</v>
      </c>
      <c r="B793" s="14" t="s">
        <v>4799</v>
      </c>
      <c r="C793" s="15" t="s">
        <v>4800</v>
      </c>
      <c r="D793" s="15" t="s">
        <v>4801</v>
      </c>
      <c r="E793" s="15" t="s">
        <v>4802</v>
      </c>
      <c r="F793" s="15" t="s">
        <v>57</v>
      </c>
      <c r="G793" s="15" t="s">
        <v>57</v>
      </c>
      <c r="H793" s="16" t="s">
        <v>57</v>
      </c>
    </row>
    <row r="794" spans="1:8" ht="22.5" x14ac:dyDescent="0.3">
      <c r="A794" s="13">
        <v>21706</v>
      </c>
      <c r="B794" s="14" t="s">
        <v>4803</v>
      </c>
      <c r="C794" s="15" t="s">
        <v>4803</v>
      </c>
      <c r="D794" s="15" t="s">
        <v>4804</v>
      </c>
      <c r="E794" s="15" t="s">
        <v>4805</v>
      </c>
      <c r="F794" s="15" t="s">
        <v>4806</v>
      </c>
      <c r="G794" s="15" t="s">
        <v>4807</v>
      </c>
      <c r="H794" s="16" t="s">
        <v>4808</v>
      </c>
    </row>
    <row r="795" spans="1:8" ht="45" x14ac:dyDescent="0.3">
      <c r="A795" s="13" t="s">
        <v>4809</v>
      </c>
      <c r="B795" s="14" t="s">
        <v>19726</v>
      </c>
      <c r="C795" s="15" t="s">
        <v>4810</v>
      </c>
      <c r="D795" s="15" t="s">
        <v>4811</v>
      </c>
      <c r="E795" s="15" t="s">
        <v>4812</v>
      </c>
      <c r="F795" s="15" t="s">
        <v>57</v>
      </c>
      <c r="G795" s="15" t="s">
        <v>4813</v>
      </c>
      <c r="H795" s="16" t="s">
        <v>4814</v>
      </c>
    </row>
    <row r="796" spans="1:8" ht="45" x14ac:dyDescent="0.3">
      <c r="A796" s="13">
        <v>21707</v>
      </c>
      <c r="B796" s="14" t="s">
        <v>4815</v>
      </c>
      <c r="C796" s="15" t="s">
        <v>4816</v>
      </c>
      <c r="D796" s="15" t="s">
        <v>4817</v>
      </c>
      <c r="E796" s="15" t="s">
        <v>4818</v>
      </c>
      <c r="F796" s="15"/>
      <c r="G796" s="15" t="s">
        <v>4819</v>
      </c>
      <c r="H796" s="16" t="s">
        <v>4820</v>
      </c>
    </row>
    <row r="797" spans="1:8" ht="56.25" x14ac:dyDescent="0.3">
      <c r="A797" s="13">
        <v>21708</v>
      </c>
      <c r="B797" s="14" t="s">
        <v>4821</v>
      </c>
      <c r="C797" s="15" t="s">
        <v>4822</v>
      </c>
      <c r="D797" s="15" t="s">
        <v>4823</v>
      </c>
      <c r="E797" s="15" t="s">
        <v>4824</v>
      </c>
      <c r="F797" s="15" t="s">
        <v>4825</v>
      </c>
      <c r="G797" s="15" t="s">
        <v>4826</v>
      </c>
      <c r="H797" s="16" t="s">
        <v>4827</v>
      </c>
    </row>
    <row r="798" spans="1:8" ht="45" x14ac:dyDescent="0.3">
      <c r="A798" s="13">
        <v>21709</v>
      </c>
      <c r="B798" s="14" t="s">
        <v>4828</v>
      </c>
      <c r="C798" s="15" t="s">
        <v>4829</v>
      </c>
      <c r="D798" s="15" t="s">
        <v>4830</v>
      </c>
      <c r="E798" s="15" t="s">
        <v>4831</v>
      </c>
      <c r="F798" s="15" t="s">
        <v>4832</v>
      </c>
      <c r="G798" s="15" t="s">
        <v>4833</v>
      </c>
      <c r="H798" s="16" t="s">
        <v>4828</v>
      </c>
    </row>
    <row r="799" spans="1:8" ht="56.25" x14ac:dyDescent="0.3">
      <c r="A799" s="13">
        <v>21710</v>
      </c>
      <c r="B799" s="14" t="s">
        <v>4834</v>
      </c>
      <c r="C799" s="15" t="s">
        <v>4835</v>
      </c>
      <c r="D799" s="15" t="s">
        <v>4836</v>
      </c>
      <c r="E799" s="15" t="s">
        <v>4837</v>
      </c>
      <c r="F799" s="15" t="s">
        <v>4838</v>
      </c>
      <c r="G799" s="15" t="s">
        <v>4839</v>
      </c>
      <c r="H799" s="16" t="s">
        <v>4840</v>
      </c>
    </row>
    <row r="800" spans="1:8" ht="33.75" x14ac:dyDescent="0.3">
      <c r="A800" s="13">
        <v>21711</v>
      </c>
      <c r="B800" s="14" t="s">
        <v>4841</v>
      </c>
      <c r="C800" s="15" t="s">
        <v>4842</v>
      </c>
      <c r="D800" s="15" t="s">
        <v>4843</v>
      </c>
      <c r="E800" s="15" t="s">
        <v>4844</v>
      </c>
      <c r="F800" s="15" t="s">
        <v>4845</v>
      </c>
      <c r="G800" s="15" t="s">
        <v>4844</v>
      </c>
      <c r="H800" s="16" t="s">
        <v>4846</v>
      </c>
    </row>
    <row r="801" spans="1:8" ht="67.5" x14ac:dyDescent="0.3">
      <c r="A801" s="13">
        <v>21712</v>
      </c>
      <c r="B801" s="14" t="s">
        <v>4847</v>
      </c>
      <c r="C801" s="15" t="s">
        <v>4848</v>
      </c>
      <c r="D801" s="15" t="s">
        <v>4849</v>
      </c>
      <c r="E801" s="15" t="s">
        <v>4850</v>
      </c>
      <c r="F801" s="15" t="s">
        <v>4851</v>
      </c>
      <c r="G801" s="15" t="s">
        <v>4852</v>
      </c>
      <c r="H801" s="16" t="s">
        <v>4853</v>
      </c>
    </row>
    <row r="802" spans="1:8" ht="22.5" x14ac:dyDescent="0.3">
      <c r="A802" s="13">
        <v>21713</v>
      </c>
      <c r="B802" s="14" t="s">
        <v>4854</v>
      </c>
      <c r="C802" s="15" t="s">
        <v>4855</v>
      </c>
      <c r="D802" s="15" t="s">
        <v>4856</v>
      </c>
      <c r="E802" s="15" t="s">
        <v>4857</v>
      </c>
      <c r="F802" s="15" t="s">
        <v>4858</v>
      </c>
      <c r="G802" s="15" t="s">
        <v>4859</v>
      </c>
      <c r="H802" s="16" t="s">
        <v>4860</v>
      </c>
    </row>
    <row r="803" spans="1:8" ht="22.5" x14ac:dyDescent="0.3">
      <c r="A803" s="13">
        <v>21714</v>
      </c>
      <c r="B803" s="14" t="s">
        <v>4861</v>
      </c>
      <c r="C803" s="15" t="s">
        <v>4862</v>
      </c>
      <c r="D803" s="15" t="s">
        <v>4863</v>
      </c>
      <c r="E803" s="15" t="s">
        <v>4864</v>
      </c>
      <c r="F803" s="15" t="s">
        <v>4865</v>
      </c>
      <c r="G803" s="15" t="s">
        <v>4866</v>
      </c>
      <c r="H803" s="16" t="s">
        <v>4866</v>
      </c>
    </row>
    <row r="804" spans="1:8" ht="45" x14ac:dyDescent="0.3">
      <c r="A804" s="13">
        <v>21715</v>
      </c>
      <c r="B804" s="14" t="s">
        <v>4867</v>
      </c>
      <c r="C804" s="15" t="s">
        <v>4868</v>
      </c>
      <c r="D804" s="15" t="s">
        <v>4869</v>
      </c>
      <c r="E804" s="15" t="s">
        <v>4870</v>
      </c>
      <c r="F804" s="15" t="s">
        <v>4871</v>
      </c>
      <c r="G804" s="15" t="s">
        <v>4872</v>
      </c>
      <c r="H804" s="16" t="s">
        <v>4872</v>
      </c>
    </row>
    <row r="805" spans="1:8" x14ac:dyDescent="0.3">
      <c r="A805" s="13">
        <v>21716</v>
      </c>
      <c r="B805" s="14" t="s">
        <v>4873</v>
      </c>
      <c r="C805" s="15" t="s">
        <v>57</v>
      </c>
      <c r="D805" s="15" t="s">
        <v>4873</v>
      </c>
      <c r="E805" s="15" t="s">
        <v>4873</v>
      </c>
      <c r="F805" s="15" t="s">
        <v>4873</v>
      </c>
      <c r="G805" s="15" t="s">
        <v>4873</v>
      </c>
      <c r="H805" s="16" t="s">
        <v>4874</v>
      </c>
    </row>
    <row r="806" spans="1:8" ht="45" x14ac:dyDescent="0.3">
      <c r="A806" s="13">
        <v>21717</v>
      </c>
      <c r="B806" s="14" t="s">
        <v>4875</v>
      </c>
      <c r="C806" s="15" t="s">
        <v>4876</v>
      </c>
      <c r="D806" s="15" t="s">
        <v>4875</v>
      </c>
      <c r="E806" s="15" t="s">
        <v>4877</v>
      </c>
      <c r="F806" s="15" t="s">
        <v>4875</v>
      </c>
      <c r="G806" s="15" t="s">
        <v>4878</v>
      </c>
      <c r="H806" s="16" t="s">
        <v>4875</v>
      </c>
    </row>
    <row r="807" spans="1:8" ht="45" x14ac:dyDescent="0.3">
      <c r="A807" s="13" t="s">
        <v>4879</v>
      </c>
      <c r="B807" s="14" t="s">
        <v>19725</v>
      </c>
      <c r="C807" s="15" t="s">
        <v>4880</v>
      </c>
      <c r="D807" s="15" t="s">
        <v>4881</v>
      </c>
      <c r="E807" s="15" t="s">
        <v>4882</v>
      </c>
      <c r="F807" s="15" t="s">
        <v>4883</v>
      </c>
      <c r="G807" s="15" t="s">
        <v>4884</v>
      </c>
      <c r="H807" s="16" t="s">
        <v>4885</v>
      </c>
    </row>
    <row r="808" spans="1:8" ht="45" x14ac:dyDescent="0.3">
      <c r="A808" s="13" t="s">
        <v>4886</v>
      </c>
      <c r="B808" s="14" t="s">
        <v>19726</v>
      </c>
      <c r="C808" s="15" t="s">
        <v>4887</v>
      </c>
      <c r="D808" s="15"/>
      <c r="E808" s="15" t="s">
        <v>4888</v>
      </c>
      <c r="F808" s="15" t="s">
        <v>4889</v>
      </c>
      <c r="G808" s="15" t="s">
        <v>4890</v>
      </c>
      <c r="H808" s="16" t="s">
        <v>4891</v>
      </c>
    </row>
    <row r="809" spans="1:8" ht="22.5" x14ac:dyDescent="0.3">
      <c r="A809" s="13">
        <v>21718</v>
      </c>
      <c r="B809" s="14" t="s">
        <v>4892</v>
      </c>
      <c r="C809" s="15" t="s">
        <v>4893</v>
      </c>
      <c r="D809" s="15" t="s">
        <v>4894</v>
      </c>
      <c r="E809" s="15" t="s">
        <v>4895</v>
      </c>
      <c r="F809" s="15" t="s">
        <v>4896</v>
      </c>
      <c r="G809" s="15" t="s">
        <v>4897</v>
      </c>
      <c r="H809" s="16" t="s">
        <v>4898</v>
      </c>
    </row>
    <row r="810" spans="1:8" x14ac:dyDescent="0.3">
      <c r="A810" s="13" t="s">
        <v>4899</v>
      </c>
      <c r="B810" s="14" t="s">
        <v>19726</v>
      </c>
      <c r="C810" s="15"/>
      <c r="D810" s="15"/>
      <c r="E810" s="15" t="s">
        <v>4900</v>
      </c>
      <c r="F810" s="15" t="s">
        <v>4901</v>
      </c>
      <c r="G810" s="15" t="s">
        <v>4902</v>
      </c>
      <c r="H810" s="16" t="s">
        <v>4903</v>
      </c>
    </row>
    <row r="811" spans="1:8" ht="56.25" x14ac:dyDescent="0.3">
      <c r="A811" s="13">
        <v>21719</v>
      </c>
      <c r="B811" s="14" t="s">
        <v>4904</v>
      </c>
      <c r="C811" s="15" t="s">
        <v>4905</v>
      </c>
      <c r="D811" s="15" t="s">
        <v>4906</v>
      </c>
      <c r="E811" s="15" t="s">
        <v>4907</v>
      </c>
      <c r="F811" s="15" t="s">
        <v>4908</v>
      </c>
      <c r="G811" s="15" t="s">
        <v>4909</v>
      </c>
      <c r="H811" s="16" t="s">
        <v>4910</v>
      </c>
    </row>
    <row r="812" spans="1:8" ht="22.5" x14ac:dyDescent="0.3">
      <c r="A812" s="13">
        <v>21720</v>
      </c>
      <c r="B812" s="14" t="s">
        <v>4911</v>
      </c>
      <c r="C812" s="15" t="s">
        <v>4912</v>
      </c>
      <c r="D812" s="15" t="s">
        <v>4913</v>
      </c>
      <c r="E812" s="15" t="s">
        <v>4914</v>
      </c>
      <c r="F812" s="15" t="s">
        <v>4913</v>
      </c>
      <c r="G812" s="15" t="s">
        <v>4913</v>
      </c>
      <c r="H812" s="16" t="s">
        <v>4915</v>
      </c>
    </row>
    <row r="813" spans="1:8" ht="22.5" x14ac:dyDescent="0.3">
      <c r="A813" s="13" t="s">
        <v>4916</v>
      </c>
      <c r="B813" s="14" t="s">
        <v>19725</v>
      </c>
      <c r="C813" s="15" t="s">
        <v>4917</v>
      </c>
      <c r="D813" s="15" t="s">
        <v>4918</v>
      </c>
      <c r="E813" s="15"/>
      <c r="F813" s="15" t="s">
        <v>4919</v>
      </c>
      <c r="G813" s="15" t="s">
        <v>4920</v>
      </c>
      <c r="H813" s="16" t="s">
        <v>4921</v>
      </c>
    </row>
    <row r="814" spans="1:8" ht="56.25" x14ac:dyDescent="0.3">
      <c r="A814" s="13">
        <v>21721</v>
      </c>
      <c r="B814" s="14" t="s">
        <v>4922</v>
      </c>
      <c r="C814" s="15" t="s">
        <v>4923</v>
      </c>
      <c r="D814" s="15" t="s">
        <v>4924</v>
      </c>
      <c r="E814" s="15" t="s">
        <v>4925</v>
      </c>
      <c r="F814" s="15" t="s">
        <v>4922</v>
      </c>
      <c r="G814" s="15" t="s">
        <v>4922</v>
      </c>
      <c r="H814" s="16" t="s">
        <v>4926</v>
      </c>
    </row>
    <row r="815" spans="1:8" ht="33.75" x14ac:dyDescent="0.3">
      <c r="A815" s="13">
        <v>21722</v>
      </c>
      <c r="B815" s="14" t="s">
        <v>4927</v>
      </c>
      <c r="C815" s="15" t="s">
        <v>4928</v>
      </c>
      <c r="D815" s="15" t="s">
        <v>4929</v>
      </c>
      <c r="E815" s="15" t="s">
        <v>4930</v>
      </c>
      <c r="F815" s="15" t="s">
        <v>57</v>
      </c>
      <c r="G815" s="15" t="s">
        <v>4931</v>
      </c>
      <c r="H815" s="16" t="s">
        <v>4932</v>
      </c>
    </row>
    <row r="816" spans="1:8" ht="22.5" x14ac:dyDescent="0.3">
      <c r="A816" s="13">
        <v>21723</v>
      </c>
      <c r="B816" s="14" t="s">
        <v>4933</v>
      </c>
      <c r="C816" s="15" t="s">
        <v>4934</v>
      </c>
      <c r="D816" s="15" t="s">
        <v>4935</v>
      </c>
      <c r="E816" s="15" t="s">
        <v>4936</v>
      </c>
      <c r="F816" s="15" t="s">
        <v>4937</v>
      </c>
      <c r="G816" s="15" t="s">
        <v>4938</v>
      </c>
      <c r="H816" s="16" t="s">
        <v>4939</v>
      </c>
    </row>
    <row r="817" spans="1:8" ht="33.75" x14ac:dyDescent="0.3">
      <c r="A817" s="13">
        <v>21724</v>
      </c>
      <c r="B817" s="14" t="s">
        <v>4940</v>
      </c>
      <c r="C817" s="15" t="s">
        <v>4941</v>
      </c>
      <c r="D817" s="15" t="s">
        <v>4942</v>
      </c>
      <c r="E817" s="15" t="s">
        <v>4943</v>
      </c>
      <c r="F817" s="15" t="s">
        <v>4944</v>
      </c>
      <c r="G817" s="15" t="s">
        <v>4945</v>
      </c>
      <c r="H817" s="16" t="s">
        <v>4946</v>
      </c>
    </row>
    <row r="818" spans="1:8" ht="33.75" x14ac:dyDescent="0.3">
      <c r="A818" s="13">
        <v>21725</v>
      </c>
      <c r="B818" s="14" t="s">
        <v>4947</v>
      </c>
      <c r="C818" s="15" t="s">
        <v>4948</v>
      </c>
      <c r="D818" s="15" t="s">
        <v>4949</v>
      </c>
      <c r="E818" s="15" t="s">
        <v>4950</v>
      </c>
      <c r="F818" s="15" t="s">
        <v>4951</v>
      </c>
      <c r="G818" s="15" t="s">
        <v>4952</v>
      </c>
      <c r="H818" s="16" t="s">
        <v>4953</v>
      </c>
    </row>
    <row r="819" spans="1:8" ht="22.5" x14ac:dyDescent="0.3">
      <c r="A819" s="13">
        <v>21726</v>
      </c>
      <c r="B819" s="14" t="s">
        <v>4954</v>
      </c>
      <c r="C819" s="15" t="s">
        <v>4955</v>
      </c>
      <c r="D819" s="15" t="s">
        <v>4956</v>
      </c>
      <c r="E819" s="15"/>
      <c r="F819" s="15" t="s">
        <v>4957</v>
      </c>
      <c r="G819" s="15" t="s">
        <v>4958</v>
      </c>
      <c r="H819" s="16" t="s">
        <v>4959</v>
      </c>
    </row>
    <row r="820" spans="1:8" ht="22.5" x14ac:dyDescent="0.3">
      <c r="A820" s="13">
        <v>21727</v>
      </c>
      <c r="B820" s="14" t="s">
        <v>4960</v>
      </c>
      <c r="C820" s="15" t="s">
        <v>4961</v>
      </c>
      <c r="D820" s="15" t="s">
        <v>4962</v>
      </c>
      <c r="E820" s="15" t="s">
        <v>4963</v>
      </c>
      <c r="F820" s="15" t="s">
        <v>4964</v>
      </c>
      <c r="G820" s="15" t="s">
        <v>4965</v>
      </c>
      <c r="H820" s="16" t="s">
        <v>4966</v>
      </c>
    </row>
    <row r="821" spans="1:8" x14ac:dyDescent="0.3">
      <c r="A821" s="13">
        <v>21728</v>
      </c>
      <c r="B821" s="14" t="s">
        <v>4967</v>
      </c>
      <c r="C821" s="15" t="s">
        <v>4968</v>
      </c>
      <c r="D821" s="15"/>
      <c r="E821" s="15" t="s">
        <v>4969</v>
      </c>
      <c r="F821" s="15" t="s">
        <v>4970</v>
      </c>
      <c r="G821" s="15" t="s">
        <v>4971</v>
      </c>
      <c r="H821" s="16" t="s">
        <v>4972</v>
      </c>
    </row>
    <row r="822" spans="1:8" x14ac:dyDescent="0.3">
      <c r="A822" s="13">
        <v>21729</v>
      </c>
      <c r="B822" s="14" t="s">
        <v>4973</v>
      </c>
      <c r="C822" s="15" t="s">
        <v>4974</v>
      </c>
      <c r="D822" s="15" t="s">
        <v>4973</v>
      </c>
      <c r="E822" s="15" t="s">
        <v>4973</v>
      </c>
      <c r="F822" s="15" t="s">
        <v>4973</v>
      </c>
      <c r="G822" s="15" t="s">
        <v>4973</v>
      </c>
      <c r="H822" s="16" t="s">
        <v>4973</v>
      </c>
    </row>
    <row r="823" spans="1:8" x14ac:dyDescent="0.3">
      <c r="A823" s="13">
        <v>21730</v>
      </c>
      <c r="B823" s="14" t="s">
        <v>4975</v>
      </c>
      <c r="C823" s="15" t="s">
        <v>4976</v>
      </c>
      <c r="D823" s="15" t="s">
        <v>4975</v>
      </c>
      <c r="E823" s="15" t="s">
        <v>4977</v>
      </c>
      <c r="F823" s="15" t="s">
        <v>4975</v>
      </c>
      <c r="G823" s="15" t="s">
        <v>4978</v>
      </c>
      <c r="H823" s="16" t="s">
        <v>4979</v>
      </c>
    </row>
    <row r="824" spans="1:8" ht="45" x14ac:dyDescent="0.3">
      <c r="A824" s="13">
        <v>21731</v>
      </c>
      <c r="B824" s="14" t="s">
        <v>4980</v>
      </c>
      <c r="C824" s="15" t="s">
        <v>4981</v>
      </c>
      <c r="D824" s="15" t="s">
        <v>4982</v>
      </c>
      <c r="E824" s="15" t="s">
        <v>4983</v>
      </c>
      <c r="F824" s="15" t="s">
        <v>4983</v>
      </c>
      <c r="G824" s="15" t="s">
        <v>4984</v>
      </c>
      <c r="H824" s="16" t="s">
        <v>4985</v>
      </c>
    </row>
    <row r="825" spans="1:8" x14ac:dyDescent="0.3">
      <c r="A825" s="13">
        <v>21732</v>
      </c>
      <c r="B825" s="14" t="s">
        <v>4986</v>
      </c>
      <c r="C825" s="15" t="s">
        <v>4987</v>
      </c>
      <c r="D825" s="15" t="s">
        <v>4988</v>
      </c>
      <c r="E825" s="15" t="s">
        <v>4988</v>
      </c>
      <c r="F825" s="15" t="s">
        <v>4989</v>
      </c>
      <c r="G825" s="15" t="s">
        <v>4988</v>
      </c>
      <c r="H825" s="16" t="s">
        <v>4988</v>
      </c>
    </row>
    <row r="826" spans="1:8" x14ac:dyDescent="0.3">
      <c r="A826" s="13">
        <v>21733</v>
      </c>
      <c r="B826" s="14" t="s">
        <v>4990</v>
      </c>
      <c r="C826" s="15" t="s">
        <v>4991</v>
      </c>
      <c r="D826" s="15" t="s">
        <v>4992</v>
      </c>
      <c r="E826" s="15" t="s">
        <v>4992</v>
      </c>
      <c r="F826" s="15" t="s">
        <v>4993</v>
      </c>
      <c r="G826" s="15" t="s">
        <v>4994</v>
      </c>
      <c r="H826" s="16" t="s">
        <v>4992</v>
      </c>
    </row>
    <row r="827" spans="1:8" ht="22.5" x14ac:dyDescent="0.3">
      <c r="A827" s="13">
        <v>21734</v>
      </c>
      <c r="B827" s="14" t="s">
        <v>4995</v>
      </c>
      <c r="C827" s="15" t="s">
        <v>4996</v>
      </c>
      <c r="D827" s="15" t="s">
        <v>4997</v>
      </c>
      <c r="E827" s="15" t="s">
        <v>4998</v>
      </c>
      <c r="F827" s="15" t="s">
        <v>4999</v>
      </c>
      <c r="G827" s="15" t="s">
        <v>5000</v>
      </c>
      <c r="H827" s="16" t="s">
        <v>5001</v>
      </c>
    </row>
    <row r="828" spans="1:8" ht="22.5" x14ac:dyDescent="0.3">
      <c r="A828" s="13" t="s">
        <v>5002</v>
      </c>
      <c r="B828" s="14" t="s">
        <v>19725</v>
      </c>
      <c r="C828" s="15" t="s">
        <v>5003</v>
      </c>
      <c r="D828" s="15" t="s">
        <v>5004</v>
      </c>
      <c r="E828" s="15" t="s">
        <v>5005</v>
      </c>
      <c r="F828" s="15" t="s">
        <v>5006</v>
      </c>
      <c r="G828" s="15" t="s">
        <v>5007</v>
      </c>
      <c r="H828" s="16" t="s">
        <v>5008</v>
      </c>
    </row>
    <row r="829" spans="1:8" ht="22.5" x14ac:dyDescent="0.3">
      <c r="A829" s="13" t="s">
        <v>5009</v>
      </c>
      <c r="B829" s="14" t="s">
        <v>19726</v>
      </c>
      <c r="C829" s="15" t="s">
        <v>5010</v>
      </c>
      <c r="D829" s="15" t="s">
        <v>5011</v>
      </c>
      <c r="E829" s="15" t="s">
        <v>5012</v>
      </c>
      <c r="F829" s="15"/>
      <c r="G829" s="15" t="s">
        <v>57</v>
      </c>
      <c r="H829" s="16" t="s">
        <v>5013</v>
      </c>
    </row>
    <row r="830" spans="1:8" ht="22.5" x14ac:dyDescent="0.3">
      <c r="A830" s="13">
        <v>21735</v>
      </c>
      <c r="B830" s="14" t="s">
        <v>5014</v>
      </c>
      <c r="C830" s="15" t="s">
        <v>5015</v>
      </c>
      <c r="D830" s="15" t="s">
        <v>5016</v>
      </c>
      <c r="E830" s="15" t="s">
        <v>5017</v>
      </c>
      <c r="F830" s="15" t="s">
        <v>5018</v>
      </c>
      <c r="G830" s="15" t="s">
        <v>5019</v>
      </c>
      <c r="H830" s="16" t="s">
        <v>5020</v>
      </c>
    </row>
    <row r="831" spans="1:8" x14ac:dyDescent="0.3">
      <c r="A831" s="13">
        <v>21736</v>
      </c>
      <c r="B831" s="14" t="s">
        <v>5021</v>
      </c>
      <c r="C831" s="15" t="s">
        <v>5022</v>
      </c>
      <c r="D831" s="15" t="s">
        <v>5023</v>
      </c>
      <c r="E831" s="15" t="s">
        <v>5024</v>
      </c>
      <c r="F831" s="15" t="s">
        <v>5025</v>
      </c>
      <c r="G831" s="15" t="s">
        <v>5026</v>
      </c>
      <c r="H831" s="16" t="s">
        <v>5027</v>
      </c>
    </row>
    <row r="832" spans="1:8" x14ac:dyDescent="0.3">
      <c r="A832" s="13">
        <v>21737</v>
      </c>
      <c r="B832" s="14" t="s">
        <v>5028</v>
      </c>
      <c r="C832" s="15" t="s">
        <v>5029</v>
      </c>
      <c r="D832" s="15" t="s">
        <v>5028</v>
      </c>
      <c r="E832" s="15" t="s">
        <v>5028</v>
      </c>
      <c r="F832" s="15" t="s">
        <v>5030</v>
      </c>
      <c r="G832" s="15" t="s">
        <v>5028</v>
      </c>
      <c r="H832" s="16" t="s">
        <v>5028</v>
      </c>
    </row>
    <row r="833" spans="1:8" ht="45" x14ac:dyDescent="0.3">
      <c r="A833" s="13">
        <v>21738</v>
      </c>
      <c r="B833" s="14" t="s">
        <v>5031</v>
      </c>
      <c r="C833" s="15" t="s">
        <v>5032</v>
      </c>
      <c r="D833" s="15" t="s">
        <v>5033</v>
      </c>
      <c r="E833" s="15" t="s">
        <v>5034</v>
      </c>
      <c r="F833" s="15" t="s">
        <v>5035</v>
      </c>
      <c r="G833" s="15" t="s">
        <v>5031</v>
      </c>
      <c r="H833" s="16" t="s">
        <v>5036</v>
      </c>
    </row>
    <row r="834" spans="1:8" ht="22.5" x14ac:dyDescent="0.3">
      <c r="A834" s="13">
        <v>21739</v>
      </c>
      <c r="B834" s="14" t="s">
        <v>5037</v>
      </c>
      <c r="C834" s="15" t="s">
        <v>5038</v>
      </c>
      <c r="D834" s="15" t="s">
        <v>5039</v>
      </c>
      <c r="E834" s="15" t="s">
        <v>5040</v>
      </c>
      <c r="F834" s="15" t="s">
        <v>57</v>
      </c>
      <c r="G834" s="15" t="s">
        <v>57</v>
      </c>
      <c r="H834" s="16" t="s">
        <v>57</v>
      </c>
    </row>
    <row r="835" spans="1:8" ht="22.5" x14ac:dyDescent="0.3">
      <c r="A835" s="13">
        <v>21740</v>
      </c>
      <c r="B835" s="14" t="s">
        <v>5041</v>
      </c>
      <c r="C835" s="15" t="s">
        <v>5042</v>
      </c>
      <c r="D835" s="15" t="s">
        <v>5043</v>
      </c>
      <c r="E835" s="15" t="s">
        <v>5044</v>
      </c>
      <c r="F835" s="15" t="s">
        <v>5045</v>
      </c>
      <c r="G835" s="15" t="s">
        <v>5046</v>
      </c>
      <c r="H835" s="16" t="s">
        <v>5047</v>
      </c>
    </row>
    <row r="836" spans="1:8" x14ac:dyDescent="0.3">
      <c r="A836" s="13">
        <v>21741</v>
      </c>
      <c r="B836" s="14" t="s">
        <v>5048</v>
      </c>
      <c r="C836" s="15" t="s">
        <v>5049</v>
      </c>
      <c r="D836" s="15" t="s">
        <v>5050</v>
      </c>
      <c r="E836" s="15" t="s">
        <v>5051</v>
      </c>
      <c r="F836" s="15" t="s">
        <v>5052</v>
      </c>
      <c r="G836" s="15" t="s">
        <v>5053</v>
      </c>
      <c r="H836" s="16" t="s">
        <v>5054</v>
      </c>
    </row>
    <row r="837" spans="1:8" ht="45" x14ac:dyDescent="0.3">
      <c r="A837" s="13">
        <v>21742</v>
      </c>
      <c r="B837" s="14" t="s">
        <v>5055</v>
      </c>
      <c r="C837" s="15" t="s">
        <v>5056</v>
      </c>
      <c r="D837" s="15" t="s">
        <v>5057</v>
      </c>
      <c r="E837" s="15" t="s">
        <v>5058</v>
      </c>
      <c r="F837" s="15" t="s">
        <v>5059</v>
      </c>
      <c r="G837" s="15" t="s">
        <v>5060</v>
      </c>
      <c r="H837" s="16" t="s">
        <v>5061</v>
      </c>
    </row>
    <row r="838" spans="1:8" x14ac:dyDescent="0.3">
      <c r="A838" s="13">
        <v>21801</v>
      </c>
      <c r="B838" s="14" t="s">
        <v>5062</v>
      </c>
      <c r="C838" s="15" t="s">
        <v>5063</v>
      </c>
      <c r="D838" s="15" t="s">
        <v>5064</v>
      </c>
      <c r="E838" s="15" t="s">
        <v>5065</v>
      </c>
      <c r="F838" s="15" t="s">
        <v>5066</v>
      </c>
      <c r="G838" s="15" t="s">
        <v>5062</v>
      </c>
      <c r="H838" s="16" t="s">
        <v>5062</v>
      </c>
    </row>
    <row r="839" spans="1:8" x14ac:dyDescent="0.3">
      <c r="A839" s="13">
        <v>21802</v>
      </c>
      <c r="B839" s="14" t="s">
        <v>5067</v>
      </c>
      <c r="C839" s="15" t="s">
        <v>5068</v>
      </c>
      <c r="D839" s="15" t="s">
        <v>5069</v>
      </c>
      <c r="E839" s="15" t="s">
        <v>5067</v>
      </c>
      <c r="F839" s="15" t="s">
        <v>5070</v>
      </c>
      <c r="G839" s="15" t="s">
        <v>5067</v>
      </c>
      <c r="H839" s="16" t="s">
        <v>5067</v>
      </c>
    </row>
    <row r="840" spans="1:8" ht="22.5" x14ac:dyDescent="0.3">
      <c r="A840" s="13">
        <v>21803</v>
      </c>
      <c r="B840" s="14" t="s">
        <v>5071</v>
      </c>
      <c r="C840" s="15" t="s">
        <v>5072</v>
      </c>
      <c r="D840" s="15" t="s">
        <v>5073</v>
      </c>
      <c r="E840" s="15" t="s">
        <v>5074</v>
      </c>
      <c r="F840" s="15" t="s">
        <v>5075</v>
      </c>
      <c r="G840" s="15" t="s">
        <v>5076</v>
      </c>
      <c r="H840" s="16" t="s">
        <v>5077</v>
      </c>
    </row>
    <row r="841" spans="1:8" ht="33.75" x14ac:dyDescent="0.3">
      <c r="A841" s="13">
        <v>21804</v>
      </c>
      <c r="B841" s="14" t="s">
        <v>5078</v>
      </c>
      <c r="C841" s="15" t="s">
        <v>5079</v>
      </c>
      <c r="D841" s="15" t="s">
        <v>5080</v>
      </c>
      <c r="E841" s="15" t="s">
        <v>5081</v>
      </c>
      <c r="F841" s="15" t="s">
        <v>5082</v>
      </c>
      <c r="G841" s="15" t="s">
        <v>5083</v>
      </c>
      <c r="H841" s="16" t="s">
        <v>5084</v>
      </c>
    </row>
    <row r="842" spans="1:8" ht="33.75" x14ac:dyDescent="0.3">
      <c r="A842" s="13">
        <v>21805</v>
      </c>
      <c r="B842" s="14" t="s">
        <v>5085</v>
      </c>
      <c r="C842" s="15" t="s">
        <v>5086</v>
      </c>
      <c r="D842" s="15" t="s">
        <v>5087</v>
      </c>
      <c r="E842" s="15" t="s">
        <v>5088</v>
      </c>
      <c r="F842" s="15" t="s">
        <v>5089</v>
      </c>
      <c r="G842" s="15" t="s">
        <v>5088</v>
      </c>
      <c r="H842" s="16" t="s">
        <v>5090</v>
      </c>
    </row>
    <row r="843" spans="1:8" ht="33.75" x14ac:dyDescent="0.3">
      <c r="A843" s="13">
        <v>21806</v>
      </c>
      <c r="B843" s="14" t="s">
        <v>5091</v>
      </c>
      <c r="C843" s="15" t="s">
        <v>5092</v>
      </c>
      <c r="D843" s="15" t="s">
        <v>5093</v>
      </c>
      <c r="E843" s="15" t="s">
        <v>5094</v>
      </c>
      <c r="F843" s="15" t="s">
        <v>5095</v>
      </c>
      <c r="G843" s="15" t="s">
        <v>5096</v>
      </c>
      <c r="H843" s="16" t="s">
        <v>5097</v>
      </c>
    </row>
    <row r="844" spans="1:8" ht="22.5" x14ac:dyDescent="0.3">
      <c r="A844" s="13">
        <v>21807</v>
      </c>
      <c r="B844" s="14" t="s">
        <v>5098</v>
      </c>
      <c r="C844" s="15" t="s">
        <v>5099</v>
      </c>
      <c r="D844" s="15" t="s">
        <v>5100</v>
      </c>
      <c r="E844" s="15" t="s">
        <v>5101</v>
      </c>
      <c r="F844" s="15" t="s">
        <v>5102</v>
      </c>
      <c r="G844" s="15" t="s">
        <v>5103</v>
      </c>
      <c r="H844" s="16" t="s">
        <v>5104</v>
      </c>
    </row>
    <row r="845" spans="1:8" x14ac:dyDescent="0.3">
      <c r="A845" s="13">
        <v>21808</v>
      </c>
      <c r="B845" s="14" t="s">
        <v>5105</v>
      </c>
      <c r="C845" s="15" t="s">
        <v>5106</v>
      </c>
      <c r="D845" s="15" t="s">
        <v>5105</v>
      </c>
      <c r="E845" s="15" t="s">
        <v>5105</v>
      </c>
      <c r="F845" s="15" t="s">
        <v>5107</v>
      </c>
      <c r="G845" s="15" t="s">
        <v>5108</v>
      </c>
      <c r="H845" s="16" t="s">
        <v>5105</v>
      </c>
    </row>
    <row r="846" spans="1:8" ht="56.25" x14ac:dyDescent="0.3">
      <c r="A846" s="13" t="s">
        <v>5109</v>
      </c>
      <c r="B846" s="14" t="s">
        <v>19724</v>
      </c>
      <c r="C846" s="15" t="s">
        <v>5110</v>
      </c>
      <c r="D846" s="15" t="s">
        <v>5111</v>
      </c>
      <c r="E846" s="15" t="s">
        <v>5112</v>
      </c>
      <c r="F846" s="15" t="s">
        <v>5113</v>
      </c>
      <c r="G846" s="15" t="s">
        <v>5114</v>
      </c>
      <c r="H846" s="16" t="s">
        <v>5115</v>
      </c>
    </row>
    <row r="847" spans="1:8" ht="33.75" x14ac:dyDescent="0.3">
      <c r="A847" s="13">
        <v>21809</v>
      </c>
      <c r="B847" s="14" t="s">
        <v>5116</v>
      </c>
      <c r="C847" s="15" t="s">
        <v>5117</v>
      </c>
      <c r="D847" s="15" t="s">
        <v>5118</v>
      </c>
      <c r="E847" s="15" t="s">
        <v>5118</v>
      </c>
      <c r="F847" s="15" t="s">
        <v>57</v>
      </c>
      <c r="G847" s="15" t="s">
        <v>5118</v>
      </c>
      <c r="H847" s="16" t="s">
        <v>5118</v>
      </c>
    </row>
    <row r="848" spans="1:8" ht="33.75" x14ac:dyDescent="0.3">
      <c r="A848" s="13" t="s">
        <v>5119</v>
      </c>
      <c r="B848" s="14" t="s">
        <v>19724</v>
      </c>
      <c r="C848" s="15" t="s">
        <v>5120</v>
      </c>
      <c r="D848" s="15" t="s">
        <v>5121</v>
      </c>
      <c r="E848" s="15" t="s">
        <v>5122</v>
      </c>
      <c r="F848" s="15" t="s">
        <v>57</v>
      </c>
      <c r="G848" s="15" t="s">
        <v>5123</v>
      </c>
      <c r="H848" s="16" t="s">
        <v>5124</v>
      </c>
    </row>
    <row r="849" spans="1:8" ht="22.5" x14ac:dyDescent="0.3">
      <c r="A849" s="13">
        <v>21810</v>
      </c>
      <c r="B849" s="14" t="s">
        <v>5125</v>
      </c>
      <c r="C849" s="15" t="s">
        <v>5126</v>
      </c>
      <c r="D849" s="15" t="s">
        <v>5127</v>
      </c>
      <c r="E849" s="15"/>
      <c r="F849" s="15"/>
      <c r="G849" s="15" t="s">
        <v>5128</v>
      </c>
      <c r="H849" s="16" t="s">
        <v>5129</v>
      </c>
    </row>
    <row r="850" spans="1:8" x14ac:dyDescent="0.3">
      <c r="A850" s="13">
        <v>21811</v>
      </c>
      <c r="B850" s="14" t="s">
        <v>5130</v>
      </c>
      <c r="C850" s="15" t="s">
        <v>5131</v>
      </c>
      <c r="D850" s="15" t="s">
        <v>5132</v>
      </c>
      <c r="E850" s="15" t="s">
        <v>5133</v>
      </c>
      <c r="F850" s="15" t="s">
        <v>5134</v>
      </c>
      <c r="G850" s="15" t="s">
        <v>5132</v>
      </c>
      <c r="H850" s="16" t="s">
        <v>5135</v>
      </c>
    </row>
    <row r="851" spans="1:8" x14ac:dyDescent="0.3">
      <c r="A851" s="13">
        <v>21812</v>
      </c>
      <c r="B851" s="14" t="s">
        <v>5136</v>
      </c>
      <c r="C851" s="15" t="s">
        <v>5137</v>
      </c>
      <c r="D851" s="15" t="s">
        <v>5138</v>
      </c>
      <c r="E851" s="15" t="s">
        <v>5139</v>
      </c>
      <c r="F851" s="15" t="s">
        <v>5140</v>
      </c>
      <c r="G851" s="15" t="s">
        <v>5141</v>
      </c>
      <c r="H851" s="16" t="s">
        <v>5142</v>
      </c>
    </row>
    <row r="852" spans="1:8" x14ac:dyDescent="0.3">
      <c r="A852" s="13">
        <v>21813</v>
      </c>
      <c r="B852" s="14" t="s">
        <v>5143</v>
      </c>
      <c r="C852" s="15" t="s">
        <v>5144</v>
      </c>
      <c r="D852" s="15" t="s">
        <v>5145</v>
      </c>
      <c r="E852" s="15" t="s">
        <v>5146</v>
      </c>
      <c r="F852" s="15" t="s">
        <v>5147</v>
      </c>
      <c r="G852" s="15" t="s">
        <v>5148</v>
      </c>
      <c r="H852" s="16" t="s">
        <v>5145</v>
      </c>
    </row>
    <row r="853" spans="1:8" ht="22.5" x14ac:dyDescent="0.3">
      <c r="A853" s="13">
        <v>21814</v>
      </c>
      <c r="B853" s="14" t="s">
        <v>5149</v>
      </c>
      <c r="C853" s="15" t="s">
        <v>5150</v>
      </c>
      <c r="D853" s="15" t="s">
        <v>5151</v>
      </c>
      <c r="E853" s="15" t="s">
        <v>5152</v>
      </c>
      <c r="F853" s="15" t="s">
        <v>5153</v>
      </c>
      <c r="G853" s="15" t="s">
        <v>5154</v>
      </c>
      <c r="H853" s="16" t="s">
        <v>5155</v>
      </c>
    </row>
    <row r="854" spans="1:8" ht="33.75" x14ac:dyDescent="0.3">
      <c r="A854" s="13" t="s">
        <v>5156</v>
      </c>
      <c r="B854" s="14" t="s">
        <v>19724</v>
      </c>
      <c r="C854" s="15" t="s">
        <v>5157</v>
      </c>
      <c r="D854" s="15"/>
      <c r="E854" s="15" t="s">
        <v>5158</v>
      </c>
      <c r="F854" s="15" t="s">
        <v>5159</v>
      </c>
      <c r="G854" s="15" t="s">
        <v>5160</v>
      </c>
      <c r="H854" s="16" t="s">
        <v>5161</v>
      </c>
    </row>
    <row r="855" spans="1:8" ht="45" x14ac:dyDescent="0.3">
      <c r="A855" s="13">
        <v>21815</v>
      </c>
      <c r="B855" s="14" t="s">
        <v>5162</v>
      </c>
      <c r="C855" s="15" t="s">
        <v>5163</v>
      </c>
      <c r="D855" s="15" t="s">
        <v>5164</v>
      </c>
      <c r="E855" s="15" t="s">
        <v>57</v>
      </c>
      <c r="F855" s="15" t="s">
        <v>57</v>
      </c>
      <c r="G855" s="15" t="s">
        <v>5165</v>
      </c>
      <c r="H855" s="16" t="s">
        <v>5166</v>
      </c>
    </row>
    <row r="856" spans="1:8" ht="33.75" x14ac:dyDescent="0.3">
      <c r="A856" s="13">
        <v>21816</v>
      </c>
      <c r="B856" s="14" t="s">
        <v>5167</v>
      </c>
      <c r="C856" s="15" t="s">
        <v>5168</v>
      </c>
      <c r="D856" s="15" t="s">
        <v>5167</v>
      </c>
      <c r="E856" s="15" t="s">
        <v>5169</v>
      </c>
      <c r="F856" s="15" t="s">
        <v>5170</v>
      </c>
      <c r="G856" s="15" t="s">
        <v>5171</v>
      </c>
      <c r="H856" s="16" t="s">
        <v>5172</v>
      </c>
    </row>
    <row r="857" spans="1:8" ht="22.5" x14ac:dyDescent="0.3">
      <c r="A857" s="13">
        <v>21817</v>
      </c>
      <c r="B857" s="14" t="s">
        <v>5173</v>
      </c>
      <c r="C857" s="15" t="s">
        <v>5174</v>
      </c>
      <c r="D857" s="15" t="s">
        <v>5175</v>
      </c>
      <c r="E857" s="15" t="s">
        <v>5176</v>
      </c>
      <c r="F857" s="15" t="s">
        <v>5177</v>
      </c>
      <c r="G857" s="15" t="s">
        <v>5178</v>
      </c>
      <c r="H857" s="16" t="s">
        <v>5179</v>
      </c>
    </row>
    <row r="858" spans="1:8" ht="33.75" x14ac:dyDescent="0.3">
      <c r="A858" s="13" t="s">
        <v>5180</v>
      </c>
      <c r="B858" s="14" t="s">
        <v>19725</v>
      </c>
      <c r="C858" s="15" t="s">
        <v>5181</v>
      </c>
      <c r="D858" s="15" t="s">
        <v>5182</v>
      </c>
      <c r="E858" s="15" t="s">
        <v>5183</v>
      </c>
      <c r="F858" s="15" t="s">
        <v>5184</v>
      </c>
      <c r="G858" s="15" t="s">
        <v>5185</v>
      </c>
      <c r="H858" s="16" t="s">
        <v>5186</v>
      </c>
    </row>
    <row r="859" spans="1:8" x14ac:dyDescent="0.3">
      <c r="A859" s="13">
        <v>21818</v>
      </c>
      <c r="B859" s="14" t="s">
        <v>5187</v>
      </c>
      <c r="C859" s="15" t="s">
        <v>5188</v>
      </c>
      <c r="D859" s="15"/>
      <c r="E859" s="15" t="s">
        <v>5189</v>
      </c>
      <c r="F859" s="15" t="s">
        <v>5190</v>
      </c>
      <c r="G859" s="15" t="s">
        <v>5191</v>
      </c>
      <c r="H859" s="16" t="s">
        <v>5187</v>
      </c>
    </row>
    <row r="860" spans="1:8" x14ac:dyDescent="0.3">
      <c r="A860" s="13" t="s">
        <v>5192</v>
      </c>
      <c r="B860" s="14" t="s">
        <v>19724</v>
      </c>
      <c r="C860" s="15" t="s">
        <v>5193</v>
      </c>
      <c r="D860" s="15" t="s">
        <v>5194</v>
      </c>
      <c r="E860" s="15" t="s">
        <v>5195</v>
      </c>
      <c r="F860" s="15" t="s">
        <v>5196</v>
      </c>
      <c r="G860" s="15" t="s">
        <v>5197</v>
      </c>
      <c r="H860" s="16" t="s">
        <v>5195</v>
      </c>
    </row>
    <row r="861" spans="1:8" ht="22.5" x14ac:dyDescent="0.3">
      <c r="A861" s="13">
        <v>21819</v>
      </c>
      <c r="B861" s="14" t="s">
        <v>5198</v>
      </c>
      <c r="C861" s="15" t="s">
        <v>5199</v>
      </c>
      <c r="D861" s="15" t="s">
        <v>5200</v>
      </c>
      <c r="E861" s="15" t="s">
        <v>5201</v>
      </c>
      <c r="F861" s="15" t="s">
        <v>5202</v>
      </c>
      <c r="G861" s="15" t="s">
        <v>5203</v>
      </c>
      <c r="H861" s="16" t="s">
        <v>5204</v>
      </c>
    </row>
    <row r="862" spans="1:8" ht="22.5" x14ac:dyDescent="0.3">
      <c r="A862" s="13">
        <v>21820</v>
      </c>
      <c r="B862" s="14" t="s">
        <v>5205</v>
      </c>
      <c r="C862" s="15" t="s">
        <v>5206</v>
      </c>
      <c r="D862" s="15" t="s">
        <v>5207</v>
      </c>
      <c r="E862" s="15" t="s">
        <v>5208</v>
      </c>
      <c r="F862" s="15" t="s">
        <v>5209</v>
      </c>
      <c r="G862" s="15" t="s">
        <v>5210</v>
      </c>
      <c r="H862" s="16" t="s">
        <v>5210</v>
      </c>
    </row>
    <row r="863" spans="1:8" x14ac:dyDescent="0.3">
      <c r="A863" s="13">
        <v>21821</v>
      </c>
      <c r="B863" s="14" t="s">
        <v>5211</v>
      </c>
      <c r="C863" s="15" t="s">
        <v>5212</v>
      </c>
      <c r="D863" s="15"/>
      <c r="E863" s="15" t="s">
        <v>5213</v>
      </c>
      <c r="F863" s="15" t="s">
        <v>5214</v>
      </c>
      <c r="G863" s="15" t="s">
        <v>5215</v>
      </c>
      <c r="H863" s="16" t="s">
        <v>5216</v>
      </c>
    </row>
    <row r="864" spans="1:8" ht="33.75" x14ac:dyDescent="0.3">
      <c r="A864" s="13" t="s">
        <v>5217</v>
      </c>
      <c r="B864" s="14" t="s">
        <v>19725</v>
      </c>
      <c r="C864" s="15" t="s">
        <v>5218</v>
      </c>
      <c r="D864" s="15"/>
      <c r="E864" s="15" t="s">
        <v>5219</v>
      </c>
      <c r="F864" s="15" t="s">
        <v>57</v>
      </c>
      <c r="G864" s="15" t="s">
        <v>5220</v>
      </c>
      <c r="H864" s="16" t="s">
        <v>5221</v>
      </c>
    </row>
    <row r="865" spans="1:8" ht="22.5" x14ac:dyDescent="0.3">
      <c r="A865" s="13" t="s">
        <v>5222</v>
      </c>
      <c r="B865" s="14" t="s">
        <v>19728</v>
      </c>
      <c r="C865" s="15"/>
      <c r="D865" s="15" t="s">
        <v>5223</v>
      </c>
      <c r="E865" s="15" t="s">
        <v>5224</v>
      </c>
      <c r="F865" s="15" t="s">
        <v>5225</v>
      </c>
      <c r="G865" s="15" t="s">
        <v>5226</v>
      </c>
      <c r="H865" s="16" t="s">
        <v>5227</v>
      </c>
    </row>
    <row r="866" spans="1:8" ht="33.75" x14ac:dyDescent="0.3">
      <c r="A866" s="13">
        <v>21822</v>
      </c>
      <c r="B866" s="14" t="s">
        <v>5228</v>
      </c>
      <c r="C866" s="15" t="s">
        <v>5229</v>
      </c>
      <c r="D866" s="15" t="s">
        <v>5230</v>
      </c>
      <c r="E866" s="15" t="s">
        <v>5231</v>
      </c>
      <c r="F866" s="15" t="s">
        <v>5232</v>
      </c>
      <c r="G866" s="15" t="s">
        <v>5233</v>
      </c>
      <c r="H866" s="16" t="s">
        <v>5234</v>
      </c>
    </row>
    <row r="867" spans="1:8" ht="67.5" x14ac:dyDescent="0.3">
      <c r="A867" s="13">
        <v>21823</v>
      </c>
      <c r="B867" s="14" t="s">
        <v>5235</v>
      </c>
      <c r="C867" s="15" t="s">
        <v>5236</v>
      </c>
      <c r="D867" s="15" t="s">
        <v>5237</v>
      </c>
      <c r="E867" s="15" t="s">
        <v>5238</v>
      </c>
      <c r="F867" s="15" t="s">
        <v>5239</v>
      </c>
      <c r="G867" s="15" t="s">
        <v>5240</v>
      </c>
      <c r="H867" s="16" t="s">
        <v>5241</v>
      </c>
    </row>
    <row r="868" spans="1:8" ht="45" x14ac:dyDescent="0.3">
      <c r="A868" s="13" t="s">
        <v>5242</v>
      </c>
      <c r="B868" s="14" t="s">
        <v>19726</v>
      </c>
      <c r="C868" s="15" t="s">
        <v>5243</v>
      </c>
      <c r="D868" s="15" t="s">
        <v>5244</v>
      </c>
      <c r="E868" s="15" t="s">
        <v>5245</v>
      </c>
      <c r="F868" s="15" t="s">
        <v>5246</v>
      </c>
      <c r="G868" s="15" t="s">
        <v>5247</v>
      </c>
      <c r="H868" s="16" t="s">
        <v>5248</v>
      </c>
    </row>
    <row r="869" spans="1:8" ht="56.25" x14ac:dyDescent="0.3">
      <c r="A869" s="13">
        <v>21824</v>
      </c>
      <c r="B869" s="14" t="s">
        <v>5249</v>
      </c>
      <c r="C869" s="15" t="s">
        <v>5250</v>
      </c>
      <c r="D869" s="15" t="s">
        <v>5251</v>
      </c>
      <c r="E869" s="15" t="s">
        <v>5252</v>
      </c>
      <c r="F869" s="15" t="s">
        <v>5253</v>
      </c>
      <c r="G869" s="15" t="s">
        <v>5254</v>
      </c>
      <c r="H869" s="16" t="s">
        <v>5255</v>
      </c>
    </row>
    <row r="870" spans="1:8" x14ac:dyDescent="0.3">
      <c r="A870" s="13">
        <v>21825</v>
      </c>
      <c r="B870" s="14" t="s">
        <v>5256</v>
      </c>
      <c r="C870" s="15" t="s">
        <v>5257</v>
      </c>
      <c r="D870" s="15" t="s">
        <v>5256</v>
      </c>
      <c r="E870" s="15" t="s">
        <v>5256</v>
      </c>
      <c r="F870" s="15" t="s">
        <v>5258</v>
      </c>
      <c r="G870" s="15" t="s">
        <v>5256</v>
      </c>
      <c r="H870" s="16" t="s">
        <v>5256</v>
      </c>
    </row>
    <row r="871" spans="1:8" x14ac:dyDescent="0.3">
      <c r="A871" s="13">
        <v>21826</v>
      </c>
      <c r="B871" s="14" t="s">
        <v>5259</v>
      </c>
      <c r="C871" s="15" t="s">
        <v>5260</v>
      </c>
      <c r="D871" s="15" t="s">
        <v>5261</v>
      </c>
      <c r="E871" s="15" t="s">
        <v>5261</v>
      </c>
      <c r="F871" s="15" t="s">
        <v>5262</v>
      </c>
      <c r="G871" s="15" t="s">
        <v>5261</v>
      </c>
      <c r="H871" s="16" t="s">
        <v>5261</v>
      </c>
    </row>
    <row r="872" spans="1:8" ht="22.5" x14ac:dyDescent="0.3">
      <c r="A872" s="13">
        <v>21827</v>
      </c>
      <c r="B872" s="14" t="s">
        <v>5263</v>
      </c>
      <c r="C872" s="15" t="s">
        <v>5264</v>
      </c>
      <c r="D872" s="15" t="s">
        <v>5265</v>
      </c>
      <c r="E872" s="15" t="s">
        <v>5266</v>
      </c>
      <c r="F872" s="15" t="s">
        <v>5267</v>
      </c>
      <c r="G872" s="15" t="s">
        <v>5268</v>
      </c>
      <c r="H872" s="16" t="s">
        <v>5269</v>
      </c>
    </row>
    <row r="873" spans="1:8" ht="33.75" x14ac:dyDescent="0.3">
      <c r="A873" s="13">
        <v>21828</v>
      </c>
      <c r="B873" s="14" t="s">
        <v>5270</v>
      </c>
      <c r="C873" s="15" t="s">
        <v>5271</v>
      </c>
      <c r="D873" s="15" t="s">
        <v>5272</v>
      </c>
      <c r="E873" s="15" t="s">
        <v>5273</v>
      </c>
      <c r="F873" s="15" t="s">
        <v>5274</v>
      </c>
      <c r="G873" s="15" t="s">
        <v>5275</v>
      </c>
      <c r="H873" s="16" t="s">
        <v>5276</v>
      </c>
    </row>
    <row r="874" spans="1:8" ht="22.5" x14ac:dyDescent="0.3">
      <c r="A874" s="13">
        <v>21829</v>
      </c>
      <c r="B874" s="14" t="s">
        <v>5277</v>
      </c>
      <c r="C874" s="15" t="s">
        <v>5278</v>
      </c>
      <c r="D874" s="15" t="s">
        <v>5279</v>
      </c>
      <c r="E874" s="15" t="s">
        <v>5280</v>
      </c>
      <c r="F874" s="15" t="s">
        <v>5281</v>
      </c>
      <c r="G874" s="15" t="s">
        <v>5282</v>
      </c>
      <c r="H874" s="16" t="s">
        <v>5283</v>
      </c>
    </row>
    <row r="875" spans="1:8" ht="22.5" x14ac:dyDescent="0.3">
      <c r="A875" s="13">
        <v>21830</v>
      </c>
      <c r="B875" s="14" t="s">
        <v>5284</v>
      </c>
      <c r="C875" s="15" t="s">
        <v>5285</v>
      </c>
      <c r="D875" s="15"/>
      <c r="E875" s="15" t="s">
        <v>5286</v>
      </c>
      <c r="F875" s="15" t="s">
        <v>5287</v>
      </c>
      <c r="G875" s="15" t="s">
        <v>5288</v>
      </c>
      <c r="H875" s="16" t="s">
        <v>5289</v>
      </c>
    </row>
    <row r="876" spans="1:8" ht="33.75" x14ac:dyDescent="0.3">
      <c r="A876" s="13">
        <v>21831</v>
      </c>
      <c r="B876" s="14" t="s">
        <v>5290</v>
      </c>
      <c r="C876" s="15" t="s">
        <v>5291</v>
      </c>
      <c r="D876" s="15" t="s">
        <v>5292</v>
      </c>
      <c r="E876" s="15" t="s">
        <v>5293</v>
      </c>
      <c r="F876" s="15" t="s">
        <v>5294</v>
      </c>
      <c r="G876" s="15" t="s">
        <v>5295</v>
      </c>
      <c r="H876" s="16" t="s">
        <v>5296</v>
      </c>
    </row>
    <row r="877" spans="1:8" ht="22.5" x14ac:dyDescent="0.3">
      <c r="A877" s="13">
        <v>21832</v>
      </c>
      <c r="B877" s="14" t="s">
        <v>5297</v>
      </c>
      <c r="C877" s="15" t="s">
        <v>5298</v>
      </c>
      <c r="D877" s="15" t="s">
        <v>5299</v>
      </c>
      <c r="E877" s="15" t="s">
        <v>5300</v>
      </c>
      <c r="F877" s="15" t="s">
        <v>5301</v>
      </c>
      <c r="G877" s="15" t="s">
        <v>5302</v>
      </c>
      <c r="H877" s="16" t="s">
        <v>5303</v>
      </c>
    </row>
    <row r="878" spans="1:8" x14ac:dyDescent="0.3">
      <c r="A878" s="13">
        <v>21833</v>
      </c>
      <c r="B878" s="14" t="s">
        <v>5304</v>
      </c>
      <c r="C878" s="15" t="s">
        <v>5305</v>
      </c>
      <c r="D878" s="15" t="s">
        <v>5306</v>
      </c>
      <c r="E878" s="15" t="s">
        <v>5307</v>
      </c>
      <c r="F878" s="15" t="s">
        <v>5308</v>
      </c>
      <c r="G878" s="15" t="s">
        <v>5309</v>
      </c>
      <c r="H878" s="16" t="s">
        <v>5310</v>
      </c>
    </row>
    <row r="879" spans="1:8" ht="22.5" x14ac:dyDescent="0.3">
      <c r="A879" s="13">
        <v>21834</v>
      </c>
      <c r="B879" s="14" t="s">
        <v>5311</v>
      </c>
      <c r="C879" s="15" t="s">
        <v>5312</v>
      </c>
      <c r="D879" s="15" t="s">
        <v>5313</v>
      </c>
      <c r="E879" s="15" t="s">
        <v>5314</v>
      </c>
      <c r="F879" s="15" t="s">
        <v>5315</v>
      </c>
      <c r="G879" s="15" t="s">
        <v>5313</v>
      </c>
      <c r="H879" s="16" t="s">
        <v>5316</v>
      </c>
    </row>
    <row r="880" spans="1:8" ht="45" x14ac:dyDescent="0.3">
      <c r="A880" s="13">
        <v>21835</v>
      </c>
      <c r="B880" s="14" t="s">
        <v>5317</v>
      </c>
      <c r="C880" s="15" t="s">
        <v>5318</v>
      </c>
      <c r="D880" s="15" t="s">
        <v>5319</v>
      </c>
      <c r="E880" s="15" t="s">
        <v>5320</v>
      </c>
      <c r="F880" s="15" t="s">
        <v>5319</v>
      </c>
      <c r="G880" s="15" t="s">
        <v>5317</v>
      </c>
      <c r="H880" s="16" t="s">
        <v>5319</v>
      </c>
    </row>
    <row r="881" spans="1:8" ht="22.5" x14ac:dyDescent="0.3">
      <c r="A881" s="13" t="s">
        <v>5321</v>
      </c>
      <c r="B881" s="14" t="s">
        <v>5322</v>
      </c>
      <c r="C881" s="15" t="s">
        <v>5323</v>
      </c>
      <c r="D881" s="15" t="s">
        <v>5324</v>
      </c>
      <c r="E881" s="15" t="s">
        <v>5319</v>
      </c>
      <c r="F881" s="15" t="s">
        <v>5319</v>
      </c>
      <c r="G881" s="15" t="s">
        <v>5325</v>
      </c>
      <c r="H881" s="16" t="s">
        <v>5326</v>
      </c>
    </row>
    <row r="882" spans="1:8" ht="33.75" x14ac:dyDescent="0.3">
      <c r="A882" s="13">
        <v>21836</v>
      </c>
      <c r="B882" s="14" t="s">
        <v>5327</v>
      </c>
      <c r="C882" s="15" t="s">
        <v>5328</v>
      </c>
      <c r="D882" s="15" t="s">
        <v>5329</v>
      </c>
      <c r="E882" s="15" t="s">
        <v>5330</v>
      </c>
      <c r="F882" s="15" t="s">
        <v>5331</v>
      </c>
      <c r="G882" s="15" t="s">
        <v>5332</v>
      </c>
      <c r="H882" s="16" t="s">
        <v>5333</v>
      </c>
    </row>
    <row r="883" spans="1:8" x14ac:dyDescent="0.3">
      <c r="A883" s="13">
        <v>21837</v>
      </c>
      <c r="B883" s="14" t="s">
        <v>5334</v>
      </c>
      <c r="C883" s="15" t="s">
        <v>5335</v>
      </c>
      <c r="D883" s="15" t="s">
        <v>5336</v>
      </c>
      <c r="E883" s="15" t="s">
        <v>5337</v>
      </c>
      <c r="F883" s="15" t="s">
        <v>5338</v>
      </c>
      <c r="G883" s="15" t="s">
        <v>5336</v>
      </c>
      <c r="H883" s="16" t="s">
        <v>5339</v>
      </c>
    </row>
    <row r="884" spans="1:8" ht="22.5" x14ac:dyDescent="0.3">
      <c r="A884" s="13">
        <v>21838</v>
      </c>
      <c r="B884" s="14" t="s">
        <v>5340</v>
      </c>
      <c r="C884" s="15" t="s">
        <v>5341</v>
      </c>
      <c r="D884" s="15" t="s">
        <v>5342</v>
      </c>
      <c r="E884" s="15" t="s">
        <v>5343</v>
      </c>
      <c r="F884" s="15" t="s">
        <v>5344</v>
      </c>
      <c r="G884" s="15" t="s">
        <v>5345</v>
      </c>
      <c r="H884" s="16" t="s">
        <v>5346</v>
      </c>
    </row>
    <row r="885" spans="1:8" ht="45" x14ac:dyDescent="0.3">
      <c r="A885" s="13">
        <v>21839</v>
      </c>
      <c r="B885" s="14" t="s">
        <v>5347</v>
      </c>
      <c r="C885" s="15" t="s">
        <v>5348</v>
      </c>
      <c r="D885" s="15" t="s">
        <v>5349</v>
      </c>
      <c r="E885" s="15" t="s">
        <v>5350</v>
      </c>
      <c r="F885" s="15" t="s">
        <v>5351</v>
      </c>
      <c r="G885" s="15" t="s">
        <v>5352</v>
      </c>
      <c r="H885" s="16" t="s">
        <v>5353</v>
      </c>
    </row>
    <row r="886" spans="1:8" ht="22.5" x14ac:dyDescent="0.3">
      <c r="A886" s="13">
        <v>21840</v>
      </c>
      <c r="B886" s="14" t="s">
        <v>5329</v>
      </c>
      <c r="C886" s="15" t="s">
        <v>5354</v>
      </c>
      <c r="D886" s="15" t="s">
        <v>5355</v>
      </c>
      <c r="E886" s="15" t="s">
        <v>5356</v>
      </c>
      <c r="F886" s="15" t="s">
        <v>5357</v>
      </c>
      <c r="G886" s="15" t="s">
        <v>5358</v>
      </c>
      <c r="H886" s="16" t="s">
        <v>5359</v>
      </c>
    </row>
    <row r="887" spans="1:8" ht="33.75" x14ac:dyDescent="0.3">
      <c r="A887" s="13">
        <v>21841</v>
      </c>
      <c r="B887" s="14" t="s">
        <v>5360</v>
      </c>
      <c r="C887" s="15" t="s">
        <v>57</v>
      </c>
      <c r="D887" s="15"/>
      <c r="E887" s="15" t="s">
        <v>5361</v>
      </c>
      <c r="F887" s="15" t="s">
        <v>5362</v>
      </c>
      <c r="G887" s="15" t="s">
        <v>5363</v>
      </c>
      <c r="H887" s="16" t="s">
        <v>5364</v>
      </c>
    </row>
    <row r="888" spans="1:8" ht="22.5" x14ac:dyDescent="0.3">
      <c r="A888" s="13" t="s">
        <v>5365</v>
      </c>
      <c r="B888" s="14" t="s">
        <v>19726</v>
      </c>
      <c r="C888" s="15" t="s">
        <v>57</v>
      </c>
      <c r="D888" s="15"/>
      <c r="E888" s="15" t="s">
        <v>5366</v>
      </c>
      <c r="F888" s="15" t="s">
        <v>57</v>
      </c>
      <c r="G888" s="15" t="s">
        <v>5367</v>
      </c>
      <c r="H888" s="16" t="s">
        <v>5364</v>
      </c>
    </row>
    <row r="889" spans="1:8" ht="33.75" x14ac:dyDescent="0.3">
      <c r="A889" s="13">
        <v>21842</v>
      </c>
      <c r="B889" s="14" t="s">
        <v>5368</v>
      </c>
      <c r="C889" s="15" t="s">
        <v>5369</v>
      </c>
      <c r="D889" s="15"/>
      <c r="E889" s="15" t="s">
        <v>5370</v>
      </c>
      <c r="F889" s="15" t="s">
        <v>57</v>
      </c>
      <c r="G889" s="15" t="s">
        <v>57</v>
      </c>
      <c r="H889" s="16" t="s">
        <v>57</v>
      </c>
    </row>
    <row r="890" spans="1:8" ht="33.75" x14ac:dyDescent="0.3">
      <c r="A890" s="13">
        <v>21843</v>
      </c>
      <c r="B890" s="14" t="s">
        <v>5371</v>
      </c>
      <c r="C890" s="15" t="s">
        <v>5372</v>
      </c>
      <c r="D890" s="15"/>
      <c r="E890" s="15" t="s">
        <v>5373</v>
      </c>
      <c r="F890" s="15" t="s">
        <v>5374</v>
      </c>
      <c r="G890" s="15" t="s">
        <v>5375</v>
      </c>
      <c r="H890" s="16" t="s">
        <v>5376</v>
      </c>
    </row>
    <row r="891" spans="1:8" ht="22.5" x14ac:dyDescent="0.3">
      <c r="A891" s="13">
        <v>21844</v>
      </c>
      <c r="B891" s="14" t="s">
        <v>5377</v>
      </c>
      <c r="C891" s="15" t="s">
        <v>5378</v>
      </c>
      <c r="D891" s="15"/>
      <c r="E891" s="15" t="s">
        <v>5379</v>
      </c>
      <c r="F891" s="15" t="s">
        <v>5377</v>
      </c>
      <c r="G891" s="15" t="s">
        <v>5380</v>
      </c>
      <c r="H891" s="16" t="s">
        <v>5381</v>
      </c>
    </row>
    <row r="892" spans="1:8" ht="22.5" x14ac:dyDescent="0.3">
      <c r="A892" s="13">
        <v>21845</v>
      </c>
      <c r="B892" s="14" t="s">
        <v>5382</v>
      </c>
      <c r="C892" s="15" t="s">
        <v>5383</v>
      </c>
      <c r="D892" s="15"/>
      <c r="E892" s="15" t="s">
        <v>5384</v>
      </c>
      <c r="F892" s="15" t="s">
        <v>5385</v>
      </c>
      <c r="G892" s="15" t="s">
        <v>5386</v>
      </c>
      <c r="H892" s="16" t="s">
        <v>5387</v>
      </c>
    </row>
    <row r="893" spans="1:8" ht="22.5" x14ac:dyDescent="0.3">
      <c r="A893" s="13">
        <v>21846</v>
      </c>
      <c r="B893" s="14" t="s">
        <v>5388</v>
      </c>
      <c r="C893" s="15" t="s">
        <v>5168</v>
      </c>
      <c r="D893" s="15"/>
      <c r="E893" s="15" t="s">
        <v>5389</v>
      </c>
      <c r="F893" s="15" t="s">
        <v>5390</v>
      </c>
      <c r="G893" s="15" t="s">
        <v>5391</v>
      </c>
      <c r="H893" s="16" t="s">
        <v>5392</v>
      </c>
    </row>
    <row r="894" spans="1:8" ht="33.75" x14ac:dyDescent="0.3">
      <c r="A894" s="13">
        <v>21847</v>
      </c>
      <c r="B894" s="14" t="s">
        <v>5393</v>
      </c>
      <c r="C894" s="15" t="s">
        <v>5394</v>
      </c>
      <c r="D894" s="15"/>
      <c r="E894" s="15" t="s">
        <v>5395</v>
      </c>
      <c r="F894" s="15" t="s">
        <v>5396</v>
      </c>
      <c r="G894" s="15" t="s">
        <v>5397</v>
      </c>
      <c r="H894" s="16" t="s">
        <v>5398</v>
      </c>
    </row>
    <row r="895" spans="1:8" ht="33.75" x14ac:dyDescent="0.3">
      <c r="A895" s="13" t="s">
        <v>5399</v>
      </c>
      <c r="B895" s="14" t="s">
        <v>5400</v>
      </c>
      <c r="C895" s="15" t="s">
        <v>5401</v>
      </c>
      <c r="D895" s="15" t="s">
        <v>5402</v>
      </c>
      <c r="E895" s="15" t="s">
        <v>5403</v>
      </c>
      <c r="F895" s="15" t="s">
        <v>5404</v>
      </c>
      <c r="G895" s="15" t="s">
        <v>5405</v>
      </c>
      <c r="H895" s="16" t="s">
        <v>5406</v>
      </c>
    </row>
    <row r="896" spans="1:8" ht="33.75" x14ac:dyDescent="0.3">
      <c r="A896" s="13">
        <v>21848</v>
      </c>
      <c r="B896" s="14" t="s">
        <v>5407</v>
      </c>
      <c r="C896" s="15" t="s">
        <v>5408</v>
      </c>
      <c r="D896" s="15"/>
      <c r="E896" s="15" t="s">
        <v>5409</v>
      </c>
      <c r="F896" s="15" t="s">
        <v>5410</v>
      </c>
      <c r="G896" s="15" t="s">
        <v>5411</v>
      </c>
      <c r="H896" s="16" t="s">
        <v>5412</v>
      </c>
    </row>
    <row r="897" spans="1:8" ht="33.75" x14ac:dyDescent="0.3">
      <c r="A897" s="13">
        <v>21849</v>
      </c>
      <c r="B897" s="14" t="s">
        <v>5413</v>
      </c>
      <c r="C897" s="15" t="s">
        <v>5414</v>
      </c>
      <c r="D897" s="15"/>
      <c r="E897" s="15" t="s">
        <v>5415</v>
      </c>
      <c r="F897" s="15" t="s">
        <v>57</v>
      </c>
      <c r="G897" s="15" t="s">
        <v>57</v>
      </c>
      <c r="H897" s="16" t="s">
        <v>5416</v>
      </c>
    </row>
    <row r="898" spans="1:8" ht="33.75" x14ac:dyDescent="0.3">
      <c r="A898" s="13">
        <v>21850</v>
      </c>
      <c r="B898" s="14" t="s">
        <v>5417</v>
      </c>
      <c r="C898" s="15" t="s">
        <v>5418</v>
      </c>
      <c r="D898" s="15"/>
      <c r="E898" s="15" t="s">
        <v>5419</v>
      </c>
      <c r="F898" s="15" t="s">
        <v>5420</v>
      </c>
      <c r="G898" s="15" t="s">
        <v>5421</v>
      </c>
      <c r="H898" s="16" t="s">
        <v>5422</v>
      </c>
    </row>
    <row r="899" spans="1:8" x14ac:dyDescent="0.3">
      <c r="A899" s="13">
        <v>21851</v>
      </c>
      <c r="B899" s="14" t="s">
        <v>5423</v>
      </c>
      <c r="C899" s="15" t="s">
        <v>5029</v>
      </c>
      <c r="D899" s="15"/>
      <c r="E899" s="15" t="s">
        <v>5424</v>
      </c>
      <c r="F899" s="15" t="s">
        <v>5425</v>
      </c>
      <c r="G899" s="15" t="s">
        <v>5426</v>
      </c>
      <c r="H899" s="16" t="s">
        <v>5425</v>
      </c>
    </row>
    <row r="900" spans="1:8" ht="45" x14ac:dyDescent="0.3">
      <c r="A900" s="13">
        <v>21852</v>
      </c>
      <c r="B900" s="14" t="s">
        <v>5427</v>
      </c>
      <c r="C900" s="15" t="s">
        <v>5428</v>
      </c>
      <c r="D900" s="15"/>
      <c r="E900" s="15" t="s">
        <v>5429</v>
      </c>
      <c r="F900" s="15" t="s">
        <v>5430</v>
      </c>
      <c r="G900" s="15" t="s">
        <v>5431</v>
      </c>
      <c r="H900" s="16" t="s">
        <v>5432</v>
      </c>
    </row>
    <row r="901" spans="1:8" x14ac:dyDescent="0.3">
      <c r="A901" s="13">
        <v>21853</v>
      </c>
      <c r="B901" s="14" t="s">
        <v>5433</v>
      </c>
      <c r="C901" s="15" t="s">
        <v>5434</v>
      </c>
      <c r="D901" s="15"/>
      <c r="E901" s="15" t="s">
        <v>5435</v>
      </c>
      <c r="F901" s="15" t="s">
        <v>5436</v>
      </c>
      <c r="G901" s="15" t="s">
        <v>5437</v>
      </c>
      <c r="H901" s="16" t="s">
        <v>5438</v>
      </c>
    </row>
    <row r="902" spans="1:8" x14ac:dyDescent="0.3">
      <c r="A902" s="13">
        <v>21854</v>
      </c>
      <c r="B902" s="14" t="s">
        <v>5439</v>
      </c>
      <c r="C902" s="15" t="s">
        <v>5440</v>
      </c>
      <c r="D902" s="15"/>
      <c r="E902" s="15" t="s">
        <v>5441</v>
      </c>
      <c r="F902" s="15" t="s">
        <v>5439</v>
      </c>
      <c r="G902" s="15" t="s">
        <v>5442</v>
      </c>
      <c r="H902" s="16" t="s">
        <v>5441</v>
      </c>
    </row>
    <row r="903" spans="1:8" ht="22.5" x14ac:dyDescent="0.3">
      <c r="A903" s="13">
        <v>21855</v>
      </c>
      <c r="B903" s="14" t="s">
        <v>5443</v>
      </c>
      <c r="C903" s="15" t="s">
        <v>5444</v>
      </c>
      <c r="D903" s="15"/>
      <c r="E903" s="15" t="s">
        <v>5445</v>
      </c>
      <c r="F903" s="15" t="s">
        <v>5446</v>
      </c>
      <c r="G903" s="15" t="s">
        <v>5447</v>
      </c>
      <c r="H903" s="16" t="s">
        <v>5443</v>
      </c>
    </row>
    <row r="904" spans="1:8" ht="22.5" x14ac:dyDescent="0.3">
      <c r="A904" s="13">
        <v>21856</v>
      </c>
      <c r="B904" s="14" t="s">
        <v>5448</v>
      </c>
      <c r="C904" s="15" t="s">
        <v>5449</v>
      </c>
      <c r="D904" s="15"/>
      <c r="E904" s="15" t="s">
        <v>5450</v>
      </c>
      <c r="F904" s="15" t="s">
        <v>5451</v>
      </c>
      <c r="G904" s="15" t="s">
        <v>5452</v>
      </c>
      <c r="H904" s="16" t="s">
        <v>5453</v>
      </c>
    </row>
    <row r="905" spans="1:8" ht="22.5" x14ac:dyDescent="0.3">
      <c r="A905" s="13" t="s">
        <v>5454</v>
      </c>
      <c r="B905" s="14" t="s">
        <v>5455</v>
      </c>
      <c r="C905" s="15" t="s">
        <v>5456</v>
      </c>
      <c r="D905" s="15"/>
      <c r="E905" s="15" t="s">
        <v>5457</v>
      </c>
      <c r="F905" s="15" t="s">
        <v>5458</v>
      </c>
      <c r="G905" s="15" t="s">
        <v>5459</v>
      </c>
      <c r="H905" s="16" t="s">
        <v>5460</v>
      </c>
    </row>
    <row r="906" spans="1:8" ht="33.75" x14ac:dyDescent="0.3">
      <c r="A906" s="13">
        <v>21857</v>
      </c>
      <c r="B906" s="14" t="s">
        <v>5461</v>
      </c>
      <c r="C906" s="15" t="s">
        <v>5462</v>
      </c>
      <c r="D906" s="15"/>
      <c r="E906" s="15" t="s">
        <v>5463</v>
      </c>
      <c r="F906" s="15" t="s">
        <v>5464</v>
      </c>
      <c r="G906" s="15" t="s">
        <v>5465</v>
      </c>
      <c r="H906" s="16" t="s">
        <v>5466</v>
      </c>
    </row>
    <row r="907" spans="1:8" ht="22.5" x14ac:dyDescent="0.3">
      <c r="A907" s="13" t="s">
        <v>5467</v>
      </c>
      <c r="B907" s="14" t="s">
        <v>5468</v>
      </c>
      <c r="C907" s="15" t="s">
        <v>5469</v>
      </c>
      <c r="D907" s="15"/>
      <c r="E907" s="15" t="s">
        <v>5470</v>
      </c>
      <c r="F907" s="15" t="s">
        <v>5471</v>
      </c>
      <c r="G907" s="15" t="s">
        <v>5472</v>
      </c>
      <c r="H907" s="16" t="s">
        <v>5473</v>
      </c>
    </row>
    <row r="908" spans="1:8" ht="22.5" x14ac:dyDescent="0.3">
      <c r="A908" s="13" t="s">
        <v>5474</v>
      </c>
      <c r="B908" s="14" t="s">
        <v>5475</v>
      </c>
      <c r="C908" s="15" t="s">
        <v>5476</v>
      </c>
      <c r="D908" s="15"/>
      <c r="E908" s="15" t="s">
        <v>5477</v>
      </c>
      <c r="F908" s="15" t="s">
        <v>5478</v>
      </c>
      <c r="G908" s="15" t="s">
        <v>5479</v>
      </c>
      <c r="H908" s="16" t="s">
        <v>5480</v>
      </c>
    </row>
    <row r="909" spans="1:8" ht="22.5" x14ac:dyDescent="0.3">
      <c r="A909" s="13" t="s">
        <v>5481</v>
      </c>
      <c r="B909" s="14" t="s">
        <v>5482</v>
      </c>
      <c r="C909" s="15"/>
      <c r="D909" s="15"/>
      <c r="E909" s="15" t="s">
        <v>5483</v>
      </c>
      <c r="F909" s="15" t="s">
        <v>57</v>
      </c>
      <c r="G909" s="15"/>
      <c r="H909" s="16" t="s">
        <v>5484</v>
      </c>
    </row>
    <row r="910" spans="1:8" ht="33.75" x14ac:dyDescent="0.3">
      <c r="A910" s="13" t="s">
        <v>5485</v>
      </c>
      <c r="B910" s="14" t="s">
        <v>5486</v>
      </c>
      <c r="C910" s="15" t="s">
        <v>5487</v>
      </c>
      <c r="D910" s="15" t="s">
        <v>5488</v>
      </c>
      <c r="E910" s="15" t="s">
        <v>4494</v>
      </c>
      <c r="F910" s="15" t="s">
        <v>5489</v>
      </c>
      <c r="G910" s="15" t="s">
        <v>5490</v>
      </c>
      <c r="H910" s="16" t="s">
        <v>5491</v>
      </c>
    </row>
    <row r="911" spans="1:8" ht="22.5" x14ac:dyDescent="0.3">
      <c r="A911" s="13">
        <v>21858</v>
      </c>
      <c r="B911" s="14" t="s">
        <v>5492</v>
      </c>
      <c r="C911" s="15" t="s">
        <v>5493</v>
      </c>
      <c r="D911" s="15" t="s">
        <v>5494</v>
      </c>
      <c r="E911" s="15" t="s">
        <v>5492</v>
      </c>
      <c r="F911" s="15" t="s">
        <v>5495</v>
      </c>
      <c r="G911" s="15" t="s">
        <v>5496</v>
      </c>
      <c r="H911" s="16" t="s">
        <v>5497</v>
      </c>
    </row>
    <row r="912" spans="1:8" ht="22.5" x14ac:dyDescent="0.3">
      <c r="A912" s="13">
        <v>21859</v>
      </c>
      <c r="B912" s="14" t="s">
        <v>5498</v>
      </c>
      <c r="C912" s="15" t="s">
        <v>5499</v>
      </c>
      <c r="D912" s="15"/>
      <c r="E912" s="15" t="s">
        <v>5500</v>
      </c>
      <c r="F912" s="15" t="s">
        <v>5501</v>
      </c>
      <c r="G912" s="15" t="s">
        <v>5502</v>
      </c>
      <c r="H912" s="16" t="s">
        <v>5503</v>
      </c>
    </row>
    <row r="913" spans="1:8" ht="45" x14ac:dyDescent="0.3">
      <c r="A913" s="13">
        <v>21860</v>
      </c>
      <c r="B913" s="14" t="s">
        <v>5504</v>
      </c>
      <c r="C913" s="15" t="s">
        <v>5505</v>
      </c>
      <c r="D913" s="15"/>
      <c r="E913" s="15" t="s">
        <v>5506</v>
      </c>
      <c r="F913" s="15" t="s">
        <v>5507</v>
      </c>
      <c r="G913" s="15" t="s">
        <v>5504</v>
      </c>
      <c r="H913" s="16" t="s">
        <v>5508</v>
      </c>
    </row>
    <row r="914" spans="1:8" ht="22.5" x14ac:dyDescent="0.3">
      <c r="A914" s="13">
        <v>21861</v>
      </c>
      <c r="B914" s="14" t="s">
        <v>5509</v>
      </c>
      <c r="C914" s="15" t="s">
        <v>5510</v>
      </c>
      <c r="D914" s="15"/>
      <c r="E914" s="15" t="s">
        <v>5511</v>
      </c>
      <c r="F914" s="15" t="s">
        <v>5512</v>
      </c>
      <c r="G914" s="15" t="s">
        <v>5513</v>
      </c>
      <c r="H914" s="16" t="s">
        <v>5514</v>
      </c>
    </row>
    <row r="915" spans="1:8" ht="22.5" x14ac:dyDescent="0.3">
      <c r="A915" s="13">
        <v>21901</v>
      </c>
      <c r="B915" s="14" t="s">
        <v>5515</v>
      </c>
      <c r="C915" s="15" t="s">
        <v>5516</v>
      </c>
      <c r="D915" s="15"/>
      <c r="E915" s="15" t="s">
        <v>5515</v>
      </c>
      <c r="F915" s="15" t="s">
        <v>5517</v>
      </c>
      <c r="G915" s="15" t="s">
        <v>5518</v>
      </c>
      <c r="H915" s="16" t="s">
        <v>5515</v>
      </c>
    </row>
    <row r="916" spans="1:8" ht="22.5" x14ac:dyDescent="0.3">
      <c r="A916" s="13">
        <v>21902</v>
      </c>
      <c r="B916" s="14" t="s">
        <v>5519</v>
      </c>
      <c r="C916" s="15" t="s">
        <v>5520</v>
      </c>
      <c r="D916" s="15"/>
      <c r="E916" s="15" t="s">
        <v>5521</v>
      </c>
      <c r="F916" s="15" t="s">
        <v>5522</v>
      </c>
      <c r="G916" s="15" t="s">
        <v>5523</v>
      </c>
      <c r="H916" s="16" t="s">
        <v>5524</v>
      </c>
    </row>
    <row r="917" spans="1:8" ht="22.5" x14ac:dyDescent="0.3">
      <c r="A917" s="13">
        <v>21903</v>
      </c>
      <c r="B917" s="14" t="s">
        <v>5525</v>
      </c>
      <c r="C917" s="15" t="s">
        <v>5526</v>
      </c>
      <c r="D917" s="15"/>
      <c r="E917" s="15" t="s">
        <v>5527</v>
      </c>
      <c r="F917" s="15" t="s">
        <v>5528</v>
      </c>
      <c r="G917" s="15" t="s">
        <v>5529</v>
      </c>
      <c r="H917" s="16" t="s">
        <v>5530</v>
      </c>
    </row>
    <row r="918" spans="1:8" ht="33.75" x14ac:dyDescent="0.3">
      <c r="A918" s="13">
        <v>21904</v>
      </c>
      <c r="B918" s="14" t="s">
        <v>5531</v>
      </c>
      <c r="C918" s="15" t="s">
        <v>5532</v>
      </c>
      <c r="D918" s="15"/>
      <c r="E918" s="15" t="s">
        <v>5533</v>
      </c>
      <c r="F918" s="15" t="s">
        <v>5534</v>
      </c>
      <c r="G918" s="15" t="s">
        <v>5535</v>
      </c>
      <c r="H918" s="16" t="s">
        <v>5531</v>
      </c>
    </row>
    <row r="919" spans="1:8" ht="45" x14ac:dyDescent="0.3">
      <c r="A919" s="13">
        <v>21905</v>
      </c>
      <c r="B919" s="14" t="s">
        <v>5536</v>
      </c>
      <c r="C919" s="15" t="s">
        <v>5537</v>
      </c>
      <c r="D919" s="15" t="s">
        <v>5538</v>
      </c>
      <c r="E919" s="15" t="s">
        <v>5539</v>
      </c>
      <c r="F919" s="15" t="s">
        <v>5540</v>
      </c>
      <c r="G919" s="15" t="s">
        <v>5541</v>
      </c>
      <c r="H919" s="16" t="s">
        <v>5542</v>
      </c>
    </row>
    <row r="920" spans="1:8" ht="22.5" x14ac:dyDescent="0.3">
      <c r="A920" s="13">
        <v>21906</v>
      </c>
      <c r="B920" s="14" t="s">
        <v>5543</v>
      </c>
      <c r="C920" s="15" t="s">
        <v>5544</v>
      </c>
      <c r="D920" s="15"/>
      <c r="E920" s="15" t="s">
        <v>5545</v>
      </c>
      <c r="F920" s="15" t="s">
        <v>5546</v>
      </c>
      <c r="G920" s="15" t="s">
        <v>5547</v>
      </c>
      <c r="H920" s="16" t="s">
        <v>5548</v>
      </c>
    </row>
    <row r="921" spans="1:8" ht="22.5" x14ac:dyDescent="0.3">
      <c r="A921" s="13">
        <v>21907</v>
      </c>
      <c r="B921" s="14" t="s">
        <v>5549</v>
      </c>
      <c r="C921" s="15" t="s">
        <v>5550</v>
      </c>
      <c r="D921" s="15"/>
      <c r="E921" s="15" t="s">
        <v>5549</v>
      </c>
      <c r="F921" s="15" t="s">
        <v>5551</v>
      </c>
      <c r="G921" s="15" t="s">
        <v>5552</v>
      </c>
      <c r="H921" s="16" t="s">
        <v>5549</v>
      </c>
    </row>
    <row r="922" spans="1:8" ht="22.5" x14ac:dyDescent="0.3">
      <c r="A922" s="13">
        <v>21908</v>
      </c>
      <c r="B922" s="14" t="s">
        <v>5553</v>
      </c>
      <c r="C922" s="15" t="s">
        <v>5554</v>
      </c>
      <c r="D922" s="15"/>
      <c r="E922" s="15" t="s">
        <v>5553</v>
      </c>
      <c r="F922" s="15" t="s">
        <v>5555</v>
      </c>
      <c r="G922" s="15" t="s">
        <v>5553</v>
      </c>
      <c r="H922" s="16" t="s">
        <v>5556</v>
      </c>
    </row>
    <row r="923" spans="1:8" ht="101.25" x14ac:dyDescent="0.3">
      <c r="A923" s="13">
        <v>21909</v>
      </c>
      <c r="B923" s="14" t="s">
        <v>5557</v>
      </c>
      <c r="C923" s="15" t="s">
        <v>5558</v>
      </c>
      <c r="D923" s="15"/>
      <c r="E923" s="15" t="s">
        <v>5557</v>
      </c>
      <c r="F923" s="15" t="s">
        <v>5559</v>
      </c>
      <c r="G923" s="15" t="s">
        <v>5560</v>
      </c>
      <c r="H923" s="16" t="s">
        <v>5561</v>
      </c>
    </row>
    <row r="924" spans="1:8" ht="22.5" x14ac:dyDescent="0.3">
      <c r="A924" s="13">
        <v>21910</v>
      </c>
      <c r="B924" s="14" t="s">
        <v>5562</v>
      </c>
      <c r="C924" s="15" t="s">
        <v>5563</v>
      </c>
      <c r="D924" s="15"/>
      <c r="E924" s="15" t="s">
        <v>5564</v>
      </c>
      <c r="F924" s="15" t="s">
        <v>5565</v>
      </c>
      <c r="G924" s="15" t="s">
        <v>5565</v>
      </c>
      <c r="H924" s="16" t="s">
        <v>5565</v>
      </c>
    </row>
    <row r="925" spans="1:8" ht="22.5" x14ac:dyDescent="0.3">
      <c r="A925" s="13" t="s">
        <v>5566</v>
      </c>
      <c r="B925" s="14" t="s">
        <v>19726</v>
      </c>
      <c r="C925" s="15" t="s">
        <v>5567</v>
      </c>
      <c r="D925" s="15"/>
      <c r="E925" s="15" t="s">
        <v>5568</v>
      </c>
      <c r="F925" s="15" t="s">
        <v>5569</v>
      </c>
      <c r="G925" s="15" t="s">
        <v>5570</v>
      </c>
      <c r="H925" s="16" t="s">
        <v>5571</v>
      </c>
    </row>
    <row r="926" spans="1:8" ht="22.5" x14ac:dyDescent="0.3">
      <c r="A926" s="13" t="s">
        <v>5572</v>
      </c>
      <c r="B926" s="14" t="s">
        <v>19725</v>
      </c>
      <c r="C926" s="15" t="s">
        <v>5573</v>
      </c>
      <c r="D926" s="15"/>
      <c r="E926" s="15" t="s">
        <v>5574</v>
      </c>
      <c r="F926" s="15" t="s">
        <v>5575</v>
      </c>
      <c r="G926" s="15" t="s">
        <v>5576</v>
      </c>
      <c r="H926" s="16" t="s">
        <v>5577</v>
      </c>
    </row>
    <row r="927" spans="1:8" ht="45" x14ac:dyDescent="0.3">
      <c r="A927" s="13">
        <v>21911</v>
      </c>
      <c r="B927" s="14" t="s">
        <v>5578</v>
      </c>
      <c r="C927" s="15" t="s">
        <v>5579</v>
      </c>
      <c r="D927" s="15"/>
      <c r="E927" s="15" t="s">
        <v>5580</v>
      </c>
      <c r="F927" s="15" t="s">
        <v>5581</v>
      </c>
      <c r="G927" s="15" t="s">
        <v>5582</v>
      </c>
      <c r="H927" s="16" t="s">
        <v>5583</v>
      </c>
    </row>
    <row r="928" spans="1:8" x14ac:dyDescent="0.3">
      <c r="A928" s="13">
        <v>21912</v>
      </c>
      <c r="B928" s="14" t="s">
        <v>5584</v>
      </c>
      <c r="C928" s="15" t="s">
        <v>5585</v>
      </c>
      <c r="D928" s="15"/>
      <c r="E928" s="15" t="s">
        <v>5584</v>
      </c>
      <c r="F928" s="15" t="s">
        <v>5586</v>
      </c>
      <c r="G928" s="15" t="s">
        <v>5584</v>
      </c>
      <c r="H928" s="16" t="s">
        <v>5584</v>
      </c>
    </row>
    <row r="929" spans="1:8" ht="22.5" x14ac:dyDescent="0.3">
      <c r="A929" s="13">
        <v>21913</v>
      </c>
      <c r="B929" s="14" t="s">
        <v>5587</v>
      </c>
      <c r="C929" s="15" t="s">
        <v>5588</v>
      </c>
      <c r="D929" s="15"/>
      <c r="E929" s="15" t="s">
        <v>5589</v>
      </c>
      <c r="F929" s="15" t="s">
        <v>5590</v>
      </c>
      <c r="G929" s="15" t="s">
        <v>5591</v>
      </c>
      <c r="H929" s="16" t="s">
        <v>5591</v>
      </c>
    </row>
    <row r="930" spans="1:8" ht="33.75" x14ac:dyDescent="0.3">
      <c r="A930" s="13">
        <v>21914</v>
      </c>
      <c r="B930" s="14" t="s">
        <v>5592</v>
      </c>
      <c r="C930" s="15" t="s">
        <v>5593</v>
      </c>
      <c r="D930" s="15"/>
      <c r="E930" s="15" t="s">
        <v>5594</v>
      </c>
      <c r="F930" s="15" t="s">
        <v>5592</v>
      </c>
      <c r="G930" s="15" t="s">
        <v>5595</v>
      </c>
      <c r="H930" s="16" t="s">
        <v>5596</v>
      </c>
    </row>
    <row r="931" spans="1:8" x14ac:dyDescent="0.3">
      <c r="A931" s="13">
        <v>21915</v>
      </c>
      <c r="B931" s="14" t="s">
        <v>5597</v>
      </c>
      <c r="C931" s="15" t="s">
        <v>5598</v>
      </c>
      <c r="D931" s="15"/>
      <c r="E931" s="15" t="s">
        <v>5599</v>
      </c>
      <c r="F931" s="15" t="s">
        <v>5600</v>
      </c>
      <c r="G931" s="15" t="s">
        <v>5597</v>
      </c>
      <c r="H931" s="16" t="s">
        <v>5601</v>
      </c>
    </row>
    <row r="932" spans="1:8" x14ac:dyDescent="0.3">
      <c r="A932" s="13">
        <v>21916</v>
      </c>
      <c r="B932" s="14" t="s">
        <v>5602</v>
      </c>
      <c r="C932" s="15" t="s">
        <v>5603</v>
      </c>
      <c r="D932" s="15"/>
      <c r="E932" s="15" t="s">
        <v>5604</v>
      </c>
      <c r="F932" s="15" t="s">
        <v>5602</v>
      </c>
      <c r="G932" s="15" t="s">
        <v>5605</v>
      </c>
      <c r="H932" s="16" t="s">
        <v>5605</v>
      </c>
    </row>
    <row r="933" spans="1:8" ht="45" x14ac:dyDescent="0.3">
      <c r="A933" s="13">
        <v>21917</v>
      </c>
      <c r="B933" s="14" t="s">
        <v>5606</v>
      </c>
      <c r="C933" s="15" t="s">
        <v>5607</v>
      </c>
      <c r="D933" s="15"/>
      <c r="E933" s="15" t="s">
        <v>5608</v>
      </c>
      <c r="F933" s="15" t="s">
        <v>5609</v>
      </c>
      <c r="G933" s="15" t="s">
        <v>5610</v>
      </c>
      <c r="H933" s="16" t="s">
        <v>5611</v>
      </c>
    </row>
    <row r="934" spans="1:8" ht="33.75" x14ac:dyDescent="0.3">
      <c r="A934" s="13" t="s">
        <v>5612</v>
      </c>
      <c r="B934" s="14" t="s">
        <v>19732</v>
      </c>
      <c r="C934" s="15" t="s">
        <v>5613</v>
      </c>
      <c r="D934" s="15"/>
      <c r="E934" s="15" t="s">
        <v>5614</v>
      </c>
      <c r="F934" s="15"/>
      <c r="G934" s="15" t="s">
        <v>5615</v>
      </c>
      <c r="H934" s="16" t="s">
        <v>5616</v>
      </c>
    </row>
    <row r="935" spans="1:8" ht="33.75" x14ac:dyDescent="0.3">
      <c r="A935" s="13" t="s">
        <v>5617</v>
      </c>
      <c r="B935" s="14" t="s">
        <v>5618</v>
      </c>
      <c r="C935" s="15" t="s">
        <v>5619</v>
      </c>
      <c r="D935" s="15" t="s">
        <v>5620</v>
      </c>
      <c r="E935" s="15" t="s">
        <v>5621</v>
      </c>
      <c r="F935" s="15" t="s">
        <v>5622</v>
      </c>
      <c r="G935" s="15" t="s">
        <v>5623</v>
      </c>
      <c r="H935" s="16" t="s">
        <v>5624</v>
      </c>
    </row>
    <row r="936" spans="1:8" ht="22.5" x14ac:dyDescent="0.3">
      <c r="A936" s="13">
        <v>21918</v>
      </c>
      <c r="B936" s="14" t="s">
        <v>5625</v>
      </c>
      <c r="C936" s="15" t="s">
        <v>5626</v>
      </c>
      <c r="D936" s="15"/>
      <c r="E936" s="15" t="s">
        <v>5627</v>
      </c>
      <c r="F936" s="15" t="s">
        <v>5628</v>
      </c>
      <c r="G936" s="15" t="s">
        <v>5629</v>
      </c>
      <c r="H936" s="16" t="s">
        <v>5629</v>
      </c>
    </row>
    <row r="937" spans="1:8" ht="22.5" x14ac:dyDescent="0.3">
      <c r="A937" s="13">
        <v>21919</v>
      </c>
      <c r="B937" s="14" t="s">
        <v>5630</v>
      </c>
      <c r="C937" s="15" t="s">
        <v>5631</v>
      </c>
      <c r="D937" s="15"/>
      <c r="E937" s="15" t="s">
        <v>5632</v>
      </c>
      <c r="F937" s="15" t="s">
        <v>5633</v>
      </c>
      <c r="G937" s="15" t="s">
        <v>5634</v>
      </c>
      <c r="H937" s="16" t="s">
        <v>5635</v>
      </c>
    </row>
    <row r="938" spans="1:8" ht="22.5" x14ac:dyDescent="0.3">
      <c r="A938" s="13">
        <v>21920</v>
      </c>
      <c r="B938" s="14" t="s">
        <v>5636</v>
      </c>
      <c r="C938" s="15" t="s">
        <v>57</v>
      </c>
      <c r="D938" s="15"/>
      <c r="E938" s="15"/>
      <c r="F938" s="15" t="s">
        <v>5637</v>
      </c>
      <c r="G938" s="15" t="s">
        <v>57</v>
      </c>
      <c r="H938" s="16" t="s">
        <v>5638</v>
      </c>
    </row>
    <row r="939" spans="1:8" ht="33.75" x14ac:dyDescent="0.3">
      <c r="A939" s="13">
        <v>21921</v>
      </c>
      <c r="B939" s="14" t="s">
        <v>5639</v>
      </c>
      <c r="C939" s="15" t="s">
        <v>5640</v>
      </c>
      <c r="D939" s="15"/>
      <c r="E939" s="15"/>
      <c r="F939" s="15" t="s">
        <v>5641</v>
      </c>
      <c r="G939" s="15" t="s">
        <v>57</v>
      </c>
      <c r="H939" s="16" t="s">
        <v>5642</v>
      </c>
    </row>
    <row r="940" spans="1:8" x14ac:dyDescent="0.3">
      <c r="A940" s="13">
        <v>21922</v>
      </c>
      <c r="B940" s="14" t="s">
        <v>5643</v>
      </c>
      <c r="C940" s="15" t="s">
        <v>5644</v>
      </c>
      <c r="D940" s="15"/>
      <c r="E940" s="15"/>
      <c r="F940" s="15" t="s">
        <v>5645</v>
      </c>
      <c r="G940" s="15" t="s">
        <v>57</v>
      </c>
      <c r="H940" s="16" t="s">
        <v>57</v>
      </c>
    </row>
    <row r="941" spans="1:8" ht="22.5" x14ac:dyDescent="0.3">
      <c r="A941" s="13">
        <v>21923</v>
      </c>
      <c r="B941" s="14" t="s">
        <v>5646</v>
      </c>
      <c r="C941" s="15" t="s">
        <v>5647</v>
      </c>
      <c r="D941" s="15"/>
      <c r="E941" s="15"/>
      <c r="F941" s="15" t="s">
        <v>5648</v>
      </c>
      <c r="G941" s="15" t="s">
        <v>5649</v>
      </c>
      <c r="H941" s="16" t="s">
        <v>5650</v>
      </c>
    </row>
    <row r="942" spans="1:8" ht="22.5" x14ac:dyDescent="0.3">
      <c r="A942" s="13">
        <v>21924</v>
      </c>
      <c r="B942" s="14" t="s">
        <v>5651</v>
      </c>
      <c r="C942" s="15" t="s">
        <v>5652</v>
      </c>
      <c r="D942" s="15" t="s">
        <v>5651</v>
      </c>
      <c r="E942" s="15" t="s">
        <v>5653</v>
      </c>
      <c r="F942" s="15" t="s">
        <v>5651</v>
      </c>
      <c r="G942" s="15" t="s">
        <v>5654</v>
      </c>
      <c r="H942" s="16" t="s">
        <v>5655</v>
      </c>
    </row>
    <row r="943" spans="1:8" ht="22.5" x14ac:dyDescent="0.3">
      <c r="A943" s="13">
        <v>21925</v>
      </c>
      <c r="B943" s="14" t="s">
        <v>5656</v>
      </c>
      <c r="C943" s="15" t="s">
        <v>5657</v>
      </c>
      <c r="D943" s="15"/>
      <c r="E943" s="15" t="s">
        <v>5658</v>
      </c>
      <c r="F943" s="15" t="s">
        <v>5659</v>
      </c>
      <c r="G943" s="15" t="s">
        <v>5660</v>
      </c>
      <c r="H943" s="16" t="s">
        <v>5661</v>
      </c>
    </row>
    <row r="944" spans="1:8" ht="22.5" x14ac:dyDescent="0.3">
      <c r="A944" s="13">
        <v>21926</v>
      </c>
      <c r="B944" s="14" t="s">
        <v>5662</v>
      </c>
      <c r="C944" s="15" t="s">
        <v>5663</v>
      </c>
      <c r="D944" s="15"/>
      <c r="E944" s="15" t="s">
        <v>5664</v>
      </c>
      <c r="F944" s="15" t="s">
        <v>5665</v>
      </c>
      <c r="G944" s="15" t="s">
        <v>5666</v>
      </c>
      <c r="H944" s="16" t="s">
        <v>5667</v>
      </c>
    </row>
    <row r="945" spans="1:8" ht="22.5" x14ac:dyDescent="0.3">
      <c r="A945" s="13">
        <v>21927</v>
      </c>
      <c r="B945" s="14" t="s">
        <v>5668</v>
      </c>
      <c r="C945" s="15" t="s">
        <v>5669</v>
      </c>
      <c r="D945" s="15"/>
      <c r="E945" s="15" t="s">
        <v>5668</v>
      </c>
      <c r="F945" s="15" t="s">
        <v>5670</v>
      </c>
      <c r="G945" s="15" t="s">
        <v>5671</v>
      </c>
      <c r="H945" s="16" t="s">
        <v>5672</v>
      </c>
    </row>
    <row r="946" spans="1:8" ht="78.75" x14ac:dyDescent="0.3">
      <c r="A946" s="13">
        <v>21928</v>
      </c>
      <c r="B946" s="14" t="s">
        <v>5673</v>
      </c>
      <c r="C946" s="15" t="s">
        <v>5674</v>
      </c>
      <c r="D946" s="15"/>
      <c r="E946" s="15" t="s">
        <v>5675</v>
      </c>
      <c r="F946" s="15" t="s">
        <v>5676</v>
      </c>
      <c r="G946" s="15" t="s">
        <v>5677</v>
      </c>
      <c r="H946" s="16" t="s">
        <v>5678</v>
      </c>
    </row>
    <row r="947" spans="1:8" ht="22.5" x14ac:dyDescent="0.3">
      <c r="A947" s="13">
        <v>21929</v>
      </c>
      <c r="B947" s="14" t="s">
        <v>5679</v>
      </c>
      <c r="C947" s="15" t="s">
        <v>5680</v>
      </c>
      <c r="D947" s="15"/>
      <c r="E947" s="15" t="s">
        <v>5681</v>
      </c>
      <c r="F947" s="15" t="s">
        <v>5679</v>
      </c>
      <c r="G947" s="15" t="s">
        <v>5682</v>
      </c>
      <c r="H947" s="16" t="s">
        <v>5679</v>
      </c>
    </row>
    <row r="948" spans="1:8" ht="22.5" x14ac:dyDescent="0.3">
      <c r="A948" s="13">
        <v>21930</v>
      </c>
      <c r="B948" s="14" t="s">
        <v>5683</v>
      </c>
      <c r="C948" s="15" t="s">
        <v>5684</v>
      </c>
      <c r="D948" s="15"/>
      <c r="E948" s="15" t="s">
        <v>5685</v>
      </c>
      <c r="F948" s="15" t="s">
        <v>5686</v>
      </c>
      <c r="G948" s="15" t="s">
        <v>5685</v>
      </c>
      <c r="H948" s="16" t="s">
        <v>5687</v>
      </c>
    </row>
    <row r="949" spans="1:8" x14ac:dyDescent="0.3">
      <c r="A949" s="13">
        <v>21931</v>
      </c>
      <c r="B949" s="14" t="s">
        <v>5688</v>
      </c>
      <c r="C949" s="15" t="s">
        <v>5689</v>
      </c>
      <c r="D949" s="15"/>
      <c r="E949" s="15" t="s">
        <v>5690</v>
      </c>
      <c r="F949" s="15" t="s">
        <v>5691</v>
      </c>
      <c r="G949" s="15" t="s">
        <v>5692</v>
      </c>
      <c r="H949" s="16" t="s">
        <v>5691</v>
      </c>
    </row>
    <row r="950" spans="1:8" ht="33.75" x14ac:dyDescent="0.3">
      <c r="A950" s="13">
        <v>21932</v>
      </c>
      <c r="B950" s="14" t="s">
        <v>5693</v>
      </c>
      <c r="C950" s="15" t="s">
        <v>5694</v>
      </c>
      <c r="D950" s="15"/>
      <c r="E950" s="15" t="s">
        <v>5695</v>
      </c>
      <c r="F950" s="15" t="s">
        <v>5696</v>
      </c>
      <c r="G950" s="15" t="s">
        <v>5697</v>
      </c>
      <c r="H950" s="16" t="s">
        <v>5698</v>
      </c>
    </row>
    <row r="951" spans="1:8" ht="22.5" x14ac:dyDescent="0.3">
      <c r="A951" s="13">
        <v>21933</v>
      </c>
      <c r="B951" s="14" t="s">
        <v>5699</v>
      </c>
      <c r="C951" s="15" t="s">
        <v>5700</v>
      </c>
      <c r="D951" s="15"/>
      <c r="E951" s="15" t="s">
        <v>5701</v>
      </c>
      <c r="F951" s="15" t="s">
        <v>5702</v>
      </c>
      <c r="G951" s="15" t="s">
        <v>5703</v>
      </c>
      <c r="H951" s="16" t="s">
        <v>5704</v>
      </c>
    </row>
    <row r="952" spans="1:8" ht="22.5" x14ac:dyDescent="0.3">
      <c r="A952" s="13">
        <v>21934</v>
      </c>
      <c r="B952" s="14" t="s">
        <v>5705</v>
      </c>
      <c r="C952" s="15" t="s">
        <v>5706</v>
      </c>
      <c r="D952" s="15"/>
      <c r="E952" s="15" t="s">
        <v>5707</v>
      </c>
      <c r="F952" s="15" t="s">
        <v>5708</v>
      </c>
      <c r="G952" s="15" t="s">
        <v>57</v>
      </c>
      <c r="H952" s="16" t="s">
        <v>5709</v>
      </c>
    </row>
    <row r="953" spans="1:8" ht="22.5" x14ac:dyDescent="0.3">
      <c r="A953" s="13">
        <v>21935</v>
      </c>
      <c r="B953" s="14" t="s">
        <v>5710</v>
      </c>
      <c r="C953" s="15" t="s">
        <v>5711</v>
      </c>
      <c r="D953" s="15"/>
      <c r="E953" s="15" t="s">
        <v>5712</v>
      </c>
      <c r="F953" s="15" t="s">
        <v>5713</v>
      </c>
      <c r="G953" s="15" t="s">
        <v>5714</v>
      </c>
      <c r="H953" s="16" t="s">
        <v>57</v>
      </c>
    </row>
    <row r="954" spans="1:8" ht="22.5" x14ac:dyDescent="0.3">
      <c r="A954" s="13">
        <v>21936</v>
      </c>
      <c r="B954" s="14" t="s">
        <v>5715</v>
      </c>
      <c r="C954" s="15" t="s">
        <v>5716</v>
      </c>
      <c r="D954" s="15"/>
      <c r="E954" s="15" t="s">
        <v>5717</v>
      </c>
      <c r="F954" s="15" t="s">
        <v>5718</v>
      </c>
      <c r="G954" s="15" t="s">
        <v>5719</v>
      </c>
      <c r="H954" s="16" t="s">
        <v>5715</v>
      </c>
    </row>
    <row r="955" spans="1:8" ht="33.75" x14ac:dyDescent="0.3">
      <c r="A955" s="13">
        <v>21937</v>
      </c>
      <c r="B955" s="14" t="s">
        <v>5720</v>
      </c>
      <c r="C955" s="15" t="s">
        <v>5721</v>
      </c>
      <c r="D955" s="15"/>
      <c r="E955" s="15" t="s">
        <v>5722</v>
      </c>
      <c r="F955" s="15" t="s">
        <v>5723</v>
      </c>
      <c r="G955" s="15" t="s">
        <v>5724</v>
      </c>
      <c r="H955" s="16" t="s">
        <v>5725</v>
      </c>
    </row>
    <row r="956" spans="1:8" x14ac:dyDescent="0.3">
      <c r="A956" s="13">
        <v>22001</v>
      </c>
      <c r="B956" s="14" t="s">
        <v>5726</v>
      </c>
      <c r="C956" s="15" t="s">
        <v>5727</v>
      </c>
      <c r="D956" s="15"/>
      <c r="E956" s="15" t="s">
        <v>5728</v>
      </c>
      <c r="F956" s="15" t="s">
        <v>5729</v>
      </c>
      <c r="G956" s="15" t="s">
        <v>5730</v>
      </c>
      <c r="H956" s="16" t="s">
        <v>5728</v>
      </c>
    </row>
    <row r="957" spans="1:8" ht="22.5" x14ac:dyDescent="0.3">
      <c r="A957" s="13">
        <v>22002</v>
      </c>
      <c r="B957" s="14" t="s">
        <v>5731</v>
      </c>
      <c r="C957" s="15" t="s">
        <v>5732</v>
      </c>
      <c r="D957" s="15" t="s">
        <v>5733</v>
      </c>
      <c r="E957" s="15" t="s">
        <v>5734</v>
      </c>
      <c r="F957" s="15" t="s">
        <v>5735</v>
      </c>
      <c r="G957" s="15" t="s">
        <v>5736</v>
      </c>
      <c r="H957" s="16" t="s">
        <v>5734</v>
      </c>
    </row>
    <row r="958" spans="1:8" ht="22.5" x14ac:dyDescent="0.3">
      <c r="A958" s="13">
        <v>22003</v>
      </c>
      <c r="B958" s="14" t="s">
        <v>5737</v>
      </c>
      <c r="C958" s="15" t="s">
        <v>5738</v>
      </c>
      <c r="D958" s="15"/>
      <c r="E958" s="15" t="s">
        <v>5739</v>
      </c>
      <c r="F958" s="15" t="s">
        <v>5740</v>
      </c>
      <c r="G958" s="15" t="s">
        <v>5741</v>
      </c>
      <c r="H958" s="16" t="s">
        <v>5742</v>
      </c>
    </row>
    <row r="959" spans="1:8" ht="22.5" x14ac:dyDescent="0.3">
      <c r="A959" s="13">
        <v>22004</v>
      </c>
      <c r="B959" s="14" t="s">
        <v>5743</v>
      </c>
      <c r="C959" s="15" t="s">
        <v>5744</v>
      </c>
      <c r="D959" s="15"/>
      <c r="E959" s="15" t="s">
        <v>5745</v>
      </c>
      <c r="F959" s="15" t="s">
        <v>5746</v>
      </c>
      <c r="G959" s="15" t="s">
        <v>5747</v>
      </c>
      <c r="H959" s="16" t="s">
        <v>5743</v>
      </c>
    </row>
    <row r="960" spans="1:8" ht="22.5" x14ac:dyDescent="0.3">
      <c r="A960" s="13">
        <v>22005</v>
      </c>
      <c r="B960" s="14" t="s">
        <v>5748</v>
      </c>
      <c r="C960" s="15" t="s">
        <v>5749</v>
      </c>
      <c r="D960" s="15"/>
      <c r="E960" s="15" t="s">
        <v>5750</v>
      </c>
      <c r="F960" s="15" t="s">
        <v>5751</v>
      </c>
      <c r="G960" s="15" t="s">
        <v>5752</v>
      </c>
      <c r="H960" s="16" t="s">
        <v>5753</v>
      </c>
    </row>
    <row r="961" spans="1:8" ht="22.5" x14ac:dyDescent="0.3">
      <c r="A961" s="13">
        <v>22006</v>
      </c>
      <c r="B961" s="14" t="s">
        <v>5754</v>
      </c>
      <c r="C961" s="15" t="s">
        <v>5755</v>
      </c>
      <c r="D961" s="15"/>
      <c r="E961" s="15" t="s">
        <v>5756</v>
      </c>
      <c r="F961" s="15" t="s">
        <v>5757</v>
      </c>
      <c r="G961" s="15" t="s">
        <v>5758</v>
      </c>
      <c r="H961" s="16" t="s">
        <v>5759</v>
      </c>
    </row>
    <row r="962" spans="1:8" ht="22.5" x14ac:dyDescent="0.3">
      <c r="A962" s="13">
        <v>22007</v>
      </c>
      <c r="B962" s="14" t="s">
        <v>5760</v>
      </c>
      <c r="C962" s="15" t="s">
        <v>5761</v>
      </c>
      <c r="D962" s="15"/>
      <c r="E962" s="15" t="s">
        <v>5762</v>
      </c>
      <c r="F962" s="15" t="s">
        <v>5763</v>
      </c>
      <c r="G962" s="15" t="s">
        <v>5764</v>
      </c>
      <c r="H962" s="16" t="s">
        <v>5765</v>
      </c>
    </row>
    <row r="963" spans="1:8" ht="33.75" x14ac:dyDescent="0.3">
      <c r="A963" s="13">
        <v>22008</v>
      </c>
      <c r="B963" s="14" t="s">
        <v>5766</v>
      </c>
      <c r="C963" s="15" t="s">
        <v>5767</v>
      </c>
      <c r="D963" s="15"/>
      <c r="E963" s="15" t="s">
        <v>5768</v>
      </c>
      <c r="F963" s="15" t="s">
        <v>5769</v>
      </c>
      <c r="G963" s="15" t="s">
        <v>5770</v>
      </c>
      <c r="H963" s="16" t="s">
        <v>5771</v>
      </c>
    </row>
    <row r="964" spans="1:8" x14ac:dyDescent="0.3">
      <c r="A964" s="13">
        <v>22009</v>
      </c>
      <c r="B964" s="14" t="s">
        <v>5772</v>
      </c>
      <c r="C964" s="15" t="s">
        <v>5773</v>
      </c>
      <c r="D964" s="15"/>
      <c r="E964" s="15" t="s">
        <v>5774</v>
      </c>
      <c r="F964" s="15" t="s">
        <v>5775</v>
      </c>
      <c r="G964" s="15" t="s">
        <v>5776</v>
      </c>
      <c r="H964" s="16" t="s">
        <v>5772</v>
      </c>
    </row>
    <row r="965" spans="1:8" ht="22.5" x14ac:dyDescent="0.3">
      <c r="A965" s="13">
        <v>22010</v>
      </c>
      <c r="B965" s="14" t="s">
        <v>5777</v>
      </c>
      <c r="C965" s="15" t="s">
        <v>5778</v>
      </c>
      <c r="D965" s="15"/>
      <c r="E965" s="15" t="s">
        <v>5779</v>
      </c>
      <c r="F965" s="15" t="s">
        <v>5779</v>
      </c>
      <c r="G965" s="15" t="s">
        <v>5777</v>
      </c>
      <c r="H965" s="16" t="s">
        <v>5780</v>
      </c>
    </row>
    <row r="966" spans="1:8" ht="33.75" x14ac:dyDescent="0.3">
      <c r="A966" s="13">
        <v>22011</v>
      </c>
      <c r="B966" s="14" t="s">
        <v>5781</v>
      </c>
      <c r="C966" s="15" t="s">
        <v>5782</v>
      </c>
      <c r="D966" s="15" t="s">
        <v>5783</v>
      </c>
      <c r="E966" s="15" t="s">
        <v>5784</v>
      </c>
      <c r="F966" s="15" t="s">
        <v>5785</v>
      </c>
      <c r="G966" s="15" t="s">
        <v>5786</v>
      </c>
      <c r="H966" s="16" t="s">
        <v>5787</v>
      </c>
    </row>
    <row r="967" spans="1:8" ht="22.5" x14ac:dyDescent="0.3">
      <c r="A967" s="13">
        <v>22012</v>
      </c>
      <c r="B967" s="14" t="s">
        <v>5788</v>
      </c>
      <c r="C967" s="15" t="s">
        <v>5789</v>
      </c>
      <c r="D967" s="15"/>
      <c r="E967" s="15" t="s">
        <v>5790</v>
      </c>
      <c r="F967" s="15" t="s">
        <v>5791</v>
      </c>
      <c r="G967" s="15" t="s">
        <v>5792</v>
      </c>
      <c r="H967" s="16" t="s">
        <v>5793</v>
      </c>
    </row>
    <row r="968" spans="1:8" ht="22.5" x14ac:dyDescent="0.3">
      <c r="A968" s="13" t="s">
        <v>5794</v>
      </c>
      <c r="B968" s="14" t="s">
        <v>19725</v>
      </c>
      <c r="C968" s="15" t="s">
        <v>5795</v>
      </c>
      <c r="D968" s="15"/>
      <c r="E968" s="15" t="s">
        <v>5796</v>
      </c>
      <c r="F968" s="15"/>
      <c r="G968" s="15" t="s">
        <v>5797</v>
      </c>
      <c r="H968" s="16" t="s">
        <v>5798</v>
      </c>
    </row>
    <row r="969" spans="1:8" ht="33.75" x14ac:dyDescent="0.3">
      <c r="A969" s="13" t="s">
        <v>5799</v>
      </c>
      <c r="B969" s="14" t="s">
        <v>19726</v>
      </c>
      <c r="C969" s="15" t="s">
        <v>5800</v>
      </c>
      <c r="D969" s="15"/>
      <c r="E969" s="15" t="s">
        <v>5801</v>
      </c>
      <c r="F969" s="15"/>
      <c r="G969" s="15" t="s">
        <v>5802</v>
      </c>
      <c r="H969" s="16" t="s">
        <v>5803</v>
      </c>
    </row>
    <row r="970" spans="1:8" ht="22.5" x14ac:dyDescent="0.3">
      <c r="A970" s="13">
        <v>22013</v>
      </c>
      <c r="B970" s="14" t="s">
        <v>5804</v>
      </c>
      <c r="C970" s="15" t="s">
        <v>5805</v>
      </c>
      <c r="D970" s="15"/>
      <c r="E970" s="15" t="s">
        <v>5806</v>
      </c>
      <c r="F970" s="15" t="s">
        <v>5807</v>
      </c>
      <c r="G970" s="15" t="s">
        <v>5808</v>
      </c>
      <c r="H970" s="16" t="s">
        <v>5809</v>
      </c>
    </row>
    <row r="971" spans="1:8" ht="33.75" x14ac:dyDescent="0.3">
      <c r="A971" s="13">
        <v>22014</v>
      </c>
      <c r="B971" s="14" t="s">
        <v>5810</v>
      </c>
      <c r="C971" s="15" t="s">
        <v>5811</v>
      </c>
      <c r="D971" s="15"/>
      <c r="E971" s="15" t="s">
        <v>5812</v>
      </c>
      <c r="F971" s="15" t="s">
        <v>5813</v>
      </c>
      <c r="G971" s="15" t="s">
        <v>57</v>
      </c>
      <c r="H971" s="16" t="s">
        <v>5814</v>
      </c>
    </row>
    <row r="972" spans="1:8" ht="45" x14ac:dyDescent="0.3">
      <c r="A972" s="13">
        <v>22015</v>
      </c>
      <c r="B972" s="14" t="s">
        <v>5815</v>
      </c>
      <c r="C972" s="15" t="s">
        <v>5816</v>
      </c>
      <c r="D972" s="15"/>
      <c r="E972" s="15" t="s">
        <v>5817</v>
      </c>
      <c r="F972" s="15" t="s">
        <v>5818</v>
      </c>
      <c r="G972" s="15" t="s">
        <v>5819</v>
      </c>
      <c r="H972" s="16" t="s">
        <v>5820</v>
      </c>
    </row>
    <row r="973" spans="1:8" ht="45" x14ac:dyDescent="0.3">
      <c r="A973" s="13">
        <v>22016</v>
      </c>
      <c r="B973" s="14" t="s">
        <v>5821</v>
      </c>
      <c r="C973" s="15" t="s">
        <v>5822</v>
      </c>
      <c r="D973" s="15"/>
      <c r="E973" s="15" t="s">
        <v>5823</v>
      </c>
      <c r="F973" s="15" t="s">
        <v>5824</v>
      </c>
      <c r="G973" s="15" t="s">
        <v>5825</v>
      </c>
      <c r="H973" s="16" t="s">
        <v>5826</v>
      </c>
    </row>
    <row r="974" spans="1:8" ht="22.5" x14ac:dyDescent="0.3">
      <c r="A974" s="13">
        <v>22017</v>
      </c>
      <c r="B974" s="14" t="s">
        <v>5827</v>
      </c>
      <c r="C974" s="15" t="s">
        <v>5828</v>
      </c>
      <c r="D974" s="15"/>
      <c r="E974" s="15" t="s">
        <v>5829</v>
      </c>
      <c r="F974" s="15" t="s">
        <v>5830</v>
      </c>
      <c r="G974" s="15" t="s">
        <v>5831</v>
      </c>
      <c r="H974" s="16" t="s">
        <v>5832</v>
      </c>
    </row>
    <row r="975" spans="1:8" ht="33.75" x14ac:dyDescent="0.3">
      <c r="A975" s="13">
        <v>22018</v>
      </c>
      <c r="B975" s="14" t="s">
        <v>5833</v>
      </c>
      <c r="C975" s="15" t="s">
        <v>57</v>
      </c>
      <c r="D975" s="15"/>
      <c r="E975" s="15" t="s">
        <v>5834</v>
      </c>
      <c r="F975" s="15" t="s">
        <v>5835</v>
      </c>
      <c r="G975" s="15" t="s">
        <v>5836</v>
      </c>
      <c r="H975" s="16" t="s">
        <v>5837</v>
      </c>
    </row>
    <row r="976" spans="1:8" ht="33.75" x14ac:dyDescent="0.3">
      <c r="A976" s="13">
        <v>22019</v>
      </c>
      <c r="B976" s="14" t="s">
        <v>5838</v>
      </c>
      <c r="C976" s="15" t="s">
        <v>5839</v>
      </c>
      <c r="D976" s="15"/>
      <c r="E976" s="15" t="s">
        <v>5840</v>
      </c>
      <c r="F976" s="15" t="s">
        <v>5841</v>
      </c>
      <c r="G976" s="15" t="s">
        <v>5842</v>
      </c>
      <c r="H976" s="16" t="s">
        <v>5843</v>
      </c>
    </row>
    <row r="977" spans="1:8" ht="22.5" x14ac:dyDescent="0.3">
      <c r="A977" s="13">
        <v>22020</v>
      </c>
      <c r="B977" s="14" t="s">
        <v>5844</v>
      </c>
      <c r="C977" s="15" t="s">
        <v>5845</v>
      </c>
      <c r="D977" s="15"/>
      <c r="E977" s="15" t="s">
        <v>5846</v>
      </c>
      <c r="F977" s="15" t="s">
        <v>5847</v>
      </c>
      <c r="G977" s="15" t="s">
        <v>5848</v>
      </c>
      <c r="H977" s="16" t="s">
        <v>5849</v>
      </c>
    </row>
    <row r="978" spans="1:8" x14ac:dyDescent="0.3">
      <c r="A978" s="13">
        <v>22021</v>
      </c>
      <c r="B978" s="14" t="s">
        <v>5850</v>
      </c>
      <c r="C978" s="15" t="s">
        <v>5851</v>
      </c>
      <c r="D978" s="15"/>
      <c r="E978" s="15" t="s">
        <v>5852</v>
      </c>
      <c r="F978" s="15" t="s">
        <v>5853</v>
      </c>
      <c r="G978" s="15"/>
      <c r="H978" s="16" t="s">
        <v>5854</v>
      </c>
    </row>
    <row r="979" spans="1:8" ht="22.5" x14ac:dyDescent="0.3">
      <c r="A979" s="13" t="s">
        <v>5855</v>
      </c>
      <c r="B979" s="14" t="s">
        <v>19724</v>
      </c>
      <c r="C979" s="15" t="s">
        <v>5856</v>
      </c>
      <c r="D979" s="15"/>
      <c r="E979" s="15" t="s">
        <v>5857</v>
      </c>
      <c r="F979" s="15"/>
      <c r="G979" s="15" t="s">
        <v>5858</v>
      </c>
      <c r="H979" s="16" t="s">
        <v>5859</v>
      </c>
    </row>
    <row r="980" spans="1:8" ht="22.5" x14ac:dyDescent="0.3">
      <c r="A980" s="13" t="s">
        <v>5860</v>
      </c>
      <c r="B980" s="14" t="s">
        <v>19725</v>
      </c>
      <c r="C980" s="15" t="s">
        <v>5861</v>
      </c>
      <c r="D980" s="15"/>
      <c r="E980" s="15"/>
      <c r="F980" s="15"/>
      <c r="G980" s="15" t="s">
        <v>5862</v>
      </c>
      <c r="H980" s="16" t="s">
        <v>5863</v>
      </c>
    </row>
    <row r="981" spans="1:8" ht="22.5" x14ac:dyDescent="0.3">
      <c r="A981" s="13">
        <v>22022</v>
      </c>
      <c r="B981" s="14" t="s">
        <v>5864</v>
      </c>
      <c r="C981" s="15" t="s">
        <v>5865</v>
      </c>
      <c r="D981" s="15"/>
      <c r="E981" s="15"/>
      <c r="F981" s="15" t="s">
        <v>5866</v>
      </c>
      <c r="G981" s="15" t="s">
        <v>5867</v>
      </c>
      <c r="H981" s="16" t="s">
        <v>57</v>
      </c>
    </row>
    <row r="982" spans="1:8" ht="22.5" x14ac:dyDescent="0.3">
      <c r="A982" s="13">
        <v>22023</v>
      </c>
      <c r="B982" s="14" t="s">
        <v>5868</v>
      </c>
      <c r="C982" s="15" t="s">
        <v>5869</v>
      </c>
      <c r="D982" s="15" t="s">
        <v>5870</v>
      </c>
      <c r="E982" s="15" t="s">
        <v>5871</v>
      </c>
      <c r="F982" s="15" t="s">
        <v>5872</v>
      </c>
      <c r="G982" s="15" t="s">
        <v>5873</v>
      </c>
      <c r="H982" s="16" t="s">
        <v>5874</v>
      </c>
    </row>
    <row r="983" spans="1:8" ht="22.5" x14ac:dyDescent="0.3">
      <c r="A983" s="13" t="s">
        <v>5875</v>
      </c>
      <c r="B983" s="14" t="s">
        <v>19725</v>
      </c>
      <c r="C983" s="15" t="s">
        <v>5876</v>
      </c>
      <c r="D983" s="15"/>
      <c r="E983" s="15" t="s">
        <v>5877</v>
      </c>
      <c r="F983" s="15" t="s">
        <v>5878</v>
      </c>
      <c r="G983" s="15" t="s">
        <v>5879</v>
      </c>
      <c r="H983" s="16" t="s">
        <v>5880</v>
      </c>
    </row>
    <row r="984" spans="1:8" ht="33.75" x14ac:dyDescent="0.3">
      <c r="A984" s="13">
        <v>22024</v>
      </c>
      <c r="B984" s="14" t="s">
        <v>5881</v>
      </c>
      <c r="C984" s="15" t="s">
        <v>5882</v>
      </c>
      <c r="D984" s="15"/>
      <c r="E984" s="15" t="s">
        <v>5883</v>
      </c>
      <c r="F984" s="15" t="s">
        <v>5884</v>
      </c>
      <c r="G984" s="15" t="s">
        <v>5884</v>
      </c>
      <c r="H984" s="16" t="s">
        <v>5885</v>
      </c>
    </row>
    <row r="985" spans="1:8" ht="33.75" x14ac:dyDescent="0.3">
      <c r="A985" s="13">
        <v>22025</v>
      </c>
      <c r="B985" s="14" t="s">
        <v>5886</v>
      </c>
      <c r="C985" s="15" t="s">
        <v>5887</v>
      </c>
      <c r="D985" s="15"/>
      <c r="E985" s="15" t="s">
        <v>5888</v>
      </c>
      <c r="F985" s="15" t="s">
        <v>5889</v>
      </c>
      <c r="G985" s="15" t="s">
        <v>5890</v>
      </c>
      <c r="H985" s="16" t="s">
        <v>5891</v>
      </c>
    </row>
    <row r="986" spans="1:8" ht="22.5" x14ac:dyDescent="0.3">
      <c r="A986" s="13">
        <v>22026</v>
      </c>
      <c r="B986" s="14" t="s">
        <v>5892</v>
      </c>
      <c r="C986" s="15" t="s">
        <v>5893</v>
      </c>
      <c r="D986" s="15"/>
      <c r="E986" s="15" t="s">
        <v>5894</v>
      </c>
      <c r="F986" s="15" t="s">
        <v>5895</v>
      </c>
      <c r="G986" s="15" t="s">
        <v>5896</v>
      </c>
      <c r="H986" s="16" t="s">
        <v>5897</v>
      </c>
    </row>
    <row r="987" spans="1:8" ht="45" x14ac:dyDescent="0.3">
      <c r="A987" s="13" t="s">
        <v>5898</v>
      </c>
      <c r="B987" s="14" t="s">
        <v>5899</v>
      </c>
      <c r="C987" s="15" t="s">
        <v>5900</v>
      </c>
      <c r="D987" s="15"/>
      <c r="E987" s="15" t="s">
        <v>5901</v>
      </c>
      <c r="F987" s="15" t="s">
        <v>5902</v>
      </c>
      <c r="G987" s="15" t="s">
        <v>5903</v>
      </c>
      <c r="H987" s="16" t="s">
        <v>5904</v>
      </c>
    </row>
    <row r="988" spans="1:8" ht="22.5" x14ac:dyDescent="0.3">
      <c r="A988" s="13">
        <v>22101</v>
      </c>
      <c r="B988" s="14" t="s">
        <v>5905</v>
      </c>
      <c r="C988" s="15" t="s">
        <v>5906</v>
      </c>
      <c r="D988" s="15"/>
      <c r="E988" s="15" t="s">
        <v>5907</v>
      </c>
      <c r="F988" s="15" t="s">
        <v>5908</v>
      </c>
      <c r="G988" s="15" t="s">
        <v>5909</v>
      </c>
      <c r="H988" s="16" t="s">
        <v>5910</v>
      </c>
    </row>
    <row r="989" spans="1:8" ht="22.5" x14ac:dyDescent="0.3">
      <c r="A989" s="13">
        <v>22102</v>
      </c>
      <c r="B989" s="14" t="s">
        <v>5911</v>
      </c>
      <c r="C989" s="15" t="s">
        <v>5912</v>
      </c>
      <c r="D989" s="15"/>
      <c r="E989" s="15" t="s">
        <v>5913</v>
      </c>
      <c r="F989" s="15" t="s">
        <v>5914</v>
      </c>
      <c r="G989" s="15" t="s">
        <v>5915</v>
      </c>
      <c r="H989" s="16" t="s">
        <v>5916</v>
      </c>
    </row>
    <row r="990" spans="1:8" x14ac:dyDescent="0.3">
      <c r="A990" s="13">
        <v>22103</v>
      </c>
      <c r="B990" s="14" t="s">
        <v>5917</v>
      </c>
      <c r="C990" s="15" t="s">
        <v>5918</v>
      </c>
      <c r="D990" s="15"/>
      <c r="E990" s="15" t="s">
        <v>5919</v>
      </c>
      <c r="F990" s="15" t="s">
        <v>5917</v>
      </c>
      <c r="G990" s="15" t="s">
        <v>5917</v>
      </c>
      <c r="H990" s="16" t="s">
        <v>5919</v>
      </c>
    </row>
    <row r="991" spans="1:8" ht="22.5" x14ac:dyDescent="0.3">
      <c r="A991" s="13">
        <v>22104</v>
      </c>
      <c r="B991" s="14" t="s">
        <v>5920</v>
      </c>
      <c r="C991" s="15" t="s">
        <v>5921</v>
      </c>
      <c r="D991" s="15"/>
      <c r="E991" s="15" t="s">
        <v>5922</v>
      </c>
      <c r="F991" s="15" t="s">
        <v>5923</v>
      </c>
      <c r="G991" s="15" t="s">
        <v>5924</v>
      </c>
      <c r="H991" s="16" t="s">
        <v>5925</v>
      </c>
    </row>
    <row r="992" spans="1:8" ht="33.75" x14ac:dyDescent="0.3">
      <c r="A992" s="13" t="s">
        <v>5926</v>
      </c>
      <c r="B992" s="14" t="s">
        <v>5927</v>
      </c>
      <c r="C992" s="15" t="s">
        <v>5928</v>
      </c>
      <c r="D992" s="15"/>
      <c r="E992" s="15" t="s">
        <v>5929</v>
      </c>
      <c r="F992" s="15" t="s">
        <v>5930</v>
      </c>
      <c r="G992" s="15" t="s">
        <v>5931</v>
      </c>
      <c r="H992" s="16" t="s">
        <v>5932</v>
      </c>
    </row>
    <row r="993" spans="1:8" ht="45" x14ac:dyDescent="0.3">
      <c r="A993" s="13">
        <v>22105</v>
      </c>
      <c r="B993" s="14" t="s">
        <v>5933</v>
      </c>
      <c r="C993" s="15" t="s">
        <v>5934</v>
      </c>
      <c r="D993" s="15" t="s">
        <v>5935</v>
      </c>
      <c r="E993" s="15" t="s">
        <v>5936</v>
      </c>
      <c r="F993" s="15" t="s">
        <v>5937</v>
      </c>
      <c r="G993" s="15" t="s">
        <v>5938</v>
      </c>
      <c r="H993" s="16" t="s">
        <v>5939</v>
      </c>
    </row>
    <row r="994" spans="1:8" ht="22.5" x14ac:dyDescent="0.3">
      <c r="A994" s="13">
        <v>22106</v>
      </c>
      <c r="B994" s="14" t="s">
        <v>5940</v>
      </c>
      <c r="C994" s="15" t="s">
        <v>5941</v>
      </c>
      <c r="D994" s="15"/>
      <c r="E994" s="15" t="s">
        <v>5942</v>
      </c>
      <c r="F994" s="15" t="s">
        <v>5943</v>
      </c>
      <c r="G994" s="15" t="s">
        <v>5944</v>
      </c>
      <c r="H994" s="16" t="s">
        <v>5945</v>
      </c>
    </row>
    <row r="995" spans="1:8" ht="22.5" x14ac:dyDescent="0.3">
      <c r="A995" s="13">
        <v>22107</v>
      </c>
      <c r="B995" s="14" t="s">
        <v>5946</v>
      </c>
      <c r="C995" s="15" t="s">
        <v>5947</v>
      </c>
      <c r="D995" s="15"/>
      <c r="E995" s="15" t="s">
        <v>5948</v>
      </c>
      <c r="F995" s="15" t="s">
        <v>5949</v>
      </c>
      <c r="G995" s="15" t="s">
        <v>5950</v>
      </c>
      <c r="H995" s="16" t="s">
        <v>5951</v>
      </c>
    </row>
    <row r="996" spans="1:8" ht="22.5" x14ac:dyDescent="0.3">
      <c r="A996" s="13">
        <v>22108</v>
      </c>
      <c r="B996" s="14" t="s">
        <v>5952</v>
      </c>
      <c r="C996" s="15" t="s">
        <v>5953</v>
      </c>
      <c r="D996" s="15" t="s">
        <v>5954</v>
      </c>
      <c r="E996" s="15" t="s">
        <v>5955</v>
      </c>
      <c r="F996" s="15" t="s">
        <v>5956</v>
      </c>
      <c r="G996" s="15" t="s">
        <v>57</v>
      </c>
      <c r="H996" s="16"/>
    </row>
    <row r="997" spans="1:8" ht="22.5" x14ac:dyDescent="0.3">
      <c r="A997" s="13">
        <v>22109</v>
      </c>
      <c r="B997" s="14" t="s">
        <v>5957</v>
      </c>
      <c r="C997" s="15" t="s">
        <v>5958</v>
      </c>
      <c r="D997" s="15" t="s">
        <v>5957</v>
      </c>
      <c r="E997" s="15" t="s">
        <v>5959</v>
      </c>
      <c r="F997" s="15" t="s">
        <v>5959</v>
      </c>
      <c r="G997" s="15" t="s">
        <v>5960</v>
      </c>
      <c r="H997" s="16" t="s">
        <v>5961</v>
      </c>
    </row>
    <row r="998" spans="1:8" ht="45" x14ac:dyDescent="0.3">
      <c r="A998" s="13">
        <v>22110</v>
      </c>
      <c r="B998" s="14" t="s">
        <v>5962</v>
      </c>
      <c r="C998" s="15" t="s">
        <v>5963</v>
      </c>
      <c r="D998" s="15" t="s">
        <v>5964</v>
      </c>
      <c r="E998" s="15" t="s">
        <v>5965</v>
      </c>
      <c r="F998" s="15" t="s">
        <v>5966</v>
      </c>
      <c r="G998" s="15" t="s">
        <v>5967</v>
      </c>
      <c r="H998" s="16" t="s">
        <v>5968</v>
      </c>
    </row>
    <row r="999" spans="1:8" ht="78.75" x14ac:dyDescent="0.3">
      <c r="A999" s="13" t="s">
        <v>5969</v>
      </c>
      <c r="B999" s="14" t="s">
        <v>5970</v>
      </c>
      <c r="C999" s="15" t="s">
        <v>5971</v>
      </c>
      <c r="D999" s="15" t="s">
        <v>5970</v>
      </c>
      <c r="E999" s="15" t="s">
        <v>5972</v>
      </c>
      <c r="F999" s="15" t="s">
        <v>57</v>
      </c>
      <c r="G999" s="15" t="s">
        <v>5973</v>
      </c>
      <c r="H999" s="16" t="s">
        <v>5974</v>
      </c>
    </row>
    <row r="1000" spans="1:8" ht="33.75" x14ac:dyDescent="0.3">
      <c r="A1000" s="13" t="s">
        <v>5975</v>
      </c>
      <c r="B1000" s="14" t="s">
        <v>5976</v>
      </c>
      <c r="C1000" s="15" t="s">
        <v>57</v>
      </c>
      <c r="D1000" s="15"/>
      <c r="E1000" s="15" t="s">
        <v>5972</v>
      </c>
      <c r="F1000" s="15" t="s">
        <v>57</v>
      </c>
      <c r="G1000" s="15" t="s">
        <v>5977</v>
      </c>
      <c r="H1000" s="16" t="s">
        <v>5974</v>
      </c>
    </row>
    <row r="1001" spans="1:8" ht="22.5" x14ac:dyDescent="0.3">
      <c r="A1001" s="13" t="s">
        <v>5978</v>
      </c>
      <c r="B1001" s="14" t="s">
        <v>5979</v>
      </c>
      <c r="C1001" s="15"/>
      <c r="D1001" s="15"/>
      <c r="E1001" s="15"/>
      <c r="F1001" s="15" t="s">
        <v>57</v>
      </c>
      <c r="G1001" s="15" t="s">
        <v>57</v>
      </c>
      <c r="H1001" s="16" t="s">
        <v>5980</v>
      </c>
    </row>
    <row r="1002" spans="1:8" ht="33.75" x14ac:dyDescent="0.3">
      <c r="A1002" s="13">
        <v>22111</v>
      </c>
      <c r="B1002" s="14" t="s">
        <v>5981</v>
      </c>
      <c r="C1002" s="15" t="s">
        <v>5982</v>
      </c>
      <c r="D1002" s="15" t="s">
        <v>5983</v>
      </c>
      <c r="E1002" s="15" t="s">
        <v>5984</v>
      </c>
      <c r="F1002" s="15" t="s">
        <v>5985</v>
      </c>
      <c r="G1002" s="15" t="s">
        <v>5986</v>
      </c>
      <c r="H1002" s="16" t="s">
        <v>5987</v>
      </c>
    </row>
    <row r="1003" spans="1:8" ht="22.5" x14ac:dyDescent="0.3">
      <c r="A1003" s="13">
        <v>22112</v>
      </c>
      <c r="B1003" s="14" t="s">
        <v>5988</v>
      </c>
      <c r="C1003" s="15" t="s">
        <v>5989</v>
      </c>
      <c r="D1003" s="15"/>
      <c r="E1003" s="15" t="s">
        <v>5990</v>
      </c>
      <c r="F1003" s="15" t="s">
        <v>5991</v>
      </c>
      <c r="G1003" s="15" t="s">
        <v>5992</v>
      </c>
      <c r="H1003" s="16" t="s">
        <v>5988</v>
      </c>
    </row>
    <row r="1004" spans="1:8" x14ac:dyDescent="0.3">
      <c r="A1004" s="13">
        <v>22113</v>
      </c>
      <c r="B1004" s="14" t="s">
        <v>5993</v>
      </c>
      <c r="C1004" s="15" t="s">
        <v>5994</v>
      </c>
      <c r="D1004" s="15" t="s">
        <v>5993</v>
      </c>
      <c r="E1004" s="15" t="s">
        <v>5995</v>
      </c>
      <c r="F1004" s="15" t="s">
        <v>5993</v>
      </c>
      <c r="G1004" s="15" t="s">
        <v>5996</v>
      </c>
      <c r="H1004" s="16" t="s">
        <v>5997</v>
      </c>
    </row>
    <row r="1005" spans="1:8" x14ac:dyDescent="0.3">
      <c r="A1005" s="13">
        <v>22114</v>
      </c>
      <c r="B1005" s="14" t="s">
        <v>5998</v>
      </c>
      <c r="C1005" s="15" t="s">
        <v>5999</v>
      </c>
      <c r="D1005" s="15" t="s">
        <v>6000</v>
      </c>
      <c r="E1005" s="15" t="s">
        <v>6000</v>
      </c>
      <c r="F1005" s="15" t="s">
        <v>6001</v>
      </c>
      <c r="G1005" s="15" t="s">
        <v>6000</v>
      </c>
      <c r="H1005" s="16" t="s">
        <v>6002</v>
      </c>
    </row>
    <row r="1006" spans="1:8" ht="22.5" x14ac:dyDescent="0.3">
      <c r="A1006" s="13">
        <v>22115</v>
      </c>
      <c r="B1006" s="14" t="s">
        <v>6003</v>
      </c>
      <c r="C1006" s="15" t="s">
        <v>6004</v>
      </c>
      <c r="D1006" s="15" t="s">
        <v>6003</v>
      </c>
      <c r="E1006" s="15" t="s">
        <v>6003</v>
      </c>
      <c r="F1006" s="15" t="s">
        <v>6005</v>
      </c>
      <c r="G1006" s="15" t="s">
        <v>6006</v>
      </c>
      <c r="H1006" s="16" t="s">
        <v>6007</v>
      </c>
    </row>
    <row r="1007" spans="1:8" ht="22.5" x14ac:dyDescent="0.3">
      <c r="A1007" s="13" t="s">
        <v>6008</v>
      </c>
      <c r="B1007" s="14" t="s">
        <v>6009</v>
      </c>
      <c r="C1007" s="15" t="s">
        <v>6010</v>
      </c>
      <c r="D1007" s="15" t="s">
        <v>6011</v>
      </c>
      <c r="E1007" s="15" t="s">
        <v>6012</v>
      </c>
      <c r="F1007" s="15" t="s">
        <v>6011</v>
      </c>
      <c r="G1007" s="15" t="s">
        <v>6013</v>
      </c>
      <c r="H1007" s="16" t="s">
        <v>6014</v>
      </c>
    </row>
    <row r="1008" spans="1:8" ht="22.5" x14ac:dyDescent="0.3">
      <c r="A1008" s="13" t="s">
        <v>6015</v>
      </c>
      <c r="B1008" s="14" t="s">
        <v>6016</v>
      </c>
      <c r="C1008" s="15" t="s">
        <v>6017</v>
      </c>
      <c r="D1008" s="15" t="s">
        <v>6018</v>
      </c>
      <c r="E1008" s="15" t="s">
        <v>6019</v>
      </c>
      <c r="F1008" s="15" t="s">
        <v>57</v>
      </c>
      <c r="G1008" s="15" t="s">
        <v>57</v>
      </c>
      <c r="H1008" s="16" t="s">
        <v>6020</v>
      </c>
    </row>
    <row r="1009" spans="1:8" ht="22.5" x14ac:dyDescent="0.3">
      <c r="A1009" s="13" t="s">
        <v>6021</v>
      </c>
      <c r="B1009" s="14" t="s">
        <v>6022</v>
      </c>
      <c r="C1009" s="15" t="s">
        <v>6023</v>
      </c>
      <c r="D1009" s="15" t="s">
        <v>6024</v>
      </c>
      <c r="E1009" s="15" t="s">
        <v>6025</v>
      </c>
      <c r="F1009" s="15" t="s">
        <v>6026</v>
      </c>
      <c r="G1009" s="15" t="s">
        <v>6027</v>
      </c>
      <c r="H1009" s="16" t="s">
        <v>6028</v>
      </c>
    </row>
    <row r="1010" spans="1:8" ht="22.5" x14ac:dyDescent="0.3">
      <c r="A1010" s="13">
        <v>22116</v>
      </c>
      <c r="B1010" s="14" t="s">
        <v>6029</v>
      </c>
      <c r="C1010" s="15" t="s">
        <v>6030</v>
      </c>
      <c r="D1010" s="15" t="s">
        <v>6031</v>
      </c>
      <c r="E1010" s="15" t="s">
        <v>6032</v>
      </c>
      <c r="F1010" s="15" t="s">
        <v>6033</v>
      </c>
      <c r="G1010" s="15" t="s">
        <v>6034</v>
      </c>
      <c r="H1010" s="16" t="s">
        <v>6035</v>
      </c>
    </row>
    <row r="1011" spans="1:8" ht="22.5" x14ac:dyDescent="0.3">
      <c r="A1011" s="13" t="s">
        <v>6036</v>
      </c>
      <c r="B1011" s="14" t="s">
        <v>6037</v>
      </c>
      <c r="C1011" s="15" t="s">
        <v>6038</v>
      </c>
      <c r="D1011" s="15" t="s">
        <v>6039</v>
      </c>
      <c r="E1011" s="15" t="s">
        <v>6040</v>
      </c>
      <c r="F1011" s="15" t="s">
        <v>6041</v>
      </c>
      <c r="G1011" s="15" t="s">
        <v>6042</v>
      </c>
      <c r="H1011" s="16" t="s">
        <v>6043</v>
      </c>
    </row>
    <row r="1012" spans="1:8" ht="33.75" x14ac:dyDescent="0.3">
      <c r="A1012" s="13">
        <v>22117</v>
      </c>
      <c r="B1012" s="14" t="s">
        <v>6044</v>
      </c>
      <c r="C1012" s="15" t="s">
        <v>6045</v>
      </c>
      <c r="D1012" s="15" t="s">
        <v>6046</v>
      </c>
      <c r="E1012" s="15" t="s">
        <v>6047</v>
      </c>
      <c r="F1012" s="15" t="s">
        <v>6048</v>
      </c>
      <c r="G1012" s="15" t="s">
        <v>6049</v>
      </c>
      <c r="H1012" s="16" t="s">
        <v>6050</v>
      </c>
    </row>
    <row r="1013" spans="1:8" ht="22.5" x14ac:dyDescent="0.3">
      <c r="A1013" s="13" t="s">
        <v>6051</v>
      </c>
      <c r="B1013" s="14" t="s">
        <v>6052</v>
      </c>
      <c r="C1013" s="15" t="s">
        <v>6053</v>
      </c>
      <c r="D1013" s="15" t="s">
        <v>6054</v>
      </c>
      <c r="E1013" s="15" t="s">
        <v>6055</v>
      </c>
      <c r="F1013" s="15" t="s">
        <v>6056</v>
      </c>
      <c r="G1013" s="15" t="s">
        <v>6057</v>
      </c>
      <c r="H1013" s="16" t="s">
        <v>6058</v>
      </c>
    </row>
    <row r="1014" spans="1:8" ht="33.75" x14ac:dyDescent="0.3">
      <c r="A1014" s="13">
        <v>22118</v>
      </c>
      <c r="B1014" s="14" t="s">
        <v>6059</v>
      </c>
      <c r="C1014" s="15" t="s">
        <v>6060</v>
      </c>
      <c r="D1014" s="15" t="s">
        <v>6061</v>
      </c>
      <c r="E1014" s="15" t="s">
        <v>6062</v>
      </c>
      <c r="F1014" s="15" t="s">
        <v>6063</v>
      </c>
      <c r="G1014" s="15" t="s">
        <v>6064</v>
      </c>
      <c r="H1014" s="16" t="s">
        <v>6065</v>
      </c>
    </row>
    <row r="1015" spans="1:8" ht="56.25" x14ac:dyDescent="0.3">
      <c r="A1015" s="13">
        <v>22119</v>
      </c>
      <c r="B1015" s="14" t="s">
        <v>6066</v>
      </c>
      <c r="C1015" s="15" t="s">
        <v>6067</v>
      </c>
      <c r="D1015" s="15" t="s">
        <v>6068</v>
      </c>
      <c r="E1015" s="15" t="s">
        <v>6069</v>
      </c>
      <c r="F1015" s="15" t="s">
        <v>6070</v>
      </c>
      <c r="G1015" s="15" t="s">
        <v>6071</v>
      </c>
      <c r="H1015" s="16" t="s">
        <v>6072</v>
      </c>
    </row>
    <row r="1016" spans="1:8" ht="22.5" x14ac:dyDescent="0.3">
      <c r="A1016" s="13">
        <v>22120</v>
      </c>
      <c r="B1016" s="14" t="s">
        <v>6073</v>
      </c>
      <c r="C1016" s="15" t="s">
        <v>6074</v>
      </c>
      <c r="D1016" s="15" t="s">
        <v>6075</v>
      </c>
      <c r="E1016" s="15" t="s">
        <v>6076</v>
      </c>
      <c r="F1016" s="15" t="s">
        <v>6077</v>
      </c>
      <c r="G1016" s="15" t="s">
        <v>6078</v>
      </c>
      <c r="H1016" s="16" t="s">
        <v>6079</v>
      </c>
    </row>
    <row r="1017" spans="1:8" ht="22.5" x14ac:dyDescent="0.3">
      <c r="A1017" s="13">
        <v>22121</v>
      </c>
      <c r="B1017" s="14" t="s">
        <v>6080</v>
      </c>
      <c r="C1017" s="15" t="s">
        <v>6081</v>
      </c>
      <c r="D1017" s="15" t="s">
        <v>6082</v>
      </c>
      <c r="E1017" s="15" t="s">
        <v>6083</v>
      </c>
      <c r="F1017" s="15" t="s">
        <v>6083</v>
      </c>
      <c r="G1017" s="15" t="s">
        <v>6084</v>
      </c>
      <c r="H1017" s="16" t="s">
        <v>6085</v>
      </c>
    </row>
    <row r="1018" spans="1:8" ht="22.5" x14ac:dyDescent="0.3">
      <c r="A1018" s="13">
        <v>22122</v>
      </c>
      <c r="B1018" s="14" t="s">
        <v>6086</v>
      </c>
      <c r="C1018" s="15" t="s">
        <v>6087</v>
      </c>
      <c r="D1018" s="15" t="s">
        <v>6088</v>
      </c>
      <c r="E1018" s="15" t="s">
        <v>6089</v>
      </c>
      <c r="F1018" s="15" t="s">
        <v>6090</v>
      </c>
      <c r="G1018" s="15" t="s">
        <v>6091</v>
      </c>
      <c r="H1018" s="16" t="s">
        <v>6091</v>
      </c>
    </row>
    <row r="1019" spans="1:8" ht="56.25" x14ac:dyDescent="0.3">
      <c r="A1019" s="13">
        <v>22123</v>
      </c>
      <c r="B1019" s="14" t="s">
        <v>6092</v>
      </c>
      <c r="C1019" s="15" t="s">
        <v>6093</v>
      </c>
      <c r="D1019" s="15" t="s">
        <v>6094</v>
      </c>
      <c r="E1019" s="15" t="s">
        <v>6095</v>
      </c>
      <c r="F1019" s="15" t="s">
        <v>6096</v>
      </c>
      <c r="G1019" s="15" t="s">
        <v>6097</v>
      </c>
      <c r="H1019" s="16" t="s">
        <v>6098</v>
      </c>
    </row>
    <row r="1020" spans="1:8" ht="33.75" x14ac:dyDescent="0.3">
      <c r="A1020" s="13" t="s">
        <v>6099</v>
      </c>
      <c r="B1020" s="14" t="s">
        <v>6100</v>
      </c>
      <c r="C1020" s="15" t="s">
        <v>6101</v>
      </c>
      <c r="D1020" s="15" t="s">
        <v>6102</v>
      </c>
      <c r="E1020" s="15" t="s">
        <v>6100</v>
      </c>
      <c r="F1020" s="15" t="s">
        <v>6103</v>
      </c>
      <c r="G1020" s="15" t="s">
        <v>6104</v>
      </c>
      <c r="H1020" s="16" t="s">
        <v>6105</v>
      </c>
    </row>
    <row r="1021" spans="1:8" ht="33.75" x14ac:dyDescent="0.3">
      <c r="A1021" s="13">
        <v>22124</v>
      </c>
      <c r="B1021" s="14" t="s">
        <v>6106</v>
      </c>
      <c r="C1021" s="15" t="s">
        <v>6107</v>
      </c>
      <c r="D1021" s="15" t="s">
        <v>6108</v>
      </c>
      <c r="E1021" s="15" t="s">
        <v>6109</v>
      </c>
      <c r="F1021" s="15" t="s">
        <v>6110</v>
      </c>
      <c r="G1021" s="15" t="s">
        <v>6111</v>
      </c>
      <c r="H1021" s="16" t="s">
        <v>6112</v>
      </c>
    </row>
    <row r="1022" spans="1:8" ht="33.75" x14ac:dyDescent="0.3">
      <c r="A1022" s="13">
        <v>22125</v>
      </c>
      <c r="B1022" s="14" t="s">
        <v>6113</v>
      </c>
      <c r="C1022" s="15" t="s">
        <v>6114</v>
      </c>
      <c r="D1022" s="15" t="s">
        <v>6115</v>
      </c>
      <c r="E1022" s="15" t="s">
        <v>6116</v>
      </c>
      <c r="F1022" s="15" t="s">
        <v>6117</v>
      </c>
      <c r="G1022" s="15" t="s">
        <v>6118</v>
      </c>
      <c r="H1022" s="16" t="s">
        <v>6119</v>
      </c>
    </row>
    <row r="1023" spans="1:8" ht="45" x14ac:dyDescent="0.3">
      <c r="A1023" s="13">
        <v>22126</v>
      </c>
      <c r="B1023" s="14" t="s">
        <v>6120</v>
      </c>
      <c r="C1023" s="15" t="s">
        <v>6121</v>
      </c>
      <c r="D1023" s="15" t="s">
        <v>6122</v>
      </c>
      <c r="E1023" s="15" t="s">
        <v>6123</v>
      </c>
      <c r="F1023" s="15" t="s">
        <v>6124</v>
      </c>
      <c r="G1023" s="15" t="s">
        <v>6125</v>
      </c>
      <c r="H1023" s="16" t="s">
        <v>6126</v>
      </c>
    </row>
    <row r="1024" spans="1:8" ht="33.75" x14ac:dyDescent="0.3">
      <c r="A1024" s="13" t="s">
        <v>6127</v>
      </c>
      <c r="B1024" s="14" t="s">
        <v>6120</v>
      </c>
      <c r="C1024" s="15" t="s">
        <v>6121</v>
      </c>
      <c r="D1024" s="15" t="s">
        <v>6128</v>
      </c>
      <c r="E1024" s="15" t="s">
        <v>6129</v>
      </c>
      <c r="F1024" s="15" t="s">
        <v>6130</v>
      </c>
      <c r="G1024" s="15" t="s">
        <v>6131</v>
      </c>
      <c r="H1024" s="16" t="s">
        <v>6132</v>
      </c>
    </row>
    <row r="1025" spans="1:8" ht="56.25" x14ac:dyDescent="0.3">
      <c r="A1025" s="13" t="s">
        <v>6133</v>
      </c>
      <c r="B1025" s="14" t="s">
        <v>6120</v>
      </c>
      <c r="C1025" s="15" t="s">
        <v>6134</v>
      </c>
      <c r="D1025" s="15" t="s">
        <v>6135</v>
      </c>
      <c r="E1025" s="15" t="s">
        <v>6136</v>
      </c>
      <c r="F1025" s="15" t="s">
        <v>6137</v>
      </c>
      <c r="G1025" s="15" t="s">
        <v>6138</v>
      </c>
      <c r="H1025" s="16" t="s">
        <v>6139</v>
      </c>
    </row>
    <row r="1026" spans="1:8" x14ac:dyDescent="0.3">
      <c r="A1026" s="13">
        <v>22127</v>
      </c>
      <c r="B1026" s="14" t="s">
        <v>6140</v>
      </c>
      <c r="C1026" s="15" t="s">
        <v>6141</v>
      </c>
      <c r="D1026" s="15" t="s">
        <v>6142</v>
      </c>
      <c r="E1026" s="15" t="s">
        <v>6143</v>
      </c>
      <c r="F1026" s="15" t="s">
        <v>6144</v>
      </c>
      <c r="G1026" s="15" t="s">
        <v>6145</v>
      </c>
      <c r="H1026" s="16" t="s">
        <v>6146</v>
      </c>
    </row>
    <row r="1027" spans="1:8" x14ac:dyDescent="0.3">
      <c r="A1027" s="13">
        <v>22128</v>
      </c>
      <c r="B1027" s="14" t="s">
        <v>6147</v>
      </c>
      <c r="C1027" s="15" t="s">
        <v>6148</v>
      </c>
      <c r="D1027" s="15" t="s">
        <v>6149</v>
      </c>
      <c r="E1027" s="15" t="s">
        <v>6150</v>
      </c>
      <c r="F1027" s="15" t="s">
        <v>6151</v>
      </c>
      <c r="G1027" s="15" t="s">
        <v>6149</v>
      </c>
      <c r="H1027" s="16" t="s">
        <v>6149</v>
      </c>
    </row>
    <row r="1028" spans="1:8" ht="22.5" x14ac:dyDescent="0.3">
      <c r="A1028" s="13">
        <v>22129</v>
      </c>
      <c r="B1028" s="14" t="s">
        <v>6152</v>
      </c>
      <c r="C1028" s="15" t="s">
        <v>6153</v>
      </c>
      <c r="D1028" s="15" t="s">
        <v>6152</v>
      </c>
      <c r="E1028" s="15" t="s">
        <v>6152</v>
      </c>
      <c r="F1028" s="15" t="s">
        <v>6152</v>
      </c>
      <c r="G1028" s="15" t="s">
        <v>6154</v>
      </c>
      <c r="H1028" s="16" t="s">
        <v>6155</v>
      </c>
    </row>
    <row r="1029" spans="1:8" ht="22.5" x14ac:dyDescent="0.3">
      <c r="A1029" s="13">
        <v>22130</v>
      </c>
      <c r="B1029" s="14" t="s">
        <v>6156</v>
      </c>
      <c r="C1029" s="15" t="s">
        <v>6157</v>
      </c>
      <c r="D1029" s="15"/>
      <c r="E1029" s="15" t="s">
        <v>6158</v>
      </c>
      <c r="F1029" s="15" t="s">
        <v>6159</v>
      </c>
      <c r="G1029" s="15" t="s">
        <v>6160</v>
      </c>
      <c r="H1029" s="16" t="s">
        <v>6161</v>
      </c>
    </row>
    <row r="1030" spans="1:8" ht="22.5" x14ac:dyDescent="0.3">
      <c r="A1030" s="13">
        <v>22131</v>
      </c>
      <c r="B1030" s="14" t="s">
        <v>6162</v>
      </c>
      <c r="C1030" s="15" t="s">
        <v>6163</v>
      </c>
      <c r="D1030" s="15" t="s">
        <v>6164</v>
      </c>
      <c r="E1030" s="15" t="s">
        <v>6165</v>
      </c>
      <c r="F1030" s="15" t="s">
        <v>6166</v>
      </c>
      <c r="G1030" s="15" t="s">
        <v>6167</v>
      </c>
      <c r="H1030" s="16" t="s">
        <v>6168</v>
      </c>
    </row>
    <row r="1031" spans="1:8" ht="22.5" x14ac:dyDescent="0.3">
      <c r="A1031" s="13">
        <v>22132</v>
      </c>
      <c r="B1031" s="14" t="s">
        <v>6169</v>
      </c>
      <c r="C1031" s="15" t="s">
        <v>6170</v>
      </c>
      <c r="D1031" s="15" t="s">
        <v>6171</v>
      </c>
      <c r="E1031" s="15" t="s">
        <v>6171</v>
      </c>
      <c r="F1031" s="15" t="s">
        <v>6172</v>
      </c>
      <c r="G1031" s="15" t="s">
        <v>6173</v>
      </c>
      <c r="H1031" s="16" t="s">
        <v>6174</v>
      </c>
    </row>
    <row r="1032" spans="1:8" ht="78.75" x14ac:dyDescent="0.3">
      <c r="A1032" s="13">
        <v>22133</v>
      </c>
      <c r="B1032" s="14" t="s">
        <v>6175</v>
      </c>
      <c r="C1032" s="15" t="s">
        <v>6176</v>
      </c>
      <c r="D1032" s="15" t="s">
        <v>6177</v>
      </c>
      <c r="E1032" s="15" t="s">
        <v>6178</v>
      </c>
      <c r="F1032" s="15" t="s">
        <v>6179</v>
      </c>
      <c r="G1032" s="15" t="s">
        <v>6180</v>
      </c>
      <c r="H1032" s="16" t="s">
        <v>6181</v>
      </c>
    </row>
    <row r="1033" spans="1:8" ht="33.75" x14ac:dyDescent="0.3">
      <c r="A1033" s="13">
        <v>22134</v>
      </c>
      <c r="B1033" s="14" t="s">
        <v>6182</v>
      </c>
      <c r="C1033" s="15" t="s">
        <v>6183</v>
      </c>
      <c r="D1033" s="15" t="s">
        <v>6184</v>
      </c>
      <c r="E1033" s="15" t="s">
        <v>6185</v>
      </c>
      <c r="F1033" s="15" t="s">
        <v>6186</v>
      </c>
      <c r="G1033" s="15" t="s">
        <v>6187</v>
      </c>
      <c r="H1033" s="16"/>
    </row>
    <row r="1034" spans="1:8" ht="22.5" x14ac:dyDescent="0.3">
      <c r="A1034" s="13">
        <v>22135</v>
      </c>
      <c r="B1034" s="14" t="s">
        <v>6188</v>
      </c>
      <c r="C1034" s="15" t="s">
        <v>6189</v>
      </c>
      <c r="D1034" s="15" t="s">
        <v>6190</v>
      </c>
      <c r="E1034" s="15" t="s">
        <v>6191</v>
      </c>
      <c r="F1034" s="15" t="s">
        <v>6192</v>
      </c>
      <c r="G1034" s="15" t="s">
        <v>6193</v>
      </c>
      <c r="H1034" s="16" t="s">
        <v>6194</v>
      </c>
    </row>
    <row r="1035" spans="1:8" ht="33.75" x14ac:dyDescent="0.3">
      <c r="A1035" s="13" t="s">
        <v>6195</v>
      </c>
      <c r="B1035" s="14" t="s">
        <v>19725</v>
      </c>
      <c r="C1035" s="15" t="s">
        <v>6196</v>
      </c>
      <c r="D1035" s="15"/>
      <c r="E1035" s="15" t="s">
        <v>6197</v>
      </c>
      <c r="F1035" s="15" t="s">
        <v>6198</v>
      </c>
      <c r="G1035" s="15" t="s">
        <v>6199</v>
      </c>
      <c r="H1035" s="16" t="s">
        <v>6200</v>
      </c>
    </row>
    <row r="1036" spans="1:8" x14ac:dyDescent="0.3">
      <c r="A1036" s="13" t="s">
        <v>6201</v>
      </c>
      <c r="B1036" s="14" t="s">
        <v>19726</v>
      </c>
      <c r="C1036" s="15"/>
      <c r="D1036" s="15"/>
      <c r="E1036" s="15" t="s">
        <v>6202</v>
      </c>
      <c r="F1036" s="15"/>
      <c r="G1036" s="15"/>
      <c r="H1036" s="16"/>
    </row>
    <row r="1037" spans="1:8" x14ac:dyDescent="0.3">
      <c r="A1037" s="13">
        <v>22136</v>
      </c>
      <c r="B1037" s="14" t="s">
        <v>6203</v>
      </c>
      <c r="C1037" s="15" t="s">
        <v>6204</v>
      </c>
      <c r="D1037" s="15" t="s">
        <v>6205</v>
      </c>
      <c r="E1037" s="15" t="s">
        <v>6206</v>
      </c>
      <c r="F1037" s="15" t="s">
        <v>6206</v>
      </c>
      <c r="G1037" s="15" t="s">
        <v>6206</v>
      </c>
      <c r="H1037" s="16" t="s">
        <v>6207</v>
      </c>
    </row>
    <row r="1038" spans="1:8" ht="22.5" x14ac:dyDescent="0.3">
      <c r="A1038" s="13">
        <v>22201</v>
      </c>
      <c r="B1038" s="14" t="s">
        <v>6208</v>
      </c>
      <c r="C1038" s="15" t="s">
        <v>6209</v>
      </c>
      <c r="D1038" s="15" t="s">
        <v>6210</v>
      </c>
      <c r="E1038" s="15" t="s">
        <v>6211</v>
      </c>
      <c r="F1038" s="15" t="s">
        <v>6212</v>
      </c>
      <c r="G1038" s="15" t="s">
        <v>6213</v>
      </c>
      <c r="H1038" s="16" t="s">
        <v>6214</v>
      </c>
    </row>
    <row r="1039" spans="1:8" ht="33.75" x14ac:dyDescent="0.3">
      <c r="A1039" s="13" t="s">
        <v>6215</v>
      </c>
      <c r="B1039" s="14" t="s">
        <v>19725</v>
      </c>
      <c r="C1039" s="15" t="s">
        <v>6216</v>
      </c>
      <c r="D1039" s="15" t="s">
        <v>6217</v>
      </c>
      <c r="E1039" s="15" t="s">
        <v>6218</v>
      </c>
      <c r="F1039" s="15" t="s">
        <v>6219</v>
      </c>
      <c r="G1039" s="15" t="s">
        <v>6220</v>
      </c>
      <c r="H1039" s="16" t="s">
        <v>6221</v>
      </c>
    </row>
    <row r="1040" spans="1:8" ht="33.75" x14ac:dyDescent="0.3">
      <c r="A1040" s="13">
        <v>22202</v>
      </c>
      <c r="B1040" s="14" t="s">
        <v>6222</v>
      </c>
      <c r="C1040" s="15" t="s">
        <v>6223</v>
      </c>
      <c r="D1040" s="15" t="s">
        <v>6224</v>
      </c>
      <c r="E1040" s="15" t="s">
        <v>6225</v>
      </c>
      <c r="F1040" s="15" t="s">
        <v>6226</v>
      </c>
      <c r="G1040" s="15" t="s">
        <v>6227</v>
      </c>
      <c r="H1040" s="16" t="s">
        <v>6228</v>
      </c>
    </row>
    <row r="1041" spans="1:8" ht="33.75" x14ac:dyDescent="0.3">
      <c r="A1041" s="13">
        <v>22203</v>
      </c>
      <c r="B1041" s="14" t="s">
        <v>6229</v>
      </c>
      <c r="C1041" s="15" t="s">
        <v>6230</v>
      </c>
      <c r="D1041" s="15" t="s">
        <v>6231</v>
      </c>
      <c r="E1041" s="15" t="s">
        <v>6232</v>
      </c>
      <c r="F1041" s="15" t="s">
        <v>6233</v>
      </c>
      <c r="G1041" s="15" t="s">
        <v>6234</v>
      </c>
      <c r="H1041" s="16" t="s">
        <v>6235</v>
      </c>
    </row>
    <row r="1042" spans="1:8" ht="22.5" x14ac:dyDescent="0.3">
      <c r="A1042" s="13">
        <v>22204</v>
      </c>
      <c r="B1042" s="14" t="s">
        <v>6236</v>
      </c>
      <c r="C1042" s="15" t="s">
        <v>6237</v>
      </c>
      <c r="D1042" s="15" t="s">
        <v>6238</v>
      </c>
      <c r="E1042" s="15" t="s">
        <v>6239</v>
      </c>
      <c r="F1042" s="15" t="s">
        <v>6240</v>
      </c>
      <c r="G1042" s="15" t="s">
        <v>6241</v>
      </c>
      <c r="H1042" s="16" t="s">
        <v>6242</v>
      </c>
    </row>
    <row r="1043" spans="1:8" ht="33.75" x14ac:dyDescent="0.3">
      <c r="A1043" s="13">
        <v>22205</v>
      </c>
      <c r="B1043" s="14" t="s">
        <v>6243</v>
      </c>
      <c r="C1043" s="15" t="s">
        <v>6244</v>
      </c>
      <c r="D1043" s="15" t="s">
        <v>6245</v>
      </c>
      <c r="E1043" s="15" t="s">
        <v>6246</v>
      </c>
      <c r="F1043" s="15" t="s">
        <v>6247</v>
      </c>
      <c r="G1043" s="15" t="s">
        <v>6248</v>
      </c>
      <c r="H1043" s="16" t="s">
        <v>6249</v>
      </c>
    </row>
    <row r="1044" spans="1:8" ht="33.75" x14ac:dyDescent="0.3">
      <c r="A1044" s="13">
        <v>22206</v>
      </c>
      <c r="B1044" s="14" t="s">
        <v>6250</v>
      </c>
      <c r="C1044" s="15" t="s">
        <v>6251</v>
      </c>
      <c r="D1044" s="15" t="s">
        <v>6252</v>
      </c>
      <c r="E1044" s="15" t="s">
        <v>6253</v>
      </c>
      <c r="F1044" s="15" t="s">
        <v>6254</v>
      </c>
      <c r="G1044" s="15" t="s">
        <v>6255</v>
      </c>
      <c r="H1044" s="16" t="s">
        <v>6256</v>
      </c>
    </row>
    <row r="1045" spans="1:8" ht="33.75" x14ac:dyDescent="0.3">
      <c r="A1045" s="13">
        <v>22207</v>
      </c>
      <c r="B1045" s="14" t="s">
        <v>6257</v>
      </c>
      <c r="C1045" s="15" t="s">
        <v>6258</v>
      </c>
      <c r="D1045" s="15" t="s">
        <v>6259</v>
      </c>
      <c r="E1045" s="15" t="s">
        <v>6260</v>
      </c>
      <c r="F1045" s="15" t="s">
        <v>6261</v>
      </c>
      <c r="G1045" s="15" t="s">
        <v>6261</v>
      </c>
      <c r="H1045" s="16" t="s">
        <v>6262</v>
      </c>
    </row>
    <row r="1046" spans="1:8" ht="22.5" x14ac:dyDescent="0.3">
      <c r="A1046" s="13">
        <v>22208</v>
      </c>
      <c r="B1046" s="14" t="s">
        <v>6263</v>
      </c>
      <c r="C1046" s="15" t="s">
        <v>6264</v>
      </c>
      <c r="D1046" s="15" t="s">
        <v>6265</v>
      </c>
      <c r="E1046" s="15" t="s">
        <v>6266</v>
      </c>
      <c r="F1046" s="15" t="s">
        <v>6267</v>
      </c>
      <c r="G1046" s="15" t="s">
        <v>6268</v>
      </c>
      <c r="H1046" s="16" t="s">
        <v>6267</v>
      </c>
    </row>
    <row r="1047" spans="1:8" ht="45" x14ac:dyDescent="0.3">
      <c r="A1047" s="13">
        <v>22209</v>
      </c>
      <c r="B1047" s="14" t="s">
        <v>6269</v>
      </c>
      <c r="C1047" s="15" t="s">
        <v>6270</v>
      </c>
      <c r="D1047" s="15" t="s">
        <v>6271</v>
      </c>
      <c r="E1047" s="15" t="s">
        <v>6272</v>
      </c>
      <c r="F1047" s="15" t="s">
        <v>6273</v>
      </c>
      <c r="G1047" s="15" t="s">
        <v>6274</v>
      </c>
      <c r="H1047" s="16" t="s">
        <v>6275</v>
      </c>
    </row>
    <row r="1048" spans="1:8" ht="33.75" x14ac:dyDescent="0.3">
      <c r="A1048" s="13" t="s">
        <v>6276</v>
      </c>
      <c r="B1048" s="14" t="s">
        <v>6277</v>
      </c>
      <c r="C1048" s="15" t="s">
        <v>57</v>
      </c>
      <c r="D1048" s="15" t="s">
        <v>6278</v>
      </c>
      <c r="E1048" s="15" t="s">
        <v>6279</v>
      </c>
      <c r="F1048" s="15"/>
      <c r="G1048" s="15" t="s">
        <v>6280</v>
      </c>
      <c r="H1048" s="16" t="s">
        <v>6281</v>
      </c>
    </row>
    <row r="1049" spans="1:8" ht="56.25" x14ac:dyDescent="0.3">
      <c r="A1049" s="13">
        <v>22210</v>
      </c>
      <c r="B1049" s="14" t="s">
        <v>6282</v>
      </c>
      <c r="C1049" s="15" t="s">
        <v>6283</v>
      </c>
      <c r="D1049" s="15" t="s">
        <v>6284</v>
      </c>
      <c r="E1049" s="15" t="s">
        <v>6285</v>
      </c>
      <c r="F1049" s="15" t="s">
        <v>6286</v>
      </c>
      <c r="G1049" s="15" t="s">
        <v>6287</v>
      </c>
      <c r="H1049" s="16" t="s">
        <v>6288</v>
      </c>
    </row>
    <row r="1050" spans="1:8" ht="22.5" x14ac:dyDescent="0.3">
      <c r="A1050" s="13">
        <v>22211</v>
      </c>
      <c r="B1050" s="14" t="s">
        <v>6289</v>
      </c>
      <c r="C1050" s="15" t="s">
        <v>6290</v>
      </c>
      <c r="D1050" s="15" t="s">
        <v>6291</v>
      </c>
      <c r="E1050" s="15" t="s">
        <v>6292</v>
      </c>
      <c r="F1050" s="15" t="s">
        <v>6293</v>
      </c>
      <c r="G1050" s="15" t="s">
        <v>6294</v>
      </c>
      <c r="H1050" s="16" t="s">
        <v>6295</v>
      </c>
    </row>
    <row r="1051" spans="1:8" ht="33.75" x14ac:dyDescent="0.3">
      <c r="A1051" s="13">
        <v>22212</v>
      </c>
      <c r="B1051" s="14" t="s">
        <v>6296</v>
      </c>
      <c r="C1051" s="15" t="s">
        <v>6297</v>
      </c>
      <c r="D1051" s="15" t="s">
        <v>6298</v>
      </c>
      <c r="E1051" s="15" t="s">
        <v>6299</v>
      </c>
      <c r="F1051" s="15" t="s">
        <v>6300</v>
      </c>
      <c r="G1051" s="15" t="s">
        <v>6301</v>
      </c>
      <c r="H1051" s="16" t="s">
        <v>6302</v>
      </c>
    </row>
    <row r="1052" spans="1:8" ht="33.75" x14ac:dyDescent="0.3">
      <c r="A1052" s="13">
        <v>22213</v>
      </c>
      <c r="B1052" s="14" t="s">
        <v>6303</v>
      </c>
      <c r="C1052" s="15" t="s">
        <v>6304</v>
      </c>
      <c r="D1052" s="15" t="s">
        <v>6305</v>
      </c>
      <c r="E1052" s="15" t="s">
        <v>6306</v>
      </c>
      <c r="F1052" s="15" t="s">
        <v>6307</v>
      </c>
      <c r="G1052" s="15" t="s">
        <v>6308</v>
      </c>
      <c r="H1052" s="16" t="s">
        <v>6309</v>
      </c>
    </row>
    <row r="1053" spans="1:8" x14ac:dyDescent="0.3">
      <c r="A1053" s="13">
        <v>22214</v>
      </c>
      <c r="B1053" s="14" t="s">
        <v>6310</v>
      </c>
      <c r="C1053" s="15" t="s">
        <v>6311</v>
      </c>
      <c r="D1053" s="15" t="s">
        <v>6312</v>
      </c>
      <c r="E1053" s="15" t="s">
        <v>6312</v>
      </c>
      <c r="F1053" s="15" t="s">
        <v>6313</v>
      </c>
      <c r="G1053" s="15" t="s">
        <v>6312</v>
      </c>
      <c r="H1053" s="16" t="s">
        <v>6314</v>
      </c>
    </row>
    <row r="1054" spans="1:8" ht="33.75" x14ac:dyDescent="0.3">
      <c r="A1054" s="13">
        <v>22215</v>
      </c>
      <c r="B1054" s="14" t="s">
        <v>6315</v>
      </c>
      <c r="C1054" s="15" t="s">
        <v>6316</v>
      </c>
      <c r="D1054" s="15" t="s">
        <v>6317</v>
      </c>
      <c r="E1054" s="15" t="s">
        <v>6318</v>
      </c>
      <c r="F1054" s="15" t="s">
        <v>6319</v>
      </c>
      <c r="G1054" s="15" t="s">
        <v>6320</v>
      </c>
      <c r="H1054" s="16" t="s">
        <v>6321</v>
      </c>
    </row>
    <row r="1055" spans="1:8" ht="22.5" x14ac:dyDescent="0.3">
      <c r="A1055" s="13">
        <v>22216</v>
      </c>
      <c r="B1055" s="14" t="s">
        <v>6322</v>
      </c>
      <c r="C1055" s="15" t="s">
        <v>6323</v>
      </c>
      <c r="D1055" s="15" t="s">
        <v>6324</v>
      </c>
      <c r="E1055" s="15" t="s">
        <v>6325</v>
      </c>
      <c r="F1055" s="15" t="s">
        <v>6326</v>
      </c>
      <c r="G1055" s="15" t="s">
        <v>6327</v>
      </c>
      <c r="H1055" s="16" t="s">
        <v>6328</v>
      </c>
    </row>
    <row r="1056" spans="1:8" ht="33.75" x14ac:dyDescent="0.3">
      <c r="A1056" s="13" t="s">
        <v>6329</v>
      </c>
      <c r="B1056" s="14" t="s">
        <v>6330</v>
      </c>
      <c r="C1056" s="15" t="s">
        <v>6331</v>
      </c>
      <c r="D1056" s="15" t="s">
        <v>6332</v>
      </c>
      <c r="E1056" s="15" t="s">
        <v>6333</v>
      </c>
      <c r="F1056" s="15" t="s">
        <v>6334</v>
      </c>
      <c r="G1056" s="15" t="s">
        <v>6335</v>
      </c>
      <c r="H1056" s="16" t="s">
        <v>6336</v>
      </c>
    </row>
    <row r="1057" spans="1:8" ht="56.25" x14ac:dyDescent="0.3">
      <c r="A1057" s="13">
        <v>22217</v>
      </c>
      <c r="B1057" s="14" t="s">
        <v>6337</v>
      </c>
      <c r="C1057" s="15" t="s">
        <v>6338</v>
      </c>
      <c r="D1057" s="15" t="s">
        <v>6339</v>
      </c>
      <c r="E1057" s="15" t="s">
        <v>6340</v>
      </c>
      <c r="F1057" s="15" t="s">
        <v>6341</v>
      </c>
      <c r="G1057" s="15" t="s">
        <v>6342</v>
      </c>
      <c r="H1057" s="16" t="s">
        <v>6343</v>
      </c>
    </row>
    <row r="1058" spans="1:8" ht="33.75" x14ac:dyDescent="0.3">
      <c r="A1058" s="13">
        <v>22218</v>
      </c>
      <c r="B1058" s="14" t="s">
        <v>6344</v>
      </c>
      <c r="C1058" s="15" t="s">
        <v>6345</v>
      </c>
      <c r="D1058" s="15" t="s">
        <v>6346</v>
      </c>
      <c r="E1058" s="15" t="s">
        <v>6347</v>
      </c>
      <c r="F1058" s="15" t="s">
        <v>6348</v>
      </c>
      <c r="G1058" s="15" t="s">
        <v>6349</v>
      </c>
      <c r="H1058" s="16" t="s">
        <v>6350</v>
      </c>
    </row>
    <row r="1059" spans="1:8" ht="22.5" x14ac:dyDescent="0.3">
      <c r="A1059" s="13">
        <v>22219</v>
      </c>
      <c r="B1059" s="14" t="s">
        <v>6351</v>
      </c>
      <c r="C1059" s="15" t="s">
        <v>6352</v>
      </c>
      <c r="D1059" s="15" t="s">
        <v>6353</v>
      </c>
      <c r="E1059" s="15" t="s">
        <v>6354</v>
      </c>
      <c r="F1059" s="15" t="s">
        <v>6354</v>
      </c>
      <c r="G1059" s="15" t="s">
        <v>6355</v>
      </c>
      <c r="H1059" s="16" t="s">
        <v>6354</v>
      </c>
    </row>
    <row r="1060" spans="1:8" x14ac:dyDescent="0.3">
      <c r="A1060" s="13">
        <v>22220</v>
      </c>
      <c r="B1060" s="14" t="s">
        <v>6356</v>
      </c>
      <c r="C1060" s="15" t="s">
        <v>6357</v>
      </c>
      <c r="D1060" s="15" t="s">
        <v>6358</v>
      </c>
      <c r="E1060" s="15" t="s">
        <v>6356</v>
      </c>
      <c r="F1060" s="15" t="s">
        <v>6359</v>
      </c>
      <c r="G1060" s="15" t="s">
        <v>6360</v>
      </c>
      <c r="H1060" s="16" t="s">
        <v>6361</v>
      </c>
    </row>
    <row r="1061" spans="1:8" ht="45" x14ac:dyDescent="0.3">
      <c r="A1061" s="13" t="s">
        <v>6362</v>
      </c>
      <c r="B1061" s="14" t="s">
        <v>6363</v>
      </c>
      <c r="C1061" s="15" t="s">
        <v>6364</v>
      </c>
      <c r="D1061" s="15" t="s">
        <v>6365</v>
      </c>
      <c r="E1061" s="15" t="s">
        <v>6366</v>
      </c>
      <c r="F1061" s="15" t="s">
        <v>6367</v>
      </c>
      <c r="G1061" s="15" t="s">
        <v>6368</v>
      </c>
      <c r="H1061" s="16" t="s">
        <v>6369</v>
      </c>
    </row>
    <row r="1062" spans="1:8" ht="33.75" x14ac:dyDescent="0.3">
      <c r="A1062" s="13">
        <v>22221</v>
      </c>
      <c r="B1062" s="14" t="s">
        <v>6370</v>
      </c>
      <c r="C1062" s="15" t="s">
        <v>6371</v>
      </c>
      <c r="D1062" s="15" t="s">
        <v>6372</v>
      </c>
      <c r="E1062" s="15" t="s">
        <v>6373</v>
      </c>
      <c r="F1062" s="15" t="s">
        <v>6374</v>
      </c>
      <c r="G1062" s="15" t="s">
        <v>6375</v>
      </c>
      <c r="H1062" s="16" t="s">
        <v>6376</v>
      </c>
    </row>
    <row r="1063" spans="1:8" ht="45" x14ac:dyDescent="0.3">
      <c r="A1063" s="13">
        <v>22222</v>
      </c>
      <c r="B1063" s="14" t="s">
        <v>6377</v>
      </c>
      <c r="C1063" s="15" t="s">
        <v>6378</v>
      </c>
      <c r="D1063" s="15" t="s">
        <v>6379</v>
      </c>
      <c r="E1063" s="15" t="s">
        <v>6380</v>
      </c>
      <c r="F1063" s="15" t="s">
        <v>6381</v>
      </c>
      <c r="G1063" s="15" t="s">
        <v>6382</v>
      </c>
      <c r="H1063" s="16" t="s">
        <v>6383</v>
      </c>
    </row>
    <row r="1064" spans="1:8" ht="22.5" x14ac:dyDescent="0.3">
      <c r="A1064" s="13">
        <v>22223</v>
      </c>
      <c r="B1064" s="14" t="s">
        <v>6384</v>
      </c>
      <c r="C1064" s="15" t="s">
        <v>6385</v>
      </c>
      <c r="D1064" s="15" t="s">
        <v>6386</v>
      </c>
      <c r="E1064" s="15" t="s">
        <v>6387</v>
      </c>
      <c r="F1064" s="15" t="s">
        <v>6388</v>
      </c>
      <c r="G1064" s="15" t="s">
        <v>6389</v>
      </c>
      <c r="H1064" s="16" t="s">
        <v>6390</v>
      </c>
    </row>
    <row r="1065" spans="1:8" ht="33.75" x14ac:dyDescent="0.3">
      <c r="A1065" s="13">
        <v>22224</v>
      </c>
      <c r="B1065" s="14" t="s">
        <v>6391</v>
      </c>
      <c r="C1065" s="15" t="s">
        <v>6392</v>
      </c>
      <c r="D1065" s="15" t="s">
        <v>6393</v>
      </c>
      <c r="E1065" s="15" t="s">
        <v>6394</v>
      </c>
      <c r="F1065" s="15" t="s">
        <v>6395</v>
      </c>
      <c r="G1065" s="15" t="s">
        <v>6391</v>
      </c>
      <c r="H1065" s="16" t="s">
        <v>6396</v>
      </c>
    </row>
    <row r="1066" spans="1:8" x14ac:dyDescent="0.3">
      <c r="A1066" s="13">
        <v>22225</v>
      </c>
      <c r="B1066" s="14" t="s">
        <v>6397</v>
      </c>
      <c r="C1066" s="15" t="s">
        <v>6398</v>
      </c>
      <c r="D1066" s="15" t="s">
        <v>6399</v>
      </c>
      <c r="E1066" s="15" t="s">
        <v>6400</v>
      </c>
      <c r="F1066" s="15" t="s">
        <v>6401</v>
      </c>
      <c r="G1066" s="15" t="s">
        <v>6402</v>
      </c>
      <c r="H1066" s="16" t="s">
        <v>6403</v>
      </c>
    </row>
    <row r="1067" spans="1:8" ht="22.5" x14ac:dyDescent="0.3">
      <c r="A1067" s="13">
        <v>22226</v>
      </c>
      <c r="B1067" s="14" t="s">
        <v>6404</v>
      </c>
      <c r="C1067" s="15" t="s">
        <v>6405</v>
      </c>
      <c r="D1067" s="15" t="s">
        <v>6406</v>
      </c>
      <c r="E1067" s="15" t="s">
        <v>6404</v>
      </c>
      <c r="F1067" s="15" t="s">
        <v>6407</v>
      </c>
      <c r="G1067" s="15" t="s">
        <v>6408</v>
      </c>
      <c r="H1067" s="16" t="s">
        <v>6404</v>
      </c>
    </row>
    <row r="1068" spans="1:8" ht="45" x14ac:dyDescent="0.3">
      <c r="A1068" s="13">
        <v>22227</v>
      </c>
      <c r="B1068" s="14" t="s">
        <v>6409</v>
      </c>
      <c r="C1068" s="15" t="s">
        <v>6410</v>
      </c>
      <c r="D1068" s="15" t="s">
        <v>6411</v>
      </c>
      <c r="E1068" s="15" t="s">
        <v>6412</v>
      </c>
      <c r="F1068" s="15" t="s">
        <v>6412</v>
      </c>
      <c r="G1068" s="15" t="s">
        <v>6413</v>
      </c>
      <c r="H1068" s="16" t="s">
        <v>6414</v>
      </c>
    </row>
    <row r="1069" spans="1:8" ht="22.5" x14ac:dyDescent="0.3">
      <c r="A1069" s="13">
        <v>22228</v>
      </c>
      <c r="B1069" s="14" t="s">
        <v>6415</v>
      </c>
      <c r="C1069" s="15" t="s">
        <v>6416</v>
      </c>
      <c r="D1069" s="15" t="s">
        <v>6415</v>
      </c>
      <c r="E1069" s="15" t="s">
        <v>6415</v>
      </c>
      <c r="F1069" s="15" t="s">
        <v>6415</v>
      </c>
      <c r="G1069" s="15" t="s">
        <v>6415</v>
      </c>
      <c r="H1069" s="16" t="s">
        <v>6417</v>
      </c>
    </row>
    <row r="1070" spans="1:8" ht="22.5" x14ac:dyDescent="0.3">
      <c r="A1070" s="13">
        <v>22229</v>
      </c>
      <c r="B1070" s="14" t="s">
        <v>6418</v>
      </c>
      <c r="C1070" s="15" t="s">
        <v>6419</v>
      </c>
      <c r="D1070" s="15" t="s">
        <v>6420</v>
      </c>
      <c r="E1070" s="15" t="s">
        <v>6421</v>
      </c>
      <c r="F1070" s="15" t="s">
        <v>6422</v>
      </c>
      <c r="G1070" s="15" t="s">
        <v>6423</v>
      </c>
      <c r="H1070" s="16" t="s">
        <v>6424</v>
      </c>
    </row>
    <row r="1071" spans="1:8" ht="33.75" x14ac:dyDescent="0.3">
      <c r="A1071" s="13">
        <v>22230</v>
      </c>
      <c r="B1071" s="14" t="s">
        <v>6425</v>
      </c>
      <c r="C1071" s="15" t="s">
        <v>6426</v>
      </c>
      <c r="D1071" s="15" t="s">
        <v>6427</v>
      </c>
      <c r="E1071" s="15" t="s">
        <v>6428</v>
      </c>
      <c r="F1071" s="15" t="s">
        <v>6429</v>
      </c>
      <c r="G1071" s="15" t="s">
        <v>6430</v>
      </c>
      <c r="H1071" s="16"/>
    </row>
    <row r="1072" spans="1:8" ht="22.5" x14ac:dyDescent="0.3">
      <c r="A1072" s="13">
        <v>22231</v>
      </c>
      <c r="B1072" s="14" t="s">
        <v>6431</v>
      </c>
      <c r="C1072" s="15" t="s">
        <v>6432</v>
      </c>
      <c r="D1072" s="15" t="s">
        <v>6433</v>
      </c>
      <c r="E1072" s="15" t="s">
        <v>6434</v>
      </c>
      <c r="F1072" s="15" t="s">
        <v>6433</v>
      </c>
      <c r="G1072" s="15" t="s">
        <v>6435</v>
      </c>
      <c r="H1072" s="16" t="s">
        <v>6436</v>
      </c>
    </row>
    <row r="1073" spans="1:8" ht="22.5" x14ac:dyDescent="0.3">
      <c r="A1073" s="13">
        <v>22232</v>
      </c>
      <c r="B1073" s="14" t="s">
        <v>6437</v>
      </c>
      <c r="C1073" s="15" t="s">
        <v>6438</v>
      </c>
      <c r="D1073" s="15" t="s">
        <v>6437</v>
      </c>
      <c r="E1073" s="15" t="s">
        <v>6437</v>
      </c>
      <c r="F1073" s="15" t="s">
        <v>6439</v>
      </c>
      <c r="G1073" s="15" t="s">
        <v>6437</v>
      </c>
      <c r="H1073" s="16" t="s">
        <v>6440</v>
      </c>
    </row>
    <row r="1074" spans="1:8" ht="22.5" x14ac:dyDescent="0.3">
      <c r="A1074" s="13">
        <v>22233</v>
      </c>
      <c r="B1074" s="14" t="s">
        <v>6441</v>
      </c>
      <c r="C1074" s="15" t="s">
        <v>6442</v>
      </c>
      <c r="D1074" s="15" t="s">
        <v>6443</v>
      </c>
      <c r="E1074" s="15" t="s">
        <v>6444</v>
      </c>
      <c r="F1074" s="15" t="s">
        <v>6445</v>
      </c>
      <c r="G1074" s="15" t="s">
        <v>6445</v>
      </c>
      <c r="H1074" s="16" t="s">
        <v>6446</v>
      </c>
    </row>
    <row r="1075" spans="1:8" ht="45" x14ac:dyDescent="0.3">
      <c r="A1075" s="13">
        <v>22234</v>
      </c>
      <c r="B1075" s="14" t="s">
        <v>6447</v>
      </c>
      <c r="C1075" s="15" t="s">
        <v>6448</v>
      </c>
      <c r="D1075" s="15" t="s">
        <v>6449</v>
      </c>
      <c r="E1075" s="15" t="s">
        <v>6450</v>
      </c>
      <c r="F1075" s="15" t="s">
        <v>6451</v>
      </c>
      <c r="G1075" s="15" t="s">
        <v>6452</v>
      </c>
      <c r="H1075" s="16" t="s">
        <v>6453</v>
      </c>
    </row>
    <row r="1076" spans="1:8" ht="45" x14ac:dyDescent="0.3">
      <c r="A1076" s="13">
        <v>22235</v>
      </c>
      <c r="B1076" s="14" t="s">
        <v>6454</v>
      </c>
      <c r="C1076" s="15" t="s">
        <v>6455</v>
      </c>
      <c r="D1076" s="15" t="s">
        <v>6456</v>
      </c>
      <c r="E1076" s="15" t="s">
        <v>6457</v>
      </c>
      <c r="F1076" s="15" t="s">
        <v>6458</v>
      </c>
      <c r="G1076" s="15" t="s">
        <v>6459</v>
      </c>
      <c r="H1076" s="16" t="s">
        <v>6460</v>
      </c>
    </row>
    <row r="1077" spans="1:8" x14ac:dyDescent="0.3">
      <c r="A1077" s="13">
        <v>22236</v>
      </c>
      <c r="B1077" s="14" t="s">
        <v>6461</v>
      </c>
      <c r="C1077" s="15" t="s">
        <v>6462</v>
      </c>
      <c r="D1077" s="15" t="s">
        <v>6463</v>
      </c>
      <c r="E1077" s="15" t="s">
        <v>6463</v>
      </c>
      <c r="F1077" s="15" t="s">
        <v>6464</v>
      </c>
      <c r="G1077" s="15" t="s">
        <v>6463</v>
      </c>
      <c r="H1077" s="16" t="s">
        <v>6465</v>
      </c>
    </row>
    <row r="1078" spans="1:8" ht="22.5" x14ac:dyDescent="0.3">
      <c r="A1078" s="13">
        <v>22237</v>
      </c>
      <c r="B1078" s="14" t="s">
        <v>6466</v>
      </c>
      <c r="C1078" s="15" t="s">
        <v>6467</v>
      </c>
      <c r="D1078" s="15" t="s">
        <v>6468</v>
      </c>
      <c r="E1078" s="15" t="s">
        <v>6469</v>
      </c>
      <c r="F1078" s="15" t="s">
        <v>6470</v>
      </c>
      <c r="G1078" s="15" t="s">
        <v>6471</v>
      </c>
      <c r="H1078" s="16" t="s">
        <v>6472</v>
      </c>
    </row>
    <row r="1079" spans="1:8" ht="22.5" x14ac:dyDescent="0.3">
      <c r="A1079" s="13">
        <v>22238</v>
      </c>
      <c r="B1079" s="14" t="s">
        <v>6473</v>
      </c>
      <c r="C1079" s="15" t="s">
        <v>6474</v>
      </c>
      <c r="D1079" s="15" t="s">
        <v>6475</v>
      </c>
      <c r="E1079" s="15" t="s">
        <v>6475</v>
      </c>
      <c r="F1079" s="15" t="s">
        <v>6476</v>
      </c>
      <c r="G1079" s="15" t="s">
        <v>6477</v>
      </c>
      <c r="H1079" s="16" t="s">
        <v>6478</v>
      </c>
    </row>
    <row r="1080" spans="1:8" ht="45" x14ac:dyDescent="0.3">
      <c r="A1080" s="13">
        <v>22239</v>
      </c>
      <c r="B1080" s="14" t="s">
        <v>6479</v>
      </c>
      <c r="C1080" s="15" t="s">
        <v>6480</v>
      </c>
      <c r="D1080" s="15" t="s">
        <v>6481</v>
      </c>
      <c r="E1080" s="15" t="s">
        <v>6482</v>
      </c>
      <c r="F1080" s="15" t="s">
        <v>6483</v>
      </c>
      <c r="G1080" s="15" t="s">
        <v>6484</v>
      </c>
      <c r="H1080" s="16" t="s">
        <v>6485</v>
      </c>
    </row>
    <row r="1081" spans="1:8" ht="22.5" x14ac:dyDescent="0.3">
      <c r="A1081" s="13">
        <v>22240</v>
      </c>
      <c r="B1081" s="14" t="s">
        <v>6486</v>
      </c>
      <c r="C1081" s="15" t="s">
        <v>6487</v>
      </c>
      <c r="D1081" s="15" t="s">
        <v>6488</v>
      </c>
      <c r="E1081" s="15" t="s">
        <v>6489</v>
      </c>
      <c r="F1081" s="15" t="s">
        <v>6490</v>
      </c>
      <c r="G1081" s="15" t="s">
        <v>6486</v>
      </c>
      <c r="H1081" s="16" t="s">
        <v>6491</v>
      </c>
    </row>
    <row r="1082" spans="1:8" ht="33.75" x14ac:dyDescent="0.3">
      <c r="A1082" s="13">
        <v>22241</v>
      </c>
      <c r="B1082" s="14" t="s">
        <v>6492</v>
      </c>
      <c r="C1082" s="15" t="s">
        <v>6493</v>
      </c>
      <c r="D1082" s="15" t="s">
        <v>6494</v>
      </c>
      <c r="E1082" s="15" t="s">
        <v>6495</v>
      </c>
      <c r="F1082" s="15" t="s">
        <v>6496</v>
      </c>
      <c r="G1082" s="15" t="s">
        <v>6497</v>
      </c>
      <c r="H1082" s="16" t="s">
        <v>6498</v>
      </c>
    </row>
    <row r="1083" spans="1:8" ht="33.75" x14ac:dyDescent="0.3">
      <c r="A1083" s="13" t="s">
        <v>6499</v>
      </c>
      <c r="B1083" s="14" t="s">
        <v>6500</v>
      </c>
      <c r="C1083" s="15" t="s">
        <v>6501</v>
      </c>
      <c r="D1083" s="15" t="s">
        <v>6502</v>
      </c>
      <c r="E1083" s="15" t="s">
        <v>57</v>
      </c>
      <c r="F1083" s="15" t="s">
        <v>57</v>
      </c>
      <c r="G1083" s="15" t="s">
        <v>6503</v>
      </c>
      <c r="H1083" s="16" t="s">
        <v>57</v>
      </c>
    </row>
    <row r="1084" spans="1:8" ht="22.5" x14ac:dyDescent="0.3">
      <c r="A1084" s="13" t="s">
        <v>6504</v>
      </c>
      <c r="B1084" s="14" t="s">
        <v>6505</v>
      </c>
      <c r="C1084" s="15" t="s">
        <v>6506</v>
      </c>
      <c r="D1084" s="15" t="s">
        <v>6507</v>
      </c>
      <c r="E1084" s="15" t="s">
        <v>6508</v>
      </c>
      <c r="F1084" s="15" t="s">
        <v>57</v>
      </c>
      <c r="G1084" s="15" t="s">
        <v>6509</v>
      </c>
      <c r="H1084" s="16" t="s">
        <v>6505</v>
      </c>
    </row>
    <row r="1085" spans="1:8" ht="33.75" x14ac:dyDescent="0.3">
      <c r="A1085" s="13">
        <v>22242</v>
      </c>
      <c r="B1085" s="14" t="s">
        <v>6510</v>
      </c>
      <c r="C1085" s="15" t="s">
        <v>6511</v>
      </c>
      <c r="D1085" s="15" t="s">
        <v>6512</v>
      </c>
      <c r="E1085" s="15" t="s">
        <v>6513</v>
      </c>
      <c r="F1085" s="15" t="s">
        <v>6514</v>
      </c>
      <c r="G1085" s="15" t="s">
        <v>6515</v>
      </c>
      <c r="H1085" s="16" t="s">
        <v>6516</v>
      </c>
    </row>
    <row r="1086" spans="1:8" ht="45" x14ac:dyDescent="0.3">
      <c r="A1086" s="13">
        <v>22243</v>
      </c>
      <c r="B1086" s="14" t="s">
        <v>6517</v>
      </c>
      <c r="C1086" s="15" t="s">
        <v>6518</v>
      </c>
      <c r="D1086" s="15" t="s">
        <v>57</v>
      </c>
      <c r="E1086" s="15" t="s">
        <v>57</v>
      </c>
      <c r="F1086" s="15" t="s">
        <v>6519</v>
      </c>
      <c r="G1086" s="15" t="s">
        <v>6520</v>
      </c>
      <c r="H1086" s="16" t="s">
        <v>6521</v>
      </c>
    </row>
    <row r="1087" spans="1:8" ht="33.75" x14ac:dyDescent="0.3">
      <c r="A1087" s="13">
        <v>22244</v>
      </c>
      <c r="B1087" s="14" t="s">
        <v>6522</v>
      </c>
      <c r="C1087" s="15" t="s">
        <v>6523</v>
      </c>
      <c r="D1087" s="15" t="s">
        <v>6524</v>
      </c>
      <c r="E1087" s="15" t="s">
        <v>6525</v>
      </c>
      <c r="F1087" s="15" t="s">
        <v>57</v>
      </c>
      <c r="G1087" s="15" t="s">
        <v>6526</v>
      </c>
      <c r="H1087" s="16" t="s">
        <v>6525</v>
      </c>
    </row>
    <row r="1088" spans="1:8" x14ac:dyDescent="0.3">
      <c r="A1088" s="13">
        <v>22245</v>
      </c>
      <c r="B1088" s="14" t="s">
        <v>6527</v>
      </c>
      <c r="C1088" s="15" t="s">
        <v>6528</v>
      </c>
      <c r="D1088" s="15" t="s">
        <v>6527</v>
      </c>
      <c r="E1088" s="15" t="s">
        <v>6529</v>
      </c>
      <c r="F1088" s="15" t="s">
        <v>6530</v>
      </c>
      <c r="G1088" s="15" t="s">
        <v>6531</v>
      </c>
      <c r="H1088" s="16" t="s">
        <v>6532</v>
      </c>
    </row>
    <row r="1089" spans="1:8" ht="22.5" x14ac:dyDescent="0.3">
      <c r="A1089" s="13">
        <v>22246</v>
      </c>
      <c r="B1089" s="14" t="s">
        <v>6533</v>
      </c>
      <c r="C1089" s="15" t="s">
        <v>6534</v>
      </c>
      <c r="D1089" s="15" t="s">
        <v>6535</v>
      </c>
      <c r="E1089" s="15" t="s">
        <v>6536</v>
      </c>
      <c r="F1089" s="15" t="s">
        <v>6537</v>
      </c>
      <c r="G1089" s="15" t="s">
        <v>57</v>
      </c>
      <c r="H1089" s="16" t="s">
        <v>6538</v>
      </c>
    </row>
    <row r="1090" spans="1:8" ht="45" x14ac:dyDescent="0.3">
      <c r="A1090" s="13">
        <v>22247</v>
      </c>
      <c r="B1090" s="14" t="s">
        <v>6539</v>
      </c>
      <c r="C1090" s="15" t="s">
        <v>6540</v>
      </c>
      <c r="D1090" s="15" t="s">
        <v>6541</v>
      </c>
      <c r="E1090" s="15" t="s">
        <v>6542</v>
      </c>
      <c r="F1090" s="15" t="s">
        <v>6543</v>
      </c>
      <c r="G1090" s="15" t="s">
        <v>6544</v>
      </c>
      <c r="H1090" s="16" t="s">
        <v>6545</v>
      </c>
    </row>
    <row r="1091" spans="1:8" ht="22.5" x14ac:dyDescent="0.3">
      <c r="A1091" s="13">
        <v>22248</v>
      </c>
      <c r="B1091" s="14" t="s">
        <v>370</v>
      </c>
      <c r="C1091" s="15" t="s">
        <v>6546</v>
      </c>
      <c r="D1091" s="15" t="s">
        <v>6547</v>
      </c>
      <c r="E1091" s="15" t="s">
        <v>370</v>
      </c>
      <c r="F1091" s="15" t="s">
        <v>370</v>
      </c>
      <c r="G1091" s="15" t="s">
        <v>6548</v>
      </c>
      <c r="H1091" s="16" t="s">
        <v>6549</v>
      </c>
    </row>
    <row r="1092" spans="1:8" ht="45" x14ac:dyDescent="0.3">
      <c r="A1092" s="13" t="s">
        <v>6550</v>
      </c>
      <c r="B1092" s="14" t="s">
        <v>6551</v>
      </c>
      <c r="C1092" s="15" t="s">
        <v>6552</v>
      </c>
      <c r="D1092" s="15" t="s">
        <v>6553</v>
      </c>
      <c r="E1092" s="15" t="s">
        <v>6554</v>
      </c>
      <c r="F1092" s="15" t="s">
        <v>6555</v>
      </c>
      <c r="G1092" s="15" t="s">
        <v>6556</v>
      </c>
      <c r="H1092" s="16" t="s">
        <v>6557</v>
      </c>
    </row>
    <row r="1093" spans="1:8" ht="22.5" x14ac:dyDescent="0.3">
      <c r="A1093" s="13">
        <v>22249</v>
      </c>
      <c r="B1093" s="14" t="s">
        <v>6558</v>
      </c>
      <c r="C1093" s="15" t="s">
        <v>6559</v>
      </c>
      <c r="D1093" s="15" t="s">
        <v>6560</v>
      </c>
      <c r="E1093" s="15" t="s">
        <v>6561</v>
      </c>
      <c r="F1093" s="15" t="s">
        <v>6562</v>
      </c>
      <c r="G1093" s="15" t="s">
        <v>6563</v>
      </c>
      <c r="H1093" s="16" t="s">
        <v>6564</v>
      </c>
    </row>
    <row r="1094" spans="1:8" ht="22.5" x14ac:dyDescent="0.3">
      <c r="A1094" s="13">
        <v>22250</v>
      </c>
      <c r="B1094" s="14" t="s">
        <v>6565</v>
      </c>
      <c r="C1094" s="15" t="s">
        <v>6566</v>
      </c>
      <c r="D1094" s="15" t="s">
        <v>6567</v>
      </c>
      <c r="E1094" s="15" t="s">
        <v>57</v>
      </c>
      <c r="F1094" s="15" t="s">
        <v>6568</v>
      </c>
      <c r="G1094" s="15" t="s">
        <v>57</v>
      </c>
      <c r="H1094" s="16" t="s">
        <v>6565</v>
      </c>
    </row>
    <row r="1095" spans="1:8" ht="22.5" x14ac:dyDescent="0.3">
      <c r="A1095" s="13">
        <v>22251</v>
      </c>
      <c r="B1095" s="14" t="s">
        <v>6569</v>
      </c>
      <c r="C1095" s="15" t="s">
        <v>6570</v>
      </c>
      <c r="D1095" s="15"/>
      <c r="E1095" s="15" t="s">
        <v>6571</v>
      </c>
      <c r="F1095" s="15" t="s">
        <v>6571</v>
      </c>
      <c r="G1095" s="15" t="s">
        <v>6571</v>
      </c>
      <c r="H1095" s="16" t="s">
        <v>6572</v>
      </c>
    </row>
    <row r="1096" spans="1:8" ht="22.5" x14ac:dyDescent="0.3">
      <c r="A1096" s="13" t="s">
        <v>6573</v>
      </c>
      <c r="B1096" s="14" t="s">
        <v>19717</v>
      </c>
      <c r="C1096" s="15" t="s">
        <v>6574</v>
      </c>
      <c r="D1096" s="15" t="s">
        <v>6575</v>
      </c>
      <c r="E1096" s="15" t="s">
        <v>6576</v>
      </c>
      <c r="F1096" s="15"/>
      <c r="G1096" s="15" t="s">
        <v>6577</v>
      </c>
      <c r="H1096" s="16" t="s">
        <v>6578</v>
      </c>
    </row>
    <row r="1097" spans="1:8" ht="45" x14ac:dyDescent="0.3">
      <c r="A1097" s="13" t="s">
        <v>6579</v>
      </c>
      <c r="B1097" s="14" t="s">
        <v>19730</v>
      </c>
      <c r="C1097" s="15" t="s">
        <v>6580</v>
      </c>
      <c r="D1097" s="15" t="s">
        <v>6581</v>
      </c>
      <c r="E1097" s="15" t="s">
        <v>6582</v>
      </c>
      <c r="F1097" s="15" t="s">
        <v>6583</v>
      </c>
      <c r="G1097" s="15" t="s">
        <v>6584</v>
      </c>
      <c r="H1097" s="16" t="s">
        <v>6585</v>
      </c>
    </row>
    <row r="1098" spans="1:8" x14ac:dyDescent="0.3">
      <c r="A1098" s="13">
        <v>22252</v>
      </c>
      <c r="B1098" s="14" t="s">
        <v>6586</v>
      </c>
      <c r="C1098" s="15" t="s">
        <v>6587</v>
      </c>
      <c r="D1098" s="15" t="s">
        <v>6588</v>
      </c>
      <c r="E1098" s="15" t="s">
        <v>6589</v>
      </c>
      <c r="F1098" s="15" t="s">
        <v>6590</v>
      </c>
      <c r="G1098" s="15" t="s">
        <v>6591</v>
      </c>
      <c r="H1098" s="16" t="s">
        <v>6592</v>
      </c>
    </row>
    <row r="1099" spans="1:8" ht="22.5" x14ac:dyDescent="0.3">
      <c r="A1099" s="13">
        <v>22253</v>
      </c>
      <c r="B1099" s="14" t="s">
        <v>6593</v>
      </c>
      <c r="C1099" s="15" t="s">
        <v>6594</v>
      </c>
      <c r="D1099" s="15" t="s">
        <v>6595</v>
      </c>
      <c r="E1099" s="15" t="s">
        <v>6596</v>
      </c>
      <c r="F1099" s="15" t="s">
        <v>6597</v>
      </c>
      <c r="G1099" s="15" t="s">
        <v>6598</v>
      </c>
      <c r="H1099" s="16" t="s">
        <v>6599</v>
      </c>
    </row>
    <row r="1100" spans="1:8" ht="22.5" x14ac:dyDescent="0.3">
      <c r="A1100" s="13">
        <v>22254</v>
      </c>
      <c r="B1100" s="14" t="s">
        <v>6600</v>
      </c>
      <c r="C1100" s="15" t="s">
        <v>57</v>
      </c>
      <c r="D1100" s="15" t="s">
        <v>6601</v>
      </c>
      <c r="E1100" s="15" t="s">
        <v>6602</v>
      </c>
      <c r="F1100" s="15" t="s">
        <v>6602</v>
      </c>
      <c r="G1100" s="15" t="s">
        <v>6603</v>
      </c>
      <c r="H1100" s="16" t="s">
        <v>6604</v>
      </c>
    </row>
    <row r="1101" spans="1:8" x14ac:dyDescent="0.3">
      <c r="A1101" s="13">
        <v>22255</v>
      </c>
      <c r="B1101" s="14" t="s">
        <v>6605</v>
      </c>
      <c r="C1101" s="15" t="s">
        <v>6606</v>
      </c>
      <c r="D1101" s="15" t="s">
        <v>6607</v>
      </c>
      <c r="E1101" s="15" t="s">
        <v>6608</v>
      </c>
      <c r="F1101" s="15" t="s">
        <v>6609</v>
      </c>
      <c r="G1101" s="15" t="s">
        <v>6608</v>
      </c>
      <c r="H1101" s="16" t="s">
        <v>6610</v>
      </c>
    </row>
    <row r="1102" spans="1:8" ht="67.5" x14ac:dyDescent="0.3">
      <c r="A1102" s="13">
        <v>22256</v>
      </c>
      <c r="B1102" s="14" t="s">
        <v>6611</v>
      </c>
      <c r="C1102" s="15" t="s">
        <v>6612</v>
      </c>
      <c r="D1102" s="15" t="s">
        <v>6613</v>
      </c>
      <c r="E1102" s="15" t="s">
        <v>6614</v>
      </c>
      <c r="F1102" s="15" t="s">
        <v>6615</v>
      </c>
      <c r="G1102" s="15" t="s">
        <v>6616</v>
      </c>
      <c r="H1102" s="16" t="s">
        <v>6617</v>
      </c>
    </row>
    <row r="1103" spans="1:8" ht="33.75" x14ac:dyDescent="0.3">
      <c r="A1103" s="13" t="s">
        <v>6618</v>
      </c>
      <c r="B1103" s="14" t="s">
        <v>6619</v>
      </c>
      <c r="C1103" s="15" t="s">
        <v>6620</v>
      </c>
      <c r="D1103" s="15" t="s">
        <v>6621</v>
      </c>
      <c r="E1103" s="15" t="s">
        <v>6622</v>
      </c>
      <c r="F1103" s="15" t="s">
        <v>6623</v>
      </c>
      <c r="G1103" s="15" t="s">
        <v>6624</v>
      </c>
      <c r="H1103" s="16" t="s">
        <v>6625</v>
      </c>
    </row>
    <row r="1104" spans="1:8" ht="33.75" x14ac:dyDescent="0.3">
      <c r="A1104" s="13" t="s">
        <v>6626</v>
      </c>
      <c r="B1104" s="14" t="s">
        <v>4683</v>
      </c>
      <c r="C1104" s="15" t="s">
        <v>6627</v>
      </c>
      <c r="D1104" s="15" t="s">
        <v>6628</v>
      </c>
      <c r="E1104" s="15" t="s">
        <v>6629</v>
      </c>
      <c r="F1104" s="15" t="s">
        <v>6630</v>
      </c>
      <c r="G1104" s="15" t="s">
        <v>6631</v>
      </c>
      <c r="H1104" s="16" t="s">
        <v>6632</v>
      </c>
    </row>
    <row r="1105" spans="1:8" ht="22.5" x14ac:dyDescent="0.3">
      <c r="A1105" s="13">
        <v>22257</v>
      </c>
      <c r="B1105" s="14" t="s">
        <v>6633</v>
      </c>
      <c r="C1105" s="15" t="s">
        <v>6634</v>
      </c>
      <c r="D1105" s="15" t="s">
        <v>6635</v>
      </c>
      <c r="E1105" s="15" t="s">
        <v>6636</v>
      </c>
      <c r="F1105" s="15" t="s">
        <v>6637</v>
      </c>
      <c r="G1105" s="15" t="s">
        <v>6633</v>
      </c>
      <c r="H1105" s="16" t="s">
        <v>6638</v>
      </c>
    </row>
    <row r="1106" spans="1:8" ht="33.75" x14ac:dyDescent="0.3">
      <c r="A1106" s="13" t="s">
        <v>6639</v>
      </c>
      <c r="B1106" s="14" t="s">
        <v>6640</v>
      </c>
      <c r="C1106" s="15" t="s">
        <v>6641</v>
      </c>
      <c r="D1106" s="15" t="s">
        <v>6642</v>
      </c>
      <c r="E1106" s="15" t="s">
        <v>6643</v>
      </c>
      <c r="F1106" s="15" t="s">
        <v>6644</v>
      </c>
      <c r="G1106" s="15" t="s">
        <v>6645</v>
      </c>
      <c r="H1106" s="16" t="s">
        <v>6646</v>
      </c>
    </row>
    <row r="1107" spans="1:8" ht="45" x14ac:dyDescent="0.3">
      <c r="A1107" s="13">
        <v>22258</v>
      </c>
      <c r="B1107" s="14" t="s">
        <v>6647</v>
      </c>
      <c r="C1107" s="15" t="s">
        <v>6648</v>
      </c>
      <c r="D1107" s="15" t="s">
        <v>6649</v>
      </c>
      <c r="E1107" s="15" t="s">
        <v>6650</v>
      </c>
      <c r="F1107" s="15" t="s">
        <v>6651</v>
      </c>
      <c r="G1107" s="15" t="s">
        <v>6652</v>
      </c>
      <c r="H1107" s="16" t="s">
        <v>6653</v>
      </c>
    </row>
    <row r="1108" spans="1:8" x14ac:dyDescent="0.3">
      <c r="A1108" s="13">
        <v>22301</v>
      </c>
      <c r="B1108" s="14" t="s">
        <v>6654</v>
      </c>
      <c r="C1108" s="15" t="s">
        <v>6655</v>
      </c>
      <c r="D1108" s="15" t="s">
        <v>6654</v>
      </c>
      <c r="E1108" s="15"/>
      <c r="F1108" s="15" t="s">
        <v>6656</v>
      </c>
      <c r="G1108" s="15" t="s">
        <v>6654</v>
      </c>
      <c r="H1108" s="16" t="s">
        <v>6657</v>
      </c>
    </row>
    <row r="1109" spans="1:8" x14ac:dyDescent="0.3">
      <c r="A1109" s="13" t="s">
        <v>6658</v>
      </c>
      <c r="B1109" s="14" t="s">
        <v>6659</v>
      </c>
      <c r="C1109" s="15" t="s">
        <v>6660</v>
      </c>
      <c r="D1109" s="15" t="s">
        <v>6654</v>
      </c>
      <c r="E1109" s="15" t="s">
        <v>6654</v>
      </c>
      <c r="F1109" s="15" t="s">
        <v>6661</v>
      </c>
      <c r="G1109" s="15" t="s">
        <v>6662</v>
      </c>
      <c r="H1109" s="16" t="s">
        <v>6657</v>
      </c>
    </row>
    <row r="1110" spans="1:8" x14ac:dyDescent="0.3">
      <c r="A1110" s="13">
        <v>22302</v>
      </c>
      <c r="B1110" s="14" t="s">
        <v>6663</v>
      </c>
      <c r="C1110" s="15" t="s">
        <v>6664</v>
      </c>
      <c r="D1110" s="15" t="s">
        <v>6665</v>
      </c>
      <c r="E1110" s="15" t="s">
        <v>6666</v>
      </c>
      <c r="F1110" s="15" t="s">
        <v>6667</v>
      </c>
      <c r="G1110" s="15" t="s">
        <v>6668</v>
      </c>
      <c r="H1110" s="16" t="s">
        <v>6669</v>
      </c>
    </row>
    <row r="1111" spans="1:8" ht="22.5" x14ac:dyDescent="0.3">
      <c r="A1111" s="13" t="s">
        <v>6670</v>
      </c>
      <c r="B1111" s="14" t="s">
        <v>6671</v>
      </c>
      <c r="C1111" s="15" t="s">
        <v>6672</v>
      </c>
      <c r="D1111" s="15" t="s">
        <v>6673</v>
      </c>
      <c r="E1111" s="15" t="s">
        <v>6663</v>
      </c>
      <c r="F1111" s="15" t="s">
        <v>6663</v>
      </c>
      <c r="G1111" s="15" t="s">
        <v>6674</v>
      </c>
      <c r="H1111" s="16" t="s">
        <v>6675</v>
      </c>
    </row>
    <row r="1112" spans="1:8" ht="45" x14ac:dyDescent="0.3">
      <c r="A1112" s="13">
        <v>22303</v>
      </c>
      <c r="B1112" s="14" t="s">
        <v>6676</v>
      </c>
      <c r="C1112" s="15" t="s">
        <v>6677</v>
      </c>
      <c r="D1112" s="15" t="s">
        <v>6678</v>
      </c>
      <c r="E1112" s="15"/>
      <c r="F1112" s="15" t="s">
        <v>6679</v>
      </c>
      <c r="G1112" s="15" t="s">
        <v>6680</v>
      </c>
      <c r="H1112" s="16" t="s">
        <v>6681</v>
      </c>
    </row>
    <row r="1113" spans="1:8" ht="56.25" x14ac:dyDescent="0.3">
      <c r="A1113" s="13" t="s">
        <v>6682</v>
      </c>
      <c r="B1113" s="14" t="s">
        <v>6683</v>
      </c>
      <c r="C1113" s="15" t="s">
        <v>6684</v>
      </c>
      <c r="D1113" s="15" t="s">
        <v>6678</v>
      </c>
      <c r="E1113" s="15" t="s">
        <v>6681</v>
      </c>
      <c r="F1113" s="15" t="s">
        <v>6679</v>
      </c>
      <c r="G1113" s="15" t="s">
        <v>6685</v>
      </c>
      <c r="H1113" s="16" t="s">
        <v>6686</v>
      </c>
    </row>
    <row r="1114" spans="1:8" x14ac:dyDescent="0.3">
      <c r="A1114" s="13">
        <v>22304</v>
      </c>
      <c r="B1114" s="14" t="s">
        <v>6687</v>
      </c>
      <c r="C1114" s="15" t="s">
        <v>6688</v>
      </c>
      <c r="D1114" s="15" t="s">
        <v>6687</v>
      </c>
      <c r="E1114" s="15" t="s">
        <v>6689</v>
      </c>
      <c r="F1114" s="15" t="s">
        <v>6690</v>
      </c>
      <c r="G1114" s="15" t="s">
        <v>6691</v>
      </c>
      <c r="H1114" s="16" t="s">
        <v>6692</v>
      </c>
    </row>
    <row r="1115" spans="1:8" ht="22.5" x14ac:dyDescent="0.3">
      <c r="A1115" s="13" t="s">
        <v>6693</v>
      </c>
      <c r="B1115" s="14" t="s">
        <v>6694</v>
      </c>
      <c r="C1115" s="15" t="s">
        <v>6695</v>
      </c>
      <c r="D1115" s="15" t="s">
        <v>6687</v>
      </c>
      <c r="E1115" s="15" t="s">
        <v>6696</v>
      </c>
      <c r="F1115" s="15" t="s">
        <v>6687</v>
      </c>
      <c r="G1115" s="15" t="s">
        <v>6691</v>
      </c>
      <c r="H1115" s="16" t="s">
        <v>6692</v>
      </c>
    </row>
    <row r="1116" spans="1:8" ht="22.5" x14ac:dyDescent="0.3">
      <c r="A1116" s="13">
        <v>22305</v>
      </c>
      <c r="B1116" s="14" t="s">
        <v>6697</v>
      </c>
      <c r="C1116" s="15" t="s">
        <v>6698</v>
      </c>
      <c r="D1116" s="15" t="s">
        <v>6699</v>
      </c>
      <c r="E1116" s="15" t="s">
        <v>6700</v>
      </c>
      <c r="F1116" s="15" t="s">
        <v>6701</v>
      </c>
      <c r="G1116" s="15" t="s">
        <v>6702</v>
      </c>
      <c r="H1116" s="16" t="s">
        <v>6697</v>
      </c>
    </row>
    <row r="1117" spans="1:8" ht="45" x14ac:dyDescent="0.3">
      <c r="A1117" s="13" t="s">
        <v>6703</v>
      </c>
      <c r="B1117" s="14" t="s">
        <v>6704</v>
      </c>
      <c r="C1117" s="15" t="s">
        <v>6705</v>
      </c>
      <c r="D1117" s="15" t="s">
        <v>6706</v>
      </c>
      <c r="E1117" s="15"/>
      <c r="F1117" s="15" t="s">
        <v>6707</v>
      </c>
      <c r="G1117" s="15" t="s">
        <v>6708</v>
      </c>
      <c r="H1117" s="16" t="s">
        <v>6709</v>
      </c>
    </row>
    <row r="1118" spans="1:8" ht="45" x14ac:dyDescent="0.3">
      <c r="A1118" s="13">
        <v>22306</v>
      </c>
      <c r="B1118" s="14" t="s">
        <v>6710</v>
      </c>
      <c r="C1118" s="15" t="s">
        <v>6711</v>
      </c>
      <c r="D1118" s="15" t="s">
        <v>6712</v>
      </c>
      <c r="E1118" s="15" t="s">
        <v>6713</v>
      </c>
      <c r="F1118" s="15" t="s">
        <v>6714</v>
      </c>
      <c r="G1118" s="15" t="s">
        <v>6715</v>
      </c>
      <c r="H1118" s="16" t="s">
        <v>6716</v>
      </c>
    </row>
    <row r="1119" spans="1:8" ht="56.25" x14ac:dyDescent="0.3">
      <c r="A1119" s="13" t="s">
        <v>6717</v>
      </c>
      <c r="B1119" s="14" t="s">
        <v>6718</v>
      </c>
      <c r="C1119" s="15" t="s">
        <v>6719</v>
      </c>
      <c r="D1119" s="15" t="s">
        <v>6720</v>
      </c>
      <c r="E1119" s="15"/>
      <c r="F1119" s="15" t="s">
        <v>6721</v>
      </c>
      <c r="G1119" s="15" t="s">
        <v>6722</v>
      </c>
      <c r="H1119" s="16" t="s">
        <v>6723</v>
      </c>
    </row>
    <row r="1120" spans="1:8" ht="45" x14ac:dyDescent="0.3">
      <c r="A1120" s="13">
        <v>22307</v>
      </c>
      <c r="B1120" s="14" t="s">
        <v>6724</v>
      </c>
      <c r="C1120" s="15" t="s">
        <v>6725</v>
      </c>
      <c r="D1120" s="15" t="s">
        <v>6726</v>
      </c>
      <c r="E1120" s="15" t="s">
        <v>6727</v>
      </c>
      <c r="F1120" s="15" t="s">
        <v>6728</v>
      </c>
      <c r="G1120" s="15" t="s">
        <v>6729</v>
      </c>
      <c r="H1120" s="16" t="s">
        <v>6730</v>
      </c>
    </row>
    <row r="1121" spans="1:8" ht="78.75" x14ac:dyDescent="0.3">
      <c r="A1121" s="13" t="s">
        <v>6731</v>
      </c>
      <c r="B1121" s="14" t="s">
        <v>6732</v>
      </c>
      <c r="C1121" s="15" t="s">
        <v>6733</v>
      </c>
      <c r="D1121" s="15" t="s">
        <v>6734</v>
      </c>
      <c r="E1121" s="15"/>
      <c r="F1121" s="15" t="s">
        <v>6735</v>
      </c>
      <c r="G1121" s="15" t="s">
        <v>6736</v>
      </c>
      <c r="H1121" s="16" t="s">
        <v>6737</v>
      </c>
    </row>
    <row r="1122" spans="1:8" ht="45" x14ac:dyDescent="0.3">
      <c r="A1122" s="13">
        <v>22308</v>
      </c>
      <c r="B1122" s="14" t="s">
        <v>6738</v>
      </c>
      <c r="C1122" s="15" t="s">
        <v>6739</v>
      </c>
      <c r="D1122" s="15" t="s">
        <v>6740</v>
      </c>
      <c r="E1122" s="15" t="s">
        <v>6741</v>
      </c>
      <c r="F1122" s="15" t="s">
        <v>6742</v>
      </c>
      <c r="G1122" s="15" t="s">
        <v>6743</v>
      </c>
      <c r="H1122" s="16" t="s">
        <v>6744</v>
      </c>
    </row>
    <row r="1123" spans="1:8" ht="67.5" x14ac:dyDescent="0.3">
      <c r="A1123" s="13" t="s">
        <v>6745</v>
      </c>
      <c r="B1123" s="14" t="s">
        <v>6746</v>
      </c>
      <c r="C1123" s="15" t="s">
        <v>6747</v>
      </c>
      <c r="D1123" s="15" t="s">
        <v>6748</v>
      </c>
      <c r="E1123" s="15"/>
      <c r="F1123" s="15" t="s">
        <v>6749</v>
      </c>
      <c r="G1123" s="15" t="s">
        <v>6750</v>
      </c>
      <c r="H1123" s="16" t="s">
        <v>6751</v>
      </c>
    </row>
    <row r="1124" spans="1:8" ht="33.75" x14ac:dyDescent="0.3">
      <c r="A1124" s="13">
        <v>22309</v>
      </c>
      <c r="B1124" s="14" t="s">
        <v>6752</v>
      </c>
      <c r="C1124" s="15" t="s">
        <v>6753</v>
      </c>
      <c r="D1124" s="15" t="s">
        <v>6754</v>
      </c>
      <c r="E1124" s="15" t="s">
        <v>6755</v>
      </c>
      <c r="F1124" s="15" t="s">
        <v>6756</v>
      </c>
      <c r="G1124" s="15" t="s">
        <v>6757</v>
      </c>
      <c r="H1124" s="16" t="s">
        <v>6758</v>
      </c>
    </row>
    <row r="1125" spans="1:8" ht="33.75" x14ac:dyDescent="0.3">
      <c r="A1125" s="13" t="s">
        <v>6759</v>
      </c>
      <c r="B1125" s="14" t="s">
        <v>6760</v>
      </c>
      <c r="C1125" s="15" t="s">
        <v>6761</v>
      </c>
      <c r="D1125" s="15" t="s">
        <v>6762</v>
      </c>
      <c r="E1125" s="15"/>
      <c r="F1125" s="15" t="s">
        <v>6763</v>
      </c>
      <c r="G1125" s="15" t="s">
        <v>6764</v>
      </c>
      <c r="H1125" s="16" t="s">
        <v>6765</v>
      </c>
    </row>
    <row r="1126" spans="1:8" ht="33.75" x14ac:dyDescent="0.3">
      <c r="A1126" s="13">
        <v>22310</v>
      </c>
      <c r="B1126" s="14" t="s">
        <v>6766</v>
      </c>
      <c r="C1126" s="15" t="s">
        <v>6767</v>
      </c>
      <c r="D1126" s="15" t="s">
        <v>6768</v>
      </c>
      <c r="E1126" s="15" t="s">
        <v>6769</v>
      </c>
      <c r="F1126" s="15" t="s">
        <v>6770</v>
      </c>
      <c r="G1126" s="15" t="s">
        <v>6771</v>
      </c>
      <c r="H1126" s="16" t="s">
        <v>6772</v>
      </c>
    </row>
    <row r="1127" spans="1:8" ht="33.75" x14ac:dyDescent="0.3">
      <c r="A1127" s="13" t="s">
        <v>6773</v>
      </c>
      <c r="B1127" s="14" t="s">
        <v>6774</v>
      </c>
      <c r="C1127" s="15" t="s">
        <v>6739</v>
      </c>
      <c r="D1127" s="15" t="s">
        <v>6775</v>
      </c>
      <c r="E1127" s="15"/>
      <c r="F1127" s="15" t="s">
        <v>6776</v>
      </c>
      <c r="G1127" s="15" t="s">
        <v>6777</v>
      </c>
      <c r="H1127" s="16" t="s">
        <v>6778</v>
      </c>
    </row>
    <row r="1128" spans="1:8" x14ac:dyDescent="0.3">
      <c r="A1128" s="13">
        <v>22311</v>
      </c>
      <c r="B1128" s="14" t="s">
        <v>6779</v>
      </c>
      <c r="C1128" s="15" t="s">
        <v>6780</v>
      </c>
      <c r="D1128" s="15" t="s">
        <v>6781</v>
      </c>
      <c r="E1128" s="15" t="s">
        <v>6782</v>
      </c>
      <c r="F1128" s="15" t="s">
        <v>6783</v>
      </c>
      <c r="G1128" s="15" t="s">
        <v>6784</v>
      </c>
      <c r="H1128" s="16" t="s">
        <v>6785</v>
      </c>
    </row>
    <row r="1129" spans="1:8" ht="45" x14ac:dyDescent="0.3">
      <c r="A1129" s="13">
        <v>22312</v>
      </c>
      <c r="B1129" s="14" t="s">
        <v>6786</v>
      </c>
      <c r="C1129" s="15" t="s">
        <v>6787</v>
      </c>
      <c r="D1129" s="15" t="s">
        <v>6788</v>
      </c>
      <c r="E1129" s="15" t="s">
        <v>6789</v>
      </c>
      <c r="F1129" s="15" t="s">
        <v>6790</v>
      </c>
      <c r="G1129" s="15" t="s">
        <v>6791</v>
      </c>
      <c r="H1129" s="16" t="s">
        <v>6790</v>
      </c>
    </row>
    <row r="1130" spans="1:8" x14ac:dyDescent="0.3">
      <c r="A1130" s="13">
        <v>22313</v>
      </c>
      <c r="B1130" s="14" t="s">
        <v>6792</v>
      </c>
      <c r="C1130" s="15" t="s">
        <v>6793</v>
      </c>
      <c r="D1130" s="15"/>
      <c r="E1130" s="15"/>
      <c r="F1130" s="15" t="s">
        <v>6794</v>
      </c>
      <c r="G1130" s="15" t="s">
        <v>6795</v>
      </c>
      <c r="H1130" s="16" t="s">
        <v>6795</v>
      </c>
    </row>
    <row r="1131" spans="1:8" ht="22.5" x14ac:dyDescent="0.3">
      <c r="A1131" s="13">
        <v>22314</v>
      </c>
      <c r="B1131" s="14" t="s">
        <v>6796</v>
      </c>
      <c r="C1131" s="15" t="s">
        <v>6797</v>
      </c>
      <c r="D1131" s="15" t="s">
        <v>6798</v>
      </c>
      <c r="E1131" s="15"/>
      <c r="F1131" s="15" t="s">
        <v>6799</v>
      </c>
      <c r="G1131" s="15" t="s">
        <v>6800</v>
      </c>
      <c r="H1131" s="16" t="s">
        <v>6798</v>
      </c>
    </row>
    <row r="1132" spans="1:8" ht="90" x14ac:dyDescent="0.3">
      <c r="A1132" s="13">
        <v>22315</v>
      </c>
      <c r="B1132" s="14" t="s">
        <v>6801</v>
      </c>
      <c r="C1132" s="15" t="s">
        <v>6802</v>
      </c>
      <c r="D1132" s="15" t="s">
        <v>6803</v>
      </c>
      <c r="E1132" s="15" t="s">
        <v>6804</v>
      </c>
      <c r="F1132" s="15" t="s">
        <v>6805</v>
      </c>
      <c r="G1132" s="15" t="s">
        <v>6806</v>
      </c>
      <c r="H1132" s="16" t="s">
        <v>6801</v>
      </c>
    </row>
    <row r="1133" spans="1:8" ht="45" x14ac:dyDescent="0.3">
      <c r="A1133" s="13" t="s">
        <v>6807</v>
      </c>
      <c r="B1133" s="14" t="s">
        <v>6808</v>
      </c>
      <c r="C1133" s="15" t="s">
        <v>6809</v>
      </c>
      <c r="D1133" s="15" t="s">
        <v>6810</v>
      </c>
      <c r="E1133" s="15" t="s">
        <v>6811</v>
      </c>
      <c r="F1133" s="15" t="s">
        <v>6801</v>
      </c>
      <c r="G1133" s="15" t="s">
        <v>6812</v>
      </c>
      <c r="H1133" s="16" t="s">
        <v>6813</v>
      </c>
    </row>
    <row r="1134" spans="1:8" ht="67.5" x14ac:dyDescent="0.3">
      <c r="A1134" s="13">
        <v>22316</v>
      </c>
      <c r="B1134" s="14" t="s">
        <v>6814</v>
      </c>
      <c r="C1134" s="15" t="s">
        <v>6815</v>
      </c>
      <c r="D1134" s="15"/>
      <c r="E1134" s="15" t="s">
        <v>6816</v>
      </c>
      <c r="F1134" s="15" t="s">
        <v>6817</v>
      </c>
      <c r="G1134" s="15" t="s">
        <v>6818</v>
      </c>
      <c r="H1134" s="16" t="s">
        <v>6819</v>
      </c>
    </row>
    <row r="1135" spans="1:8" x14ac:dyDescent="0.3">
      <c r="A1135" s="13" t="s">
        <v>6820</v>
      </c>
      <c r="B1135" s="14" t="s">
        <v>6821</v>
      </c>
      <c r="C1135" s="15" t="s">
        <v>6822</v>
      </c>
      <c r="D1135" s="15"/>
      <c r="E1135" s="15"/>
      <c r="F1135" s="15"/>
      <c r="G1135" s="15" t="s">
        <v>6823</v>
      </c>
      <c r="H1135" s="16" t="s">
        <v>6824</v>
      </c>
    </row>
    <row r="1136" spans="1:8" ht="33.75" x14ac:dyDescent="0.3">
      <c r="A1136" s="13">
        <v>22317</v>
      </c>
      <c r="B1136" s="14" t="s">
        <v>6825</v>
      </c>
      <c r="C1136" s="15" t="s">
        <v>6826</v>
      </c>
      <c r="D1136" s="15" t="s">
        <v>6827</v>
      </c>
      <c r="E1136" s="15"/>
      <c r="F1136" s="15" t="s">
        <v>6828</v>
      </c>
      <c r="G1136" s="15" t="s">
        <v>6829</v>
      </c>
      <c r="H1136" s="16" t="s">
        <v>6830</v>
      </c>
    </row>
    <row r="1137" spans="1:8" ht="33.75" x14ac:dyDescent="0.3">
      <c r="A1137" s="13" t="s">
        <v>6831</v>
      </c>
      <c r="B1137" s="14" t="s">
        <v>6832</v>
      </c>
      <c r="C1137" s="15" t="s">
        <v>6833</v>
      </c>
      <c r="D1137" s="15" t="s">
        <v>6834</v>
      </c>
      <c r="E1137" s="15" t="s">
        <v>6835</v>
      </c>
      <c r="F1137" s="15" t="s">
        <v>6836</v>
      </c>
      <c r="G1137" s="15" t="s">
        <v>6837</v>
      </c>
      <c r="H1137" s="16" t="s">
        <v>6838</v>
      </c>
    </row>
    <row r="1138" spans="1:8" ht="33.75" x14ac:dyDescent="0.3">
      <c r="A1138" s="13">
        <v>22318</v>
      </c>
      <c r="B1138" s="14" t="s">
        <v>6839</v>
      </c>
      <c r="C1138" s="15" t="s">
        <v>6840</v>
      </c>
      <c r="D1138" s="15" t="s">
        <v>6841</v>
      </c>
      <c r="E1138" s="15" t="s">
        <v>6842</v>
      </c>
      <c r="F1138" s="15" t="s">
        <v>6843</v>
      </c>
      <c r="G1138" s="15" t="s">
        <v>6844</v>
      </c>
      <c r="H1138" s="16"/>
    </row>
    <row r="1139" spans="1:8" ht="22.5" x14ac:dyDescent="0.3">
      <c r="A1139" s="13" t="s">
        <v>6845</v>
      </c>
      <c r="B1139" s="14" t="s">
        <v>6846</v>
      </c>
      <c r="C1139" s="15" t="s">
        <v>6847</v>
      </c>
      <c r="D1139" s="15" t="s">
        <v>6848</v>
      </c>
      <c r="E1139" s="15" t="s">
        <v>6849</v>
      </c>
      <c r="F1139" s="15" t="s">
        <v>57</v>
      </c>
      <c r="G1139" s="15" t="s">
        <v>6850</v>
      </c>
      <c r="H1139" s="16" t="s">
        <v>6851</v>
      </c>
    </row>
    <row r="1140" spans="1:8" ht="22.5" x14ac:dyDescent="0.3">
      <c r="A1140" s="13">
        <v>22319</v>
      </c>
      <c r="B1140" s="14" t="s">
        <v>6852</v>
      </c>
      <c r="C1140" s="15" t="s">
        <v>6853</v>
      </c>
      <c r="D1140" s="15" t="s">
        <v>6854</v>
      </c>
      <c r="E1140" s="15" t="s">
        <v>6855</v>
      </c>
      <c r="F1140" s="15" t="s">
        <v>6852</v>
      </c>
      <c r="G1140" s="15" t="s">
        <v>6856</v>
      </c>
      <c r="H1140" s="16" t="s">
        <v>6857</v>
      </c>
    </row>
    <row r="1141" spans="1:8" ht="33.75" x14ac:dyDescent="0.3">
      <c r="A1141" s="13">
        <v>22320</v>
      </c>
      <c r="B1141" s="14" t="s">
        <v>6858</v>
      </c>
      <c r="C1141" s="15" t="s">
        <v>6859</v>
      </c>
      <c r="D1141" s="15" t="s">
        <v>6860</v>
      </c>
      <c r="E1141" s="15" t="s">
        <v>6861</v>
      </c>
      <c r="F1141" s="15" t="s">
        <v>6858</v>
      </c>
      <c r="G1141" s="15" t="s">
        <v>6862</v>
      </c>
      <c r="H1141" s="16" t="s">
        <v>6858</v>
      </c>
    </row>
    <row r="1142" spans="1:8" ht="22.5" x14ac:dyDescent="0.3">
      <c r="A1142" s="13">
        <v>22321</v>
      </c>
      <c r="B1142" s="14" t="s">
        <v>6863</v>
      </c>
      <c r="C1142" s="15" t="s">
        <v>6864</v>
      </c>
      <c r="D1142" s="15" t="s">
        <v>6865</v>
      </c>
      <c r="E1142" s="15" t="s">
        <v>6865</v>
      </c>
      <c r="F1142" s="15" t="s">
        <v>6866</v>
      </c>
      <c r="G1142" s="15" t="s">
        <v>6867</v>
      </c>
      <c r="H1142" s="16" t="s">
        <v>6865</v>
      </c>
    </row>
    <row r="1143" spans="1:8" ht="56.25" x14ac:dyDescent="0.3">
      <c r="A1143" s="13" t="s">
        <v>6868</v>
      </c>
      <c r="B1143" s="14" t="s">
        <v>6869</v>
      </c>
      <c r="C1143" s="15" t="s">
        <v>6870</v>
      </c>
      <c r="D1143" s="15" t="s">
        <v>6871</v>
      </c>
      <c r="E1143" s="15" t="s">
        <v>6872</v>
      </c>
      <c r="F1143" s="15"/>
      <c r="G1143" s="15" t="s">
        <v>6873</v>
      </c>
      <c r="H1143" s="16" t="s">
        <v>6874</v>
      </c>
    </row>
    <row r="1144" spans="1:8" x14ac:dyDescent="0.3">
      <c r="A1144" s="13">
        <v>22322</v>
      </c>
      <c r="B1144" s="14" t="s">
        <v>6875</v>
      </c>
      <c r="C1144" s="15" t="s">
        <v>6876</v>
      </c>
      <c r="D1144" s="15" t="s">
        <v>6877</v>
      </c>
      <c r="E1144" s="15" t="s">
        <v>6878</v>
      </c>
      <c r="F1144" s="15" t="s">
        <v>6879</v>
      </c>
      <c r="G1144" s="15" t="s">
        <v>6880</v>
      </c>
      <c r="H1144" s="16" t="s">
        <v>6881</v>
      </c>
    </row>
    <row r="1145" spans="1:8" x14ac:dyDescent="0.3">
      <c r="A1145" s="13">
        <v>22323</v>
      </c>
      <c r="B1145" s="14" t="s">
        <v>6882</v>
      </c>
      <c r="C1145" s="15" t="s">
        <v>6883</v>
      </c>
      <c r="D1145" s="15" t="s">
        <v>6884</v>
      </c>
      <c r="E1145" s="15" t="s">
        <v>6882</v>
      </c>
      <c r="F1145" s="15" t="s">
        <v>6885</v>
      </c>
      <c r="G1145" s="15" t="s">
        <v>6882</v>
      </c>
      <c r="H1145" s="16" t="s">
        <v>6886</v>
      </c>
    </row>
    <row r="1146" spans="1:8" ht="45" x14ac:dyDescent="0.3">
      <c r="A1146" s="13">
        <v>22324</v>
      </c>
      <c r="B1146" s="14" t="s">
        <v>6887</v>
      </c>
      <c r="C1146" s="15" t="s">
        <v>6888</v>
      </c>
      <c r="D1146" s="15" t="s">
        <v>6889</v>
      </c>
      <c r="E1146" s="15" t="s">
        <v>6890</v>
      </c>
      <c r="F1146" s="15" t="s">
        <v>6891</v>
      </c>
      <c r="G1146" s="15" t="s">
        <v>6892</v>
      </c>
      <c r="H1146" s="16" t="s">
        <v>6893</v>
      </c>
    </row>
    <row r="1147" spans="1:8" ht="22.5" x14ac:dyDescent="0.3">
      <c r="A1147" s="13" t="s">
        <v>6894</v>
      </c>
      <c r="B1147" s="14" t="s">
        <v>19717</v>
      </c>
      <c r="C1147" s="15" t="s">
        <v>6895</v>
      </c>
      <c r="D1147" s="15" t="s">
        <v>6896</v>
      </c>
      <c r="E1147" s="15" t="s">
        <v>6897</v>
      </c>
      <c r="F1147" s="15" t="s">
        <v>6898</v>
      </c>
      <c r="G1147" s="15" t="s">
        <v>6899</v>
      </c>
      <c r="H1147" s="16"/>
    </row>
    <row r="1148" spans="1:8" ht="56.25" x14ac:dyDescent="0.3">
      <c r="A1148" s="13" t="s">
        <v>6900</v>
      </c>
      <c r="B1148" s="14" t="s">
        <v>6901</v>
      </c>
      <c r="C1148" s="15" t="s">
        <v>6902</v>
      </c>
      <c r="D1148" s="15" t="s">
        <v>6903</v>
      </c>
      <c r="E1148" s="15" t="s">
        <v>6904</v>
      </c>
      <c r="F1148" s="15" t="s">
        <v>6905</v>
      </c>
      <c r="G1148" s="15" t="s">
        <v>6906</v>
      </c>
      <c r="H1148" s="16" t="s">
        <v>6907</v>
      </c>
    </row>
    <row r="1149" spans="1:8" x14ac:dyDescent="0.3">
      <c r="A1149" s="13">
        <v>22325</v>
      </c>
      <c r="B1149" s="14" t="s">
        <v>6908</v>
      </c>
      <c r="C1149" s="15" t="s">
        <v>6909</v>
      </c>
      <c r="D1149" s="15" t="s">
        <v>6910</v>
      </c>
      <c r="E1149" s="15" t="s">
        <v>6910</v>
      </c>
      <c r="F1149" s="15" t="s">
        <v>6910</v>
      </c>
      <c r="G1149" s="15" t="s">
        <v>6911</v>
      </c>
      <c r="H1149" s="16" t="s">
        <v>6910</v>
      </c>
    </row>
    <row r="1150" spans="1:8" ht="45" x14ac:dyDescent="0.3">
      <c r="A1150" s="13">
        <v>22326</v>
      </c>
      <c r="B1150" s="14" t="s">
        <v>6912</v>
      </c>
      <c r="C1150" s="15" t="s">
        <v>6913</v>
      </c>
      <c r="D1150" s="15" t="s">
        <v>6914</v>
      </c>
      <c r="E1150" s="15" t="s">
        <v>6915</v>
      </c>
      <c r="F1150" s="15" t="s">
        <v>6916</v>
      </c>
      <c r="G1150" s="15" t="s">
        <v>6917</v>
      </c>
      <c r="H1150" s="16" t="s">
        <v>6915</v>
      </c>
    </row>
    <row r="1151" spans="1:8" ht="22.5" x14ac:dyDescent="0.3">
      <c r="A1151" s="13">
        <v>22327</v>
      </c>
      <c r="B1151" s="14" t="s">
        <v>6918</v>
      </c>
      <c r="C1151" s="15" t="s">
        <v>6919</v>
      </c>
      <c r="D1151" s="15" t="s">
        <v>6920</v>
      </c>
      <c r="E1151" s="15" t="s">
        <v>6921</v>
      </c>
      <c r="F1151" s="15" t="s">
        <v>6922</v>
      </c>
      <c r="G1151" s="15" t="s">
        <v>6923</v>
      </c>
      <c r="H1151" s="16"/>
    </row>
    <row r="1152" spans="1:8" ht="22.5" x14ac:dyDescent="0.3">
      <c r="A1152" s="13" t="s">
        <v>6924</v>
      </c>
      <c r="B1152" s="14" t="s">
        <v>6925</v>
      </c>
      <c r="C1152" s="15" t="s">
        <v>6926</v>
      </c>
      <c r="D1152" s="15" t="s">
        <v>6927</v>
      </c>
      <c r="E1152" s="15" t="s">
        <v>6928</v>
      </c>
      <c r="F1152" s="15" t="s">
        <v>6929</v>
      </c>
      <c r="G1152" s="15" t="s">
        <v>6930</v>
      </c>
      <c r="H1152" s="16" t="s">
        <v>6931</v>
      </c>
    </row>
    <row r="1153" spans="1:8" ht="33.75" x14ac:dyDescent="0.3">
      <c r="A1153" s="13">
        <v>22328</v>
      </c>
      <c r="B1153" s="14" t="s">
        <v>6932</v>
      </c>
      <c r="C1153" s="15" t="s">
        <v>6933</v>
      </c>
      <c r="D1153" s="15" t="s">
        <v>6934</v>
      </c>
      <c r="E1153" s="15" t="s">
        <v>6935</v>
      </c>
      <c r="F1153" s="15" t="s">
        <v>6936</v>
      </c>
      <c r="G1153" s="15" t="s">
        <v>6937</v>
      </c>
      <c r="H1153" s="16" t="s">
        <v>6938</v>
      </c>
    </row>
    <row r="1154" spans="1:8" ht="22.5" x14ac:dyDescent="0.3">
      <c r="A1154" s="13">
        <v>22329</v>
      </c>
      <c r="B1154" s="14" t="s">
        <v>6939</v>
      </c>
      <c r="C1154" s="15" t="s">
        <v>6940</v>
      </c>
      <c r="D1154" s="15" t="s">
        <v>6941</v>
      </c>
      <c r="E1154" s="15" t="s">
        <v>6942</v>
      </c>
      <c r="F1154" s="15" t="s">
        <v>6943</v>
      </c>
      <c r="G1154" s="15" t="s">
        <v>6944</v>
      </c>
      <c r="H1154" s="16" t="s">
        <v>6945</v>
      </c>
    </row>
    <row r="1155" spans="1:8" ht="33.75" x14ac:dyDescent="0.3">
      <c r="A1155" s="13" t="s">
        <v>6946</v>
      </c>
      <c r="B1155" s="14" t="s">
        <v>6947</v>
      </c>
      <c r="C1155" s="15" t="s">
        <v>6948</v>
      </c>
      <c r="D1155" s="15" t="s">
        <v>6949</v>
      </c>
      <c r="E1155" s="15" t="s">
        <v>6950</v>
      </c>
      <c r="F1155" s="15" t="s">
        <v>6951</v>
      </c>
      <c r="G1155" s="15" t="s">
        <v>6952</v>
      </c>
      <c r="H1155" s="16" t="s">
        <v>6953</v>
      </c>
    </row>
    <row r="1156" spans="1:8" ht="33.75" x14ac:dyDescent="0.3">
      <c r="A1156" s="13">
        <v>22330</v>
      </c>
      <c r="B1156" s="14" t="s">
        <v>6954</v>
      </c>
      <c r="C1156" s="15" t="s">
        <v>6955</v>
      </c>
      <c r="D1156" s="15" t="s">
        <v>6956</v>
      </c>
      <c r="E1156" s="15" t="s">
        <v>6957</v>
      </c>
      <c r="F1156" s="15" t="s">
        <v>6958</v>
      </c>
      <c r="G1156" s="15" t="s">
        <v>6958</v>
      </c>
      <c r="H1156" s="16" t="s">
        <v>6959</v>
      </c>
    </row>
    <row r="1157" spans="1:8" x14ac:dyDescent="0.3">
      <c r="A1157" s="13">
        <v>22331</v>
      </c>
      <c r="B1157" s="14" t="s">
        <v>6960</v>
      </c>
      <c r="C1157" s="15" t="s">
        <v>6961</v>
      </c>
      <c r="D1157" s="15" t="s">
        <v>6962</v>
      </c>
      <c r="E1157" s="15" t="s">
        <v>6962</v>
      </c>
      <c r="F1157" s="15" t="s">
        <v>6963</v>
      </c>
      <c r="G1157" s="15" t="s">
        <v>6964</v>
      </c>
      <c r="H1157" s="16" t="s">
        <v>6962</v>
      </c>
    </row>
    <row r="1158" spans="1:8" ht="22.5" x14ac:dyDescent="0.3">
      <c r="A1158" s="13">
        <v>22332</v>
      </c>
      <c r="B1158" s="14" t="s">
        <v>6965</v>
      </c>
      <c r="C1158" s="15" t="s">
        <v>6966</v>
      </c>
      <c r="D1158" s="15" t="s">
        <v>6967</v>
      </c>
      <c r="E1158" s="15" t="s">
        <v>6968</v>
      </c>
      <c r="F1158" s="15" t="s">
        <v>6969</v>
      </c>
      <c r="G1158" s="15" t="s">
        <v>6970</v>
      </c>
      <c r="H1158" s="16" t="s">
        <v>6971</v>
      </c>
    </row>
    <row r="1159" spans="1:8" ht="33.75" x14ac:dyDescent="0.3">
      <c r="A1159" s="13">
        <v>22333</v>
      </c>
      <c r="B1159" s="14" t="s">
        <v>6972</v>
      </c>
      <c r="C1159" s="15" t="s">
        <v>6973</v>
      </c>
      <c r="D1159" s="15" t="s">
        <v>6974</v>
      </c>
      <c r="E1159" s="15" t="s">
        <v>6975</v>
      </c>
      <c r="F1159" s="15" t="s">
        <v>6976</v>
      </c>
      <c r="G1159" s="15" t="s">
        <v>6977</v>
      </c>
      <c r="H1159" s="16" t="s">
        <v>6978</v>
      </c>
    </row>
    <row r="1160" spans="1:8" ht="45" x14ac:dyDescent="0.3">
      <c r="A1160" s="13" t="s">
        <v>6979</v>
      </c>
      <c r="B1160" s="14" t="s">
        <v>6980</v>
      </c>
      <c r="C1160" s="15" t="s">
        <v>6981</v>
      </c>
      <c r="D1160" s="15" t="s">
        <v>6982</v>
      </c>
      <c r="E1160" s="15" t="s">
        <v>6983</v>
      </c>
      <c r="F1160" s="15" t="s">
        <v>6984</v>
      </c>
      <c r="G1160" s="15" t="s">
        <v>6985</v>
      </c>
      <c r="H1160" s="16" t="s">
        <v>6986</v>
      </c>
    </row>
    <row r="1161" spans="1:8" ht="33.75" x14ac:dyDescent="0.3">
      <c r="A1161" s="13">
        <v>22334</v>
      </c>
      <c r="B1161" s="14" t="s">
        <v>6987</v>
      </c>
      <c r="C1161" s="15" t="s">
        <v>6988</v>
      </c>
      <c r="D1161" s="15" t="s">
        <v>6989</v>
      </c>
      <c r="E1161" s="15" t="s">
        <v>6990</v>
      </c>
      <c r="F1161" s="15" t="s">
        <v>6991</v>
      </c>
      <c r="G1161" s="15" t="s">
        <v>6992</v>
      </c>
      <c r="H1161" s="16" t="s">
        <v>6993</v>
      </c>
    </row>
    <row r="1162" spans="1:8" ht="22.5" x14ac:dyDescent="0.3">
      <c r="A1162" s="13" t="s">
        <v>6994</v>
      </c>
      <c r="B1162" s="14" t="s">
        <v>6995</v>
      </c>
      <c r="C1162" s="15" t="s">
        <v>6996</v>
      </c>
      <c r="D1162" s="15" t="s">
        <v>6997</v>
      </c>
      <c r="E1162" s="15" t="s">
        <v>6998</v>
      </c>
      <c r="F1162" s="15" t="s">
        <v>6999</v>
      </c>
      <c r="G1162" s="15" t="s">
        <v>7000</v>
      </c>
      <c r="H1162" s="16" t="s">
        <v>7001</v>
      </c>
    </row>
    <row r="1163" spans="1:8" ht="33.75" x14ac:dyDescent="0.3">
      <c r="A1163" s="13">
        <v>22335</v>
      </c>
      <c r="B1163" s="14" t="s">
        <v>7002</v>
      </c>
      <c r="C1163" s="15" t="s">
        <v>7003</v>
      </c>
      <c r="D1163" s="15" t="s">
        <v>7004</v>
      </c>
      <c r="E1163" s="15" t="s">
        <v>7005</v>
      </c>
      <c r="F1163" s="15" t="s">
        <v>7006</v>
      </c>
      <c r="G1163" s="15" t="s">
        <v>7004</v>
      </c>
      <c r="H1163" s="16" t="s">
        <v>7007</v>
      </c>
    </row>
    <row r="1164" spans="1:8" ht="22.5" x14ac:dyDescent="0.3">
      <c r="A1164" s="13" t="s">
        <v>7008</v>
      </c>
      <c r="B1164" s="14" t="s">
        <v>7009</v>
      </c>
      <c r="C1164" s="15" t="s">
        <v>7010</v>
      </c>
      <c r="D1164" s="15" t="s">
        <v>7011</v>
      </c>
      <c r="E1164" s="15" t="s">
        <v>7011</v>
      </c>
      <c r="F1164" s="15" t="s">
        <v>7012</v>
      </c>
      <c r="G1164" s="15" t="s">
        <v>7012</v>
      </c>
      <c r="H1164" s="16" t="s">
        <v>7013</v>
      </c>
    </row>
    <row r="1165" spans="1:8" x14ac:dyDescent="0.3">
      <c r="A1165" s="13">
        <v>22336</v>
      </c>
      <c r="B1165" s="14" t="s">
        <v>7014</v>
      </c>
      <c r="C1165" s="15" t="s">
        <v>7015</v>
      </c>
      <c r="D1165" s="15" t="s">
        <v>7016</v>
      </c>
      <c r="E1165" s="15"/>
      <c r="F1165" s="15" t="s">
        <v>7017</v>
      </c>
      <c r="G1165" s="15" t="s">
        <v>7018</v>
      </c>
      <c r="H1165" s="16" t="s">
        <v>7019</v>
      </c>
    </row>
    <row r="1166" spans="1:8" ht="33.75" x14ac:dyDescent="0.3">
      <c r="A1166" s="13">
        <v>22337</v>
      </c>
      <c r="B1166" s="14" t="s">
        <v>7020</v>
      </c>
      <c r="C1166" s="15" t="s">
        <v>7021</v>
      </c>
      <c r="D1166" s="15" t="s">
        <v>7022</v>
      </c>
      <c r="E1166" s="15" t="s">
        <v>7023</v>
      </c>
      <c r="F1166" s="15" t="s">
        <v>7020</v>
      </c>
      <c r="G1166" s="15" t="s">
        <v>7024</v>
      </c>
      <c r="H1166" s="16" t="s">
        <v>7025</v>
      </c>
    </row>
    <row r="1167" spans="1:8" ht="33.75" x14ac:dyDescent="0.3">
      <c r="A1167" s="13" t="s">
        <v>7026</v>
      </c>
      <c r="B1167" s="14" t="s">
        <v>7027</v>
      </c>
      <c r="C1167" s="15" t="s">
        <v>7028</v>
      </c>
      <c r="D1167" s="15" t="s">
        <v>7029</v>
      </c>
      <c r="E1167" s="15" t="s">
        <v>7030</v>
      </c>
      <c r="F1167" s="15" t="s">
        <v>7020</v>
      </c>
      <c r="G1167" s="15" t="s">
        <v>7031</v>
      </c>
      <c r="H1167" s="16" t="s">
        <v>7032</v>
      </c>
    </row>
    <row r="1168" spans="1:8" ht="22.5" x14ac:dyDescent="0.3">
      <c r="A1168" s="13">
        <v>22338</v>
      </c>
      <c r="B1168" s="14" t="s">
        <v>7033</v>
      </c>
      <c r="C1168" s="15" t="s">
        <v>7034</v>
      </c>
      <c r="D1168" s="15" t="s">
        <v>7035</v>
      </c>
      <c r="E1168" s="15" t="s">
        <v>7036</v>
      </c>
      <c r="F1168" s="15" t="s">
        <v>7037</v>
      </c>
      <c r="G1168" s="15" t="s">
        <v>7038</v>
      </c>
      <c r="H1168" s="16" t="s">
        <v>7039</v>
      </c>
    </row>
    <row r="1169" spans="1:8" ht="45" x14ac:dyDescent="0.3">
      <c r="A1169" s="13" t="s">
        <v>7040</v>
      </c>
      <c r="B1169" s="14" t="s">
        <v>7041</v>
      </c>
      <c r="C1169" s="15" t="s">
        <v>7042</v>
      </c>
      <c r="D1169" s="15" t="s">
        <v>7043</v>
      </c>
      <c r="E1169" s="15"/>
      <c r="F1169" s="15" t="s">
        <v>7044</v>
      </c>
      <c r="G1169" s="15" t="s">
        <v>7045</v>
      </c>
      <c r="H1169" s="16" t="s">
        <v>7046</v>
      </c>
    </row>
    <row r="1170" spans="1:8" ht="33.75" x14ac:dyDescent="0.3">
      <c r="A1170" s="13">
        <v>22339</v>
      </c>
      <c r="B1170" s="14" t="s">
        <v>7047</v>
      </c>
      <c r="C1170" s="15" t="s">
        <v>7048</v>
      </c>
      <c r="D1170" s="15" t="s">
        <v>7049</v>
      </c>
      <c r="E1170" s="15" t="s">
        <v>7050</v>
      </c>
      <c r="F1170" s="15" t="s">
        <v>7051</v>
      </c>
      <c r="G1170" s="15" t="s">
        <v>7052</v>
      </c>
      <c r="H1170" s="16" t="s">
        <v>7053</v>
      </c>
    </row>
    <row r="1171" spans="1:8" ht="45" x14ac:dyDescent="0.3">
      <c r="A1171" s="13" t="s">
        <v>7054</v>
      </c>
      <c r="B1171" s="14" t="s">
        <v>7055</v>
      </c>
      <c r="C1171" s="15" t="s">
        <v>7056</v>
      </c>
      <c r="D1171" s="15" t="s">
        <v>7057</v>
      </c>
      <c r="E1171" s="15" t="s">
        <v>7058</v>
      </c>
      <c r="F1171" s="15" t="s">
        <v>7051</v>
      </c>
      <c r="G1171" s="15" t="s">
        <v>57</v>
      </c>
      <c r="H1171" s="16" t="s">
        <v>7059</v>
      </c>
    </row>
    <row r="1172" spans="1:8" ht="33.75" x14ac:dyDescent="0.3">
      <c r="A1172" s="13">
        <v>22340</v>
      </c>
      <c r="B1172" s="14" t="s">
        <v>6737</v>
      </c>
      <c r="C1172" s="15" t="s">
        <v>7060</v>
      </c>
      <c r="D1172" s="15" t="s">
        <v>7061</v>
      </c>
      <c r="E1172" s="15" t="s">
        <v>7062</v>
      </c>
      <c r="F1172" s="15" t="s">
        <v>7063</v>
      </c>
      <c r="G1172" s="15" t="s">
        <v>7064</v>
      </c>
      <c r="H1172" s="16" t="s">
        <v>7065</v>
      </c>
    </row>
    <row r="1173" spans="1:8" ht="22.5" x14ac:dyDescent="0.3">
      <c r="A1173" s="13" t="s">
        <v>7066</v>
      </c>
      <c r="B1173" s="14" t="s">
        <v>7067</v>
      </c>
      <c r="C1173" s="15" t="s">
        <v>7068</v>
      </c>
      <c r="D1173" s="15" t="s">
        <v>6737</v>
      </c>
      <c r="E1173" s="15"/>
      <c r="F1173" s="15" t="s">
        <v>7069</v>
      </c>
      <c r="G1173" s="15"/>
      <c r="H1173" s="16" t="s">
        <v>7070</v>
      </c>
    </row>
    <row r="1174" spans="1:8" ht="22.5" x14ac:dyDescent="0.3">
      <c r="A1174" s="13">
        <v>22341</v>
      </c>
      <c r="B1174" s="14" t="s">
        <v>7071</v>
      </c>
      <c r="C1174" s="15" t="s">
        <v>7072</v>
      </c>
      <c r="D1174" s="15" t="s">
        <v>7073</v>
      </c>
      <c r="E1174" s="15" t="s">
        <v>7074</v>
      </c>
      <c r="F1174" s="15" t="s">
        <v>7075</v>
      </c>
      <c r="G1174" s="15" t="s">
        <v>7076</v>
      </c>
      <c r="H1174" s="16" t="s">
        <v>7077</v>
      </c>
    </row>
    <row r="1175" spans="1:8" ht="33.75" x14ac:dyDescent="0.3">
      <c r="A1175" s="13" t="s">
        <v>7078</v>
      </c>
      <c r="B1175" s="14" t="s">
        <v>7079</v>
      </c>
      <c r="C1175" s="15" t="s">
        <v>7080</v>
      </c>
      <c r="D1175" s="15" t="s">
        <v>7081</v>
      </c>
      <c r="E1175" s="15"/>
      <c r="F1175" s="15" t="s">
        <v>7082</v>
      </c>
      <c r="G1175" s="15" t="s">
        <v>7083</v>
      </c>
      <c r="H1175" s="16" t="s">
        <v>7084</v>
      </c>
    </row>
    <row r="1176" spans="1:8" ht="22.5" x14ac:dyDescent="0.3">
      <c r="A1176" s="13" t="s">
        <v>7085</v>
      </c>
      <c r="B1176" s="14" t="s">
        <v>7086</v>
      </c>
      <c r="C1176" s="15" t="s">
        <v>7087</v>
      </c>
      <c r="D1176" s="15"/>
      <c r="E1176" s="15"/>
      <c r="F1176" s="15" t="s">
        <v>7088</v>
      </c>
      <c r="G1176" s="15" t="s">
        <v>7089</v>
      </c>
      <c r="H1176" s="16" t="s">
        <v>7090</v>
      </c>
    </row>
    <row r="1177" spans="1:8" ht="45" x14ac:dyDescent="0.3">
      <c r="A1177" s="13" t="s">
        <v>7091</v>
      </c>
      <c r="B1177" s="14" t="s">
        <v>7092</v>
      </c>
      <c r="C1177" s="15" t="s">
        <v>7093</v>
      </c>
      <c r="D1177" s="15" t="s">
        <v>7094</v>
      </c>
      <c r="E1177" s="15"/>
      <c r="F1177" s="15" t="s">
        <v>7095</v>
      </c>
      <c r="G1177" s="15"/>
      <c r="H1177" s="16" t="s">
        <v>7096</v>
      </c>
    </row>
    <row r="1178" spans="1:8" ht="22.5" x14ac:dyDescent="0.3">
      <c r="A1178" s="13">
        <v>22342</v>
      </c>
      <c r="B1178" s="14" t="s">
        <v>7097</v>
      </c>
      <c r="C1178" s="15" t="s">
        <v>7098</v>
      </c>
      <c r="D1178" s="15" t="s">
        <v>7099</v>
      </c>
      <c r="E1178" s="15" t="s">
        <v>7100</v>
      </c>
      <c r="F1178" s="15" t="s">
        <v>7097</v>
      </c>
      <c r="G1178" s="15" t="s">
        <v>7101</v>
      </c>
      <c r="H1178" s="16" t="s">
        <v>7097</v>
      </c>
    </row>
    <row r="1179" spans="1:8" ht="22.5" x14ac:dyDescent="0.3">
      <c r="A1179" s="13" t="s">
        <v>7102</v>
      </c>
      <c r="B1179" s="14" t="s">
        <v>7103</v>
      </c>
      <c r="C1179" s="15" t="s">
        <v>7104</v>
      </c>
      <c r="D1179" s="15" t="s">
        <v>7105</v>
      </c>
      <c r="E1179" s="15" t="s">
        <v>7100</v>
      </c>
      <c r="F1179" s="15" t="s">
        <v>7106</v>
      </c>
      <c r="G1179" s="15" t="s">
        <v>7107</v>
      </c>
      <c r="H1179" s="16" t="s">
        <v>7108</v>
      </c>
    </row>
    <row r="1180" spans="1:8" ht="22.5" x14ac:dyDescent="0.3">
      <c r="A1180" s="13">
        <v>22343</v>
      </c>
      <c r="B1180" s="14" t="s">
        <v>7109</v>
      </c>
      <c r="C1180" s="15" t="s">
        <v>7110</v>
      </c>
      <c r="D1180" s="15" t="s">
        <v>7111</v>
      </c>
      <c r="E1180" s="15" t="s">
        <v>7112</v>
      </c>
      <c r="F1180" s="15" t="s">
        <v>7113</v>
      </c>
      <c r="G1180" s="15" t="s">
        <v>7114</v>
      </c>
      <c r="H1180" s="16" t="s">
        <v>7115</v>
      </c>
    </row>
    <row r="1181" spans="1:8" x14ac:dyDescent="0.3">
      <c r="A1181" s="13" t="s">
        <v>7116</v>
      </c>
      <c r="B1181" s="14" t="s">
        <v>7117</v>
      </c>
      <c r="C1181" s="15" t="s">
        <v>7118</v>
      </c>
      <c r="D1181" s="15" t="s">
        <v>7119</v>
      </c>
      <c r="E1181" s="15" t="s">
        <v>7120</v>
      </c>
      <c r="F1181" s="15" t="s">
        <v>7121</v>
      </c>
      <c r="G1181" s="15" t="s">
        <v>7122</v>
      </c>
      <c r="H1181" s="16" t="s">
        <v>7123</v>
      </c>
    </row>
    <row r="1182" spans="1:8" ht="33.75" x14ac:dyDescent="0.3">
      <c r="A1182" s="13">
        <v>22344</v>
      </c>
      <c r="B1182" s="14" t="s">
        <v>7124</v>
      </c>
      <c r="C1182" s="15" t="s">
        <v>7125</v>
      </c>
      <c r="D1182" s="15" t="s">
        <v>7126</v>
      </c>
      <c r="E1182" s="15" t="s">
        <v>7127</v>
      </c>
      <c r="F1182" s="15" t="s">
        <v>7128</v>
      </c>
      <c r="G1182" s="15" t="s">
        <v>7129</v>
      </c>
      <c r="H1182" s="16" t="s">
        <v>7130</v>
      </c>
    </row>
    <row r="1183" spans="1:8" ht="22.5" x14ac:dyDescent="0.3">
      <c r="A1183" s="13" t="s">
        <v>7131</v>
      </c>
      <c r="B1183" s="14" t="s">
        <v>7132</v>
      </c>
      <c r="C1183" s="15" t="s">
        <v>7133</v>
      </c>
      <c r="D1183" s="15"/>
      <c r="E1183" s="15" t="s">
        <v>7134</v>
      </c>
      <c r="F1183" s="15" t="s">
        <v>7135</v>
      </c>
      <c r="G1183" s="15"/>
      <c r="H1183" s="16"/>
    </row>
    <row r="1184" spans="1:8" ht="67.5" x14ac:dyDescent="0.3">
      <c r="A1184" s="13">
        <v>22345</v>
      </c>
      <c r="B1184" s="14" t="s">
        <v>7136</v>
      </c>
      <c r="C1184" s="15" t="s">
        <v>7137</v>
      </c>
      <c r="D1184" s="15" t="s">
        <v>7138</v>
      </c>
      <c r="E1184" s="15" t="s">
        <v>7139</v>
      </c>
      <c r="F1184" s="15" t="s">
        <v>7140</v>
      </c>
      <c r="G1184" s="15" t="s">
        <v>7141</v>
      </c>
      <c r="H1184" s="16" t="s">
        <v>7142</v>
      </c>
    </row>
    <row r="1185" spans="1:8" ht="22.5" x14ac:dyDescent="0.3">
      <c r="A1185" s="13" t="s">
        <v>7143</v>
      </c>
      <c r="B1185" s="14" t="s">
        <v>7144</v>
      </c>
      <c r="C1185" s="15" t="s">
        <v>7145</v>
      </c>
      <c r="D1185" s="15"/>
      <c r="E1185" s="15"/>
      <c r="F1185" s="15" t="s">
        <v>7139</v>
      </c>
      <c r="G1185" s="15" t="s">
        <v>7146</v>
      </c>
      <c r="H1185" s="16" t="s">
        <v>7147</v>
      </c>
    </row>
    <row r="1186" spans="1:8" ht="33.75" x14ac:dyDescent="0.3">
      <c r="A1186" s="13" t="s">
        <v>7148</v>
      </c>
      <c r="B1186" s="14" t="s">
        <v>7149</v>
      </c>
      <c r="C1186" s="15" t="s">
        <v>7150</v>
      </c>
      <c r="D1186" s="15" t="s">
        <v>7151</v>
      </c>
      <c r="E1186" s="15" t="s">
        <v>7152</v>
      </c>
      <c r="F1186" s="15" t="s">
        <v>7153</v>
      </c>
      <c r="G1186" s="15" t="s">
        <v>7154</v>
      </c>
      <c r="H1186" s="16" t="s">
        <v>7155</v>
      </c>
    </row>
    <row r="1187" spans="1:8" ht="33.75" x14ac:dyDescent="0.3">
      <c r="A1187" s="13" t="s">
        <v>7156</v>
      </c>
      <c r="B1187" s="14" t="s">
        <v>7157</v>
      </c>
      <c r="C1187" s="15" t="s">
        <v>7158</v>
      </c>
      <c r="D1187" s="15" t="s">
        <v>7151</v>
      </c>
      <c r="E1187" s="15" t="s">
        <v>7159</v>
      </c>
      <c r="F1187" s="15"/>
      <c r="G1187" s="15" t="s">
        <v>7160</v>
      </c>
      <c r="H1187" s="16" t="s">
        <v>7161</v>
      </c>
    </row>
    <row r="1188" spans="1:8" ht="22.5" x14ac:dyDescent="0.3">
      <c r="A1188" s="13">
        <v>22346</v>
      </c>
      <c r="B1188" s="14" t="s">
        <v>7162</v>
      </c>
      <c r="C1188" s="15" t="s">
        <v>7163</v>
      </c>
      <c r="D1188" s="15" t="s">
        <v>7164</v>
      </c>
      <c r="E1188" s="15" t="s">
        <v>7165</v>
      </c>
      <c r="F1188" s="15" t="s">
        <v>7166</v>
      </c>
      <c r="G1188" s="15" t="s">
        <v>7164</v>
      </c>
      <c r="H1188" s="16" t="s">
        <v>7167</v>
      </c>
    </row>
    <row r="1189" spans="1:8" ht="22.5" x14ac:dyDescent="0.3">
      <c r="A1189" s="13" t="s">
        <v>7168</v>
      </c>
      <c r="B1189" s="14" t="s">
        <v>7169</v>
      </c>
      <c r="C1189" s="15" t="s">
        <v>7170</v>
      </c>
      <c r="D1189" s="15" t="s">
        <v>7171</v>
      </c>
      <c r="E1189" s="15" t="s">
        <v>7164</v>
      </c>
      <c r="F1189" s="15" t="s">
        <v>7172</v>
      </c>
      <c r="G1189" s="15" t="s">
        <v>7173</v>
      </c>
      <c r="H1189" s="16" t="s">
        <v>7174</v>
      </c>
    </row>
    <row r="1190" spans="1:8" ht="33.75" x14ac:dyDescent="0.3">
      <c r="A1190" s="13" t="s">
        <v>7175</v>
      </c>
      <c r="B1190" s="14" t="s">
        <v>7176</v>
      </c>
      <c r="C1190" s="15" t="s">
        <v>7177</v>
      </c>
      <c r="D1190" s="15" t="s">
        <v>7178</v>
      </c>
      <c r="E1190" s="15" t="s">
        <v>7179</v>
      </c>
      <c r="F1190" s="15" t="s">
        <v>7179</v>
      </c>
      <c r="G1190" s="15" t="s">
        <v>7180</v>
      </c>
      <c r="H1190" s="16" t="s">
        <v>7181</v>
      </c>
    </row>
    <row r="1191" spans="1:8" ht="33.75" x14ac:dyDescent="0.3">
      <c r="A1191" s="13" t="s">
        <v>7182</v>
      </c>
      <c r="B1191" s="14" t="s">
        <v>7183</v>
      </c>
      <c r="C1191" s="15" t="s">
        <v>7184</v>
      </c>
      <c r="D1191" s="15" t="s">
        <v>7185</v>
      </c>
      <c r="E1191" s="15" t="s">
        <v>7186</v>
      </c>
      <c r="F1191" s="15"/>
      <c r="G1191" s="15" t="s">
        <v>7187</v>
      </c>
      <c r="H1191" s="16" t="s">
        <v>7188</v>
      </c>
    </row>
    <row r="1192" spans="1:8" ht="33.75" x14ac:dyDescent="0.3">
      <c r="A1192" s="13">
        <v>22347</v>
      </c>
      <c r="B1192" s="14" t="s">
        <v>7189</v>
      </c>
      <c r="C1192" s="15" t="s">
        <v>7190</v>
      </c>
      <c r="D1192" s="15" t="s">
        <v>7191</v>
      </c>
      <c r="E1192" s="15"/>
      <c r="F1192" s="15" t="s">
        <v>7192</v>
      </c>
      <c r="G1192" s="15" t="s">
        <v>7193</v>
      </c>
      <c r="H1192" s="16" t="s">
        <v>7194</v>
      </c>
    </row>
    <row r="1193" spans="1:8" ht="22.5" x14ac:dyDescent="0.3">
      <c r="A1193" s="13">
        <v>22348</v>
      </c>
      <c r="B1193" s="14" t="s">
        <v>7195</v>
      </c>
      <c r="C1193" s="15" t="s">
        <v>7196</v>
      </c>
      <c r="D1193" s="15" t="s">
        <v>7197</v>
      </c>
      <c r="E1193" s="15"/>
      <c r="F1193" s="15" t="s">
        <v>7153</v>
      </c>
      <c r="G1193" s="15" t="s">
        <v>7198</v>
      </c>
      <c r="H1193" s="16" t="s">
        <v>7199</v>
      </c>
    </row>
    <row r="1194" spans="1:8" ht="33.75" x14ac:dyDescent="0.3">
      <c r="A1194" s="13" t="s">
        <v>7200</v>
      </c>
      <c r="B1194" s="14" t="s">
        <v>7201</v>
      </c>
      <c r="C1194" s="15" t="s">
        <v>7202</v>
      </c>
      <c r="D1194" s="15" t="s">
        <v>7203</v>
      </c>
      <c r="E1194" s="15"/>
      <c r="F1194" s="15" t="s">
        <v>7153</v>
      </c>
      <c r="G1194" s="15" t="s">
        <v>7204</v>
      </c>
      <c r="H1194" s="16" t="s">
        <v>7205</v>
      </c>
    </row>
    <row r="1195" spans="1:8" ht="22.5" x14ac:dyDescent="0.3">
      <c r="A1195" s="13">
        <v>22349</v>
      </c>
      <c r="B1195" s="14" t="s">
        <v>7206</v>
      </c>
      <c r="C1195" s="15" t="s">
        <v>7207</v>
      </c>
      <c r="D1195" s="15" t="s">
        <v>7208</v>
      </c>
      <c r="E1195" s="15"/>
      <c r="F1195" s="15" t="s">
        <v>7179</v>
      </c>
      <c r="G1195" s="15" t="s">
        <v>7209</v>
      </c>
      <c r="H1195" s="16" t="s">
        <v>7210</v>
      </c>
    </row>
    <row r="1196" spans="1:8" ht="22.5" x14ac:dyDescent="0.3">
      <c r="A1196" s="13" t="s">
        <v>7211</v>
      </c>
      <c r="B1196" s="14" t="s">
        <v>7212</v>
      </c>
      <c r="C1196" s="15" t="s">
        <v>7213</v>
      </c>
      <c r="D1196" s="15" t="s">
        <v>7214</v>
      </c>
      <c r="E1196" s="15"/>
      <c r="F1196" s="15" t="s">
        <v>7179</v>
      </c>
      <c r="G1196" s="15" t="s">
        <v>7209</v>
      </c>
      <c r="H1196" s="16" t="s">
        <v>7215</v>
      </c>
    </row>
    <row r="1197" spans="1:8" ht="22.5" x14ac:dyDescent="0.3">
      <c r="A1197" s="13">
        <v>22350</v>
      </c>
      <c r="B1197" s="14" t="s">
        <v>7216</v>
      </c>
      <c r="C1197" s="15" t="s">
        <v>7217</v>
      </c>
      <c r="D1197" s="15" t="s">
        <v>7218</v>
      </c>
      <c r="E1197" s="15" t="s">
        <v>7219</v>
      </c>
      <c r="F1197" s="15"/>
      <c r="G1197" s="15" t="s">
        <v>7220</v>
      </c>
      <c r="H1197" s="16" t="s">
        <v>7221</v>
      </c>
    </row>
    <row r="1198" spans="1:8" x14ac:dyDescent="0.3">
      <c r="A1198" s="13" t="s">
        <v>7222</v>
      </c>
      <c r="B1198" s="14" t="s">
        <v>7223</v>
      </c>
      <c r="C1198" s="15" t="s">
        <v>7224</v>
      </c>
      <c r="D1198" s="15"/>
      <c r="E1198" s="15" t="s">
        <v>7221</v>
      </c>
      <c r="F1198" s="15"/>
      <c r="G1198" s="15" t="s">
        <v>7225</v>
      </c>
      <c r="H1198" s="16" t="s">
        <v>7226</v>
      </c>
    </row>
    <row r="1199" spans="1:8" ht="45" x14ac:dyDescent="0.3">
      <c r="A1199" s="13">
        <v>22351</v>
      </c>
      <c r="B1199" s="14" t="s">
        <v>7227</v>
      </c>
      <c r="C1199" s="15" t="s">
        <v>7228</v>
      </c>
      <c r="D1199" s="15" t="s">
        <v>7229</v>
      </c>
      <c r="E1199" s="15" t="s">
        <v>7230</v>
      </c>
      <c r="F1199" s="15" t="s">
        <v>7231</v>
      </c>
      <c r="G1199" s="15" t="s">
        <v>7232</v>
      </c>
      <c r="H1199" s="16" t="s">
        <v>7233</v>
      </c>
    </row>
    <row r="1200" spans="1:8" ht="33.75" x14ac:dyDescent="0.3">
      <c r="A1200" s="13" t="s">
        <v>7234</v>
      </c>
      <c r="B1200" s="14" t="s">
        <v>7235</v>
      </c>
      <c r="C1200" s="15" t="s">
        <v>7236</v>
      </c>
      <c r="D1200" s="15"/>
      <c r="E1200" s="15" t="s">
        <v>7237</v>
      </c>
      <c r="F1200" s="15" t="s">
        <v>7238</v>
      </c>
      <c r="G1200" s="15" t="s">
        <v>7239</v>
      </c>
      <c r="H1200" s="16" t="s">
        <v>7240</v>
      </c>
    </row>
    <row r="1201" spans="1:8" ht="22.5" x14ac:dyDescent="0.3">
      <c r="A1201" s="13">
        <v>22352</v>
      </c>
      <c r="B1201" s="14" t="s">
        <v>7241</v>
      </c>
      <c r="C1201" s="15" t="s">
        <v>7242</v>
      </c>
      <c r="D1201" s="15"/>
      <c r="E1201" s="15" t="s">
        <v>7243</v>
      </c>
      <c r="F1201" s="15" t="s">
        <v>7244</v>
      </c>
      <c r="G1201" s="15" t="s">
        <v>7245</v>
      </c>
      <c r="H1201" s="16" t="s">
        <v>7246</v>
      </c>
    </row>
    <row r="1202" spans="1:8" ht="33.75" x14ac:dyDescent="0.3">
      <c r="A1202" s="13" t="s">
        <v>7247</v>
      </c>
      <c r="B1202" s="14" t="s">
        <v>7248</v>
      </c>
      <c r="C1202" s="15" t="s">
        <v>7249</v>
      </c>
      <c r="D1202" s="15"/>
      <c r="E1202" s="15"/>
      <c r="F1202" s="15" t="s">
        <v>7241</v>
      </c>
      <c r="G1202" s="15" t="s">
        <v>7250</v>
      </c>
      <c r="H1202" s="16" t="s">
        <v>7251</v>
      </c>
    </row>
    <row r="1203" spans="1:8" ht="33.75" x14ac:dyDescent="0.3">
      <c r="A1203" s="13">
        <v>22353</v>
      </c>
      <c r="B1203" s="14" t="s">
        <v>7252</v>
      </c>
      <c r="C1203" s="15" t="s">
        <v>7253</v>
      </c>
      <c r="D1203" s="15" t="s">
        <v>7254</v>
      </c>
      <c r="E1203" s="15" t="s">
        <v>7255</v>
      </c>
      <c r="F1203" s="15" t="s">
        <v>7256</v>
      </c>
      <c r="G1203" s="15" t="s">
        <v>7257</v>
      </c>
      <c r="H1203" s="16" t="s">
        <v>7252</v>
      </c>
    </row>
    <row r="1204" spans="1:8" x14ac:dyDescent="0.3">
      <c r="A1204" s="13">
        <v>22354</v>
      </c>
      <c r="B1204" s="14" t="s">
        <v>7258</v>
      </c>
      <c r="C1204" s="15" t="s">
        <v>7259</v>
      </c>
      <c r="D1204" s="15" t="s">
        <v>7260</v>
      </c>
      <c r="E1204" s="15"/>
      <c r="F1204" s="15" t="s">
        <v>7261</v>
      </c>
      <c r="G1204" s="15" t="s">
        <v>7262</v>
      </c>
      <c r="H1204" s="16" t="s">
        <v>7258</v>
      </c>
    </row>
    <row r="1205" spans="1:8" ht="22.5" x14ac:dyDescent="0.3">
      <c r="A1205" s="13">
        <v>22355</v>
      </c>
      <c r="B1205" s="14" t="s">
        <v>7263</v>
      </c>
      <c r="C1205" s="15" t="s">
        <v>7264</v>
      </c>
      <c r="D1205" s="15" t="s">
        <v>7265</v>
      </c>
      <c r="E1205" s="15" t="s">
        <v>7266</v>
      </c>
      <c r="F1205" s="15" t="s">
        <v>7267</v>
      </c>
      <c r="G1205" s="15" t="s">
        <v>7268</v>
      </c>
      <c r="H1205" s="16" t="s">
        <v>7263</v>
      </c>
    </row>
    <row r="1206" spans="1:8" ht="22.5" x14ac:dyDescent="0.3">
      <c r="A1206" s="13" t="s">
        <v>7269</v>
      </c>
      <c r="B1206" s="14" t="s">
        <v>7270</v>
      </c>
      <c r="C1206" s="15" t="s">
        <v>7271</v>
      </c>
      <c r="D1206" s="15" t="s">
        <v>7272</v>
      </c>
      <c r="E1206" s="15" t="s">
        <v>7273</v>
      </c>
      <c r="F1206" s="15" t="s">
        <v>7274</v>
      </c>
      <c r="G1206" s="15" t="s">
        <v>7275</v>
      </c>
      <c r="H1206" s="16" t="s">
        <v>7276</v>
      </c>
    </row>
    <row r="1207" spans="1:8" x14ac:dyDescent="0.3">
      <c r="A1207" s="13">
        <v>22356</v>
      </c>
      <c r="B1207" s="14" t="s">
        <v>7277</v>
      </c>
      <c r="C1207" s="15" t="s">
        <v>7278</v>
      </c>
      <c r="D1207" s="15" t="s">
        <v>7277</v>
      </c>
      <c r="E1207" s="15" t="s">
        <v>7277</v>
      </c>
      <c r="F1207" s="15" t="s">
        <v>7279</v>
      </c>
      <c r="G1207" s="15" t="s">
        <v>7280</v>
      </c>
      <c r="H1207" s="16" t="s">
        <v>7277</v>
      </c>
    </row>
    <row r="1208" spans="1:8" ht="22.5" x14ac:dyDescent="0.3">
      <c r="A1208" s="13" t="s">
        <v>7281</v>
      </c>
      <c r="B1208" s="14" t="s">
        <v>7282</v>
      </c>
      <c r="C1208" s="15" t="s">
        <v>7283</v>
      </c>
      <c r="D1208" s="15"/>
      <c r="E1208" s="15" t="s">
        <v>7284</v>
      </c>
      <c r="F1208" s="15" t="s">
        <v>57</v>
      </c>
      <c r="G1208" s="15" t="s">
        <v>7285</v>
      </c>
      <c r="H1208" s="16" t="s">
        <v>7286</v>
      </c>
    </row>
    <row r="1209" spans="1:8" ht="22.5" x14ac:dyDescent="0.3">
      <c r="A1209" s="13">
        <v>22357</v>
      </c>
      <c r="B1209" s="14" t="s">
        <v>7287</v>
      </c>
      <c r="C1209" s="15" t="s">
        <v>7288</v>
      </c>
      <c r="D1209" s="15" t="s">
        <v>7289</v>
      </c>
      <c r="E1209" s="15" t="s">
        <v>7290</v>
      </c>
      <c r="F1209" s="15" t="s">
        <v>7291</v>
      </c>
      <c r="G1209" s="15" t="s">
        <v>7292</v>
      </c>
      <c r="H1209" s="16" t="s">
        <v>7293</v>
      </c>
    </row>
    <row r="1210" spans="1:8" ht="22.5" x14ac:dyDescent="0.3">
      <c r="A1210" s="13">
        <v>22358</v>
      </c>
      <c r="B1210" s="14" t="s">
        <v>7294</v>
      </c>
      <c r="C1210" s="15" t="s">
        <v>7295</v>
      </c>
      <c r="D1210" s="15" t="s">
        <v>7296</v>
      </c>
      <c r="E1210" s="15" t="s">
        <v>7294</v>
      </c>
      <c r="F1210" s="15" t="s">
        <v>7297</v>
      </c>
      <c r="G1210" s="15" t="s">
        <v>7294</v>
      </c>
      <c r="H1210" s="16" t="s">
        <v>7298</v>
      </c>
    </row>
    <row r="1211" spans="1:8" ht="22.5" x14ac:dyDescent="0.3">
      <c r="A1211" s="13" t="s">
        <v>7299</v>
      </c>
      <c r="B1211" s="14" t="s">
        <v>7300</v>
      </c>
      <c r="C1211" s="15" t="s">
        <v>7301</v>
      </c>
      <c r="D1211" s="15" t="s">
        <v>7302</v>
      </c>
      <c r="E1211" s="15"/>
      <c r="F1211" s="15" t="s">
        <v>7303</v>
      </c>
      <c r="G1211" s="15" t="s">
        <v>7304</v>
      </c>
      <c r="H1211" s="16" t="s">
        <v>7305</v>
      </c>
    </row>
    <row r="1212" spans="1:8" ht="22.5" x14ac:dyDescent="0.3">
      <c r="A1212" s="13">
        <v>22359</v>
      </c>
      <c r="B1212" s="14" t="s">
        <v>7306</v>
      </c>
      <c r="C1212" s="15" t="s">
        <v>7307</v>
      </c>
      <c r="D1212" s="15"/>
      <c r="E1212" s="15" t="s">
        <v>7306</v>
      </c>
      <c r="F1212" s="15"/>
      <c r="G1212" s="15" t="s">
        <v>7306</v>
      </c>
      <c r="H1212" s="16" t="s">
        <v>7306</v>
      </c>
    </row>
    <row r="1213" spans="1:8" x14ac:dyDescent="0.3">
      <c r="A1213" s="13" t="s">
        <v>7308</v>
      </c>
      <c r="B1213" s="14" t="s">
        <v>7309</v>
      </c>
      <c r="C1213" s="15" t="s">
        <v>7310</v>
      </c>
      <c r="D1213" s="15"/>
      <c r="E1213" s="15"/>
      <c r="F1213" s="15"/>
      <c r="G1213" s="15" t="s">
        <v>7306</v>
      </c>
      <c r="H1213" s="16" t="s">
        <v>7311</v>
      </c>
    </row>
    <row r="1214" spans="1:8" ht="22.5" x14ac:dyDescent="0.3">
      <c r="A1214" s="13">
        <v>22360</v>
      </c>
      <c r="B1214" s="14" t="s">
        <v>7312</v>
      </c>
      <c r="C1214" s="15" t="s">
        <v>7313</v>
      </c>
      <c r="D1214" s="15"/>
      <c r="E1214" s="15" t="s">
        <v>7314</v>
      </c>
      <c r="F1214" s="15" t="s">
        <v>7315</v>
      </c>
      <c r="G1214" s="15" t="s">
        <v>7316</v>
      </c>
      <c r="H1214" s="16" t="s">
        <v>7317</v>
      </c>
    </row>
    <row r="1215" spans="1:8" ht="22.5" x14ac:dyDescent="0.3">
      <c r="A1215" s="13">
        <v>22361</v>
      </c>
      <c r="B1215" s="14" t="s">
        <v>7318</v>
      </c>
      <c r="C1215" s="15" t="s">
        <v>7319</v>
      </c>
      <c r="D1215" s="15" t="s">
        <v>7320</v>
      </c>
      <c r="E1215" s="15" t="s">
        <v>7321</v>
      </c>
      <c r="F1215" s="15" t="s">
        <v>7322</v>
      </c>
      <c r="G1215" s="15" t="s">
        <v>7323</v>
      </c>
      <c r="H1215" s="16" t="s">
        <v>7323</v>
      </c>
    </row>
    <row r="1216" spans="1:8" ht="22.5" x14ac:dyDescent="0.3">
      <c r="A1216" s="13" t="s">
        <v>7324</v>
      </c>
      <c r="B1216" s="14" t="s">
        <v>7325</v>
      </c>
      <c r="C1216" s="15" t="s">
        <v>7326</v>
      </c>
      <c r="D1216" s="15" t="s">
        <v>7327</v>
      </c>
      <c r="E1216" s="15"/>
      <c r="F1216" s="15" t="s">
        <v>7328</v>
      </c>
      <c r="G1216" s="15" t="s">
        <v>7329</v>
      </c>
      <c r="H1216" s="16" t="s">
        <v>7323</v>
      </c>
    </row>
    <row r="1217" spans="1:8" x14ac:dyDescent="0.3">
      <c r="A1217" s="13">
        <v>22362</v>
      </c>
      <c r="B1217" s="14" t="s">
        <v>7330</v>
      </c>
      <c r="C1217" s="15" t="s">
        <v>7331</v>
      </c>
      <c r="D1217" s="15"/>
      <c r="E1217" s="15" t="s">
        <v>7332</v>
      </c>
      <c r="F1217" s="15" t="s">
        <v>7333</v>
      </c>
      <c r="G1217" s="15" t="s">
        <v>7332</v>
      </c>
      <c r="H1217" s="16" t="s">
        <v>7334</v>
      </c>
    </row>
    <row r="1218" spans="1:8" ht="22.5" x14ac:dyDescent="0.3">
      <c r="A1218" s="13" t="s">
        <v>7335</v>
      </c>
      <c r="B1218" s="14" t="s">
        <v>7336</v>
      </c>
      <c r="C1218" s="15" t="s">
        <v>7337</v>
      </c>
      <c r="D1218" s="15" t="s">
        <v>7338</v>
      </c>
      <c r="E1218" s="15"/>
      <c r="F1218" s="15" t="s">
        <v>7241</v>
      </c>
      <c r="G1218" s="15" t="s">
        <v>7339</v>
      </c>
      <c r="H1218" s="16" t="s">
        <v>7340</v>
      </c>
    </row>
    <row r="1219" spans="1:8" x14ac:dyDescent="0.3">
      <c r="A1219" s="13">
        <v>22363</v>
      </c>
      <c r="B1219" s="14" t="s">
        <v>7341</v>
      </c>
      <c r="C1219" s="15" t="s">
        <v>7342</v>
      </c>
      <c r="D1219" s="15" t="s">
        <v>7343</v>
      </c>
      <c r="E1219" s="15"/>
      <c r="F1219" s="15" t="s">
        <v>7344</v>
      </c>
      <c r="G1219" s="15" t="s">
        <v>7345</v>
      </c>
      <c r="H1219" s="16" t="s">
        <v>7346</v>
      </c>
    </row>
    <row r="1220" spans="1:8" ht="22.5" x14ac:dyDescent="0.3">
      <c r="A1220" s="13">
        <v>22364</v>
      </c>
      <c r="B1220" s="14" t="s">
        <v>7347</v>
      </c>
      <c r="C1220" s="15" t="s">
        <v>7348</v>
      </c>
      <c r="D1220" s="15" t="s">
        <v>7349</v>
      </c>
      <c r="E1220" s="15" t="s">
        <v>7350</v>
      </c>
      <c r="F1220" s="15" t="s">
        <v>7350</v>
      </c>
      <c r="G1220" s="15" t="s">
        <v>7351</v>
      </c>
      <c r="H1220" s="16" t="s">
        <v>7350</v>
      </c>
    </row>
    <row r="1221" spans="1:8" ht="22.5" x14ac:dyDescent="0.3">
      <c r="A1221" s="13" t="s">
        <v>7352</v>
      </c>
      <c r="B1221" s="14" t="s">
        <v>7353</v>
      </c>
      <c r="C1221" s="15" t="s">
        <v>7354</v>
      </c>
      <c r="D1221" s="15"/>
      <c r="E1221" s="15"/>
      <c r="F1221" s="15" t="s">
        <v>7350</v>
      </c>
      <c r="G1221" s="15" t="s">
        <v>7355</v>
      </c>
      <c r="H1221" s="16" t="s">
        <v>7356</v>
      </c>
    </row>
    <row r="1222" spans="1:8" ht="22.5" x14ac:dyDescent="0.3">
      <c r="A1222" s="13">
        <v>22365</v>
      </c>
      <c r="B1222" s="14" t="s">
        <v>7357</v>
      </c>
      <c r="C1222" s="15" t="s">
        <v>7358</v>
      </c>
      <c r="D1222" s="15" t="s">
        <v>7357</v>
      </c>
      <c r="E1222" s="15" t="s">
        <v>7357</v>
      </c>
      <c r="F1222" s="15" t="s">
        <v>7357</v>
      </c>
      <c r="G1222" s="15" t="s">
        <v>7359</v>
      </c>
      <c r="H1222" s="16" t="s">
        <v>7360</v>
      </c>
    </row>
    <row r="1223" spans="1:8" ht="22.5" x14ac:dyDescent="0.3">
      <c r="A1223" s="13" t="s">
        <v>7361</v>
      </c>
      <c r="B1223" s="14" t="s">
        <v>7362</v>
      </c>
      <c r="C1223" s="15" t="s">
        <v>7363</v>
      </c>
      <c r="D1223" s="15" t="s">
        <v>7357</v>
      </c>
      <c r="E1223" s="15"/>
      <c r="F1223" s="15" t="s">
        <v>7357</v>
      </c>
      <c r="G1223" s="15" t="s">
        <v>7364</v>
      </c>
      <c r="H1223" s="16" t="s">
        <v>7365</v>
      </c>
    </row>
    <row r="1224" spans="1:8" ht="45" x14ac:dyDescent="0.3">
      <c r="A1224" s="13">
        <v>22366</v>
      </c>
      <c r="B1224" s="14" t="s">
        <v>7366</v>
      </c>
      <c r="C1224" s="15" t="s">
        <v>7367</v>
      </c>
      <c r="D1224" s="15" t="s">
        <v>7368</v>
      </c>
      <c r="E1224" s="15" t="s">
        <v>7369</v>
      </c>
      <c r="F1224" s="15" t="s">
        <v>7370</v>
      </c>
      <c r="G1224" s="15" t="s">
        <v>7371</v>
      </c>
      <c r="H1224" s="16" t="s">
        <v>7372</v>
      </c>
    </row>
    <row r="1225" spans="1:8" ht="22.5" x14ac:dyDescent="0.3">
      <c r="A1225" s="13" t="s">
        <v>7373</v>
      </c>
      <c r="B1225" s="14" t="s">
        <v>7374</v>
      </c>
      <c r="C1225" s="15" t="s">
        <v>7375</v>
      </c>
      <c r="D1225" s="15"/>
      <c r="E1225" s="15"/>
      <c r="F1225" s="15" t="s">
        <v>7376</v>
      </c>
      <c r="G1225" s="15" t="s">
        <v>7377</v>
      </c>
      <c r="H1225" s="16" t="s">
        <v>7378</v>
      </c>
    </row>
    <row r="1226" spans="1:8" ht="22.5" x14ac:dyDescent="0.3">
      <c r="A1226" s="13">
        <v>22367</v>
      </c>
      <c r="B1226" s="14" t="s">
        <v>7379</v>
      </c>
      <c r="C1226" s="15" t="s">
        <v>7380</v>
      </c>
      <c r="D1226" s="15" t="s">
        <v>7381</v>
      </c>
      <c r="E1226" s="15" t="s">
        <v>7382</v>
      </c>
      <c r="F1226" s="15" t="s">
        <v>7383</v>
      </c>
      <c r="G1226" s="15" t="s">
        <v>7384</v>
      </c>
      <c r="H1226" s="16" t="s">
        <v>7385</v>
      </c>
    </row>
    <row r="1227" spans="1:8" ht="56.25" x14ac:dyDescent="0.3">
      <c r="A1227" s="13" t="s">
        <v>7386</v>
      </c>
      <c r="B1227" s="14" t="s">
        <v>7387</v>
      </c>
      <c r="C1227" s="15" t="s">
        <v>7388</v>
      </c>
      <c r="D1227" s="15" t="s">
        <v>7381</v>
      </c>
      <c r="E1227" s="15"/>
      <c r="F1227" s="15" t="s">
        <v>7389</v>
      </c>
      <c r="G1227" s="15" t="s">
        <v>7390</v>
      </c>
      <c r="H1227" s="16" t="s">
        <v>7391</v>
      </c>
    </row>
    <row r="1228" spans="1:8" ht="45" x14ac:dyDescent="0.3">
      <c r="A1228" s="13">
        <v>22368</v>
      </c>
      <c r="B1228" s="14" t="s">
        <v>7392</v>
      </c>
      <c r="C1228" s="15" t="s">
        <v>7393</v>
      </c>
      <c r="D1228" s="15" t="s">
        <v>7394</v>
      </c>
      <c r="E1228" s="15" t="s">
        <v>7392</v>
      </c>
      <c r="F1228" s="15" t="s">
        <v>7395</v>
      </c>
      <c r="G1228" s="15" t="s">
        <v>7396</v>
      </c>
      <c r="H1228" s="16" t="s">
        <v>7392</v>
      </c>
    </row>
    <row r="1229" spans="1:8" x14ac:dyDescent="0.3">
      <c r="A1229" s="13" t="s">
        <v>7397</v>
      </c>
      <c r="B1229" s="14" t="s">
        <v>7398</v>
      </c>
      <c r="C1229" s="15" t="s">
        <v>7393</v>
      </c>
      <c r="D1229" s="15" t="s">
        <v>7398</v>
      </c>
      <c r="E1229" s="15" t="s">
        <v>7399</v>
      </c>
      <c r="F1229" s="15" t="s">
        <v>7392</v>
      </c>
      <c r="G1229" s="15" t="s">
        <v>7400</v>
      </c>
      <c r="H1229" s="16" t="s">
        <v>7401</v>
      </c>
    </row>
    <row r="1230" spans="1:8" ht="22.5" x14ac:dyDescent="0.3">
      <c r="A1230" s="13">
        <v>22369</v>
      </c>
      <c r="B1230" s="14" t="s">
        <v>7402</v>
      </c>
      <c r="C1230" s="15" t="s">
        <v>7403</v>
      </c>
      <c r="D1230" s="15"/>
      <c r="E1230" s="15" t="s">
        <v>7404</v>
      </c>
      <c r="F1230" s="15" t="s">
        <v>7241</v>
      </c>
      <c r="G1230" s="15" t="s">
        <v>7404</v>
      </c>
      <c r="H1230" s="16" t="s">
        <v>7405</v>
      </c>
    </row>
    <row r="1231" spans="1:8" ht="33.75" x14ac:dyDescent="0.3">
      <c r="A1231" s="13" t="s">
        <v>7406</v>
      </c>
      <c r="B1231" s="14" t="s">
        <v>7407</v>
      </c>
      <c r="C1231" s="15" t="s">
        <v>7408</v>
      </c>
      <c r="D1231" s="15"/>
      <c r="E1231" s="15" t="s">
        <v>7404</v>
      </c>
      <c r="F1231" s="15" t="s">
        <v>7409</v>
      </c>
      <c r="G1231" s="15" t="s">
        <v>7410</v>
      </c>
      <c r="H1231" s="16" t="s">
        <v>7411</v>
      </c>
    </row>
    <row r="1232" spans="1:8" ht="22.5" x14ac:dyDescent="0.3">
      <c r="A1232" s="13">
        <v>22370</v>
      </c>
      <c r="B1232" s="14" t="s">
        <v>7412</v>
      </c>
      <c r="C1232" s="15" t="s">
        <v>7413</v>
      </c>
      <c r="D1232" s="15" t="s">
        <v>7414</v>
      </c>
      <c r="E1232" s="15" t="s">
        <v>7415</v>
      </c>
      <c r="F1232" s="15" t="s">
        <v>7415</v>
      </c>
      <c r="G1232" s="15" t="s">
        <v>7416</v>
      </c>
      <c r="H1232" s="16" t="s">
        <v>7417</v>
      </c>
    </row>
    <row r="1233" spans="1:8" ht="33.75" x14ac:dyDescent="0.3">
      <c r="A1233" s="13">
        <v>22371</v>
      </c>
      <c r="B1233" s="14" t="s">
        <v>7418</v>
      </c>
      <c r="C1233" s="15" t="s">
        <v>7419</v>
      </c>
      <c r="D1233" s="15" t="s">
        <v>7420</v>
      </c>
      <c r="E1233" s="15" t="s">
        <v>7421</v>
      </c>
      <c r="F1233" s="15" t="s">
        <v>7422</v>
      </c>
      <c r="G1233" s="15" t="s">
        <v>7422</v>
      </c>
      <c r="H1233" s="16" t="s">
        <v>7423</v>
      </c>
    </row>
    <row r="1234" spans="1:8" ht="123.75" x14ac:dyDescent="0.3">
      <c r="A1234" s="13">
        <v>22372</v>
      </c>
      <c r="B1234" s="14" t="s">
        <v>7424</v>
      </c>
      <c r="C1234" s="15" t="s">
        <v>7425</v>
      </c>
      <c r="D1234" s="15" t="s">
        <v>7426</v>
      </c>
      <c r="E1234" s="15" t="s">
        <v>7427</v>
      </c>
      <c r="F1234" s="15" t="s">
        <v>7428</v>
      </c>
      <c r="G1234" s="15" t="s">
        <v>7429</v>
      </c>
      <c r="H1234" s="16" t="s">
        <v>7430</v>
      </c>
    </row>
    <row r="1235" spans="1:8" ht="101.25" x14ac:dyDescent="0.3">
      <c r="A1235" s="13" t="s">
        <v>7431</v>
      </c>
      <c r="B1235" s="14" t="s">
        <v>7432</v>
      </c>
      <c r="C1235" s="15" t="s">
        <v>7433</v>
      </c>
      <c r="D1235" s="15" t="s">
        <v>7434</v>
      </c>
      <c r="E1235" s="15" t="s">
        <v>7435</v>
      </c>
      <c r="F1235" s="15" t="s">
        <v>7436</v>
      </c>
      <c r="G1235" s="15" t="s">
        <v>7437</v>
      </c>
      <c r="H1235" s="16" t="s">
        <v>7435</v>
      </c>
    </row>
    <row r="1236" spans="1:8" ht="45" x14ac:dyDescent="0.3">
      <c r="A1236" s="13">
        <v>22373</v>
      </c>
      <c r="B1236" s="14" t="s">
        <v>7227</v>
      </c>
      <c r="C1236" s="15" t="s">
        <v>7438</v>
      </c>
      <c r="D1236" s="15"/>
      <c r="E1236" s="15" t="s">
        <v>7439</v>
      </c>
      <c r="F1236" s="15" t="s">
        <v>7440</v>
      </c>
      <c r="G1236" s="15" t="s">
        <v>7441</v>
      </c>
      <c r="H1236" s="16" t="s">
        <v>7442</v>
      </c>
    </row>
    <row r="1237" spans="1:8" ht="56.25" x14ac:dyDescent="0.3">
      <c r="A1237" s="13" t="s">
        <v>7443</v>
      </c>
      <c r="B1237" s="14" t="s">
        <v>7235</v>
      </c>
      <c r="C1237" s="15" t="s">
        <v>7444</v>
      </c>
      <c r="D1237" s="15" t="s">
        <v>7227</v>
      </c>
      <c r="E1237" s="15"/>
      <c r="F1237" s="15" t="s">
        <v>7445</v>
      </c>
      <c r="G1237" s="15" t="s">
        <v>7446</v>
      </c>
      <c r="H1237" s="16" t="s">
        <v>7447</v>
      </c>
    </row>
    <row r="1238" spans="1:8" ht="33.75" x14ac:dyDescent="0.3">
      <c r="A1238" s="13">
        <v>22374</v>
      </c>
      <c r="B1238" s="14" t="s">
        <v>7241</v>
      </c>
      <c r="C1238" s="15" t="s">
        <v>7448</v>
      </c>
      <c r="D1238" s="15" t="s">
        <v>7449</v>
      </c>
      <c r="E1238" s="15" t="s">
        <v>7241</v>
      </c>
      <c r="F1238" s="15" t="s">
        <v>7450</v>
      </c>
      <c r="G1238" s="15" t="s">
        <v>7451</v>
      </c>
      <c r="H1238" s="16" t="s">
        <v>7452</v>
      </c>
    </row>
    <row r="1239" spans="1:8" ht="22.5" x14ac:dyDescent="0.3">
      <c r="A1239" s="13" t="s">
        <v>7453</v>
      </c>
      <c r="B1239" s="14" t="s">
        <v>7248</v>
      </c>
      <c r="C1239" s="15" t="s">
        <v>7454</v>
      </c>
      <c r="D1239" s="15" t="s">
        <v>7455</v>
      </c>
      <c r="E1239" s="15"/>
      <c r="F1239" s="15" t="s">
        <v>7241</v>
      </c>
      <c r="G1239" s="15"/>
      <c r="H1239" s="16" t="s">
        <v>7456</v>
      </c>
    </row>
    <row r="1240" spans="1:8" ht="45" x14ac:dyDescent="0.3">
      <c r="A1240" s="13">
        <v>22375</v>
      </c>
      <c r="B1240" s="14" t="s">
        <v>7457</v>
      </c>
      <c r="C1240" s="15" t="s">
        <v>7458</v>
      </c>
      <c r="D1240" s="15" t="s">
        <v>7459</v>
      </c>
      <c r="E1240" s="15" t="s">
        <v>7460</v>
      </c>
      <c r="F1240" s="15" t="s">
        <v>7461</v>
      </c>
      <c r="G1240" s="15" t="s">
        <v>7462</v>
      </c>
      <c r="H1240" s="16" t="s">
        <v>7463</v>
      </c>
    </row>
    <row r="1241" spans="1:8" ht="33.75" x14ac:dyDescent="0.3">
      <c r="A1241" s="13">
        <v>22376</v>
      </c>
      <c r="B1241" s="14" t="s">
        <v>7464</v>
      </c>
      <c r="C1241" s="15" t="s">
        <v>7465</v>
      </c>
      <c r="D1241" s="15" t="s">
        <v>7466</v>
      </c>
      <c r="E1241" s="15" t="s">
        <v>7467</v>
      </c>
      <c r="F1241" s="15" t="s">
        <v>7468</v>
      </c>
      <c r="G1241" s="15" t="s">
        <v>7469</v>
      </c>
      <c r="H1241" s="16" t="s">
        <v>7470</v>
      </c>
    </row>
    <row r="1242" spans="1:8" ht="45" x14ac:dyDescent="0.3">
      <c r="A1242" s="13" t="s">
        <v>7471</v>
      </c>
      <c r="B1242" s="14" t="s">
        <v>7472</v>
      </c>
      <c r="C1242" s="15" t="s">
        <v>7473</v>
      </c>
      <c r="D1242" s="15"/>
      <c r="E1242" s="15" t="s">
        <v>7474</v>
      </c>
      <c r="F1242" s="15" t="s">
        <v>7475</v>
      </c>
      <c r="G1242" s="15" t="s">
        <v>7476</v>
      </c>
      <c r="H1242" s="16" t="s">
        <v>7477</v>
      </c>
    </row>
    <row r="1243" spans="1:8" ht="33.75" x14ac:dyDescent="0.3">
      <c r="A1243" s="13">
        <v>22377</v>
      </c>
      <c r="B1243" s="14" t="s">
        <v>7478</v>
      </c>
      <c r="C1243" s="15" t="s">
        <v>7479</v>
      </c>
      <c r="D1243" s="15" t="s">
        <v>7478</v>
      </c>
      <c r="E1243" s="15" t="s">
        <v>7480</v>
      </c>
      <c r="F1243" s="15" t="s">
        <v>7481</v>
      </c>
      <c r="G1243" s="15" t="s">
        <v>7482</v>
      </c>
      <c r="H1243" s="16" t="s">
        <v>7483</v>
      </c>
    </row>
    <row r="1244" spans="1:8" ht="22.5" x14ac:dyDescent="0.3">
      <c r="A1244" s="13" t="s">
        <v>7484</v>
      </c>
      <c r="B1244" s="14" t="s">
        <v>19733</v>
      </c>
      <c r="C1244" s="15" t="s">
        <v>7485</v>
      </c>
      <c r="D1244" s="15" t="s">
        <v>7486</v>
      </c>
      <c r="E1244" s="15" t="s">
        <v>7487</v>
      </c>
      <c r="F1244" s="15" t="s">
        <v>7488</v>
      </c>
      <c r="G1244" s="15" t="s">
        <v>7489</v>
      </c>
      <c r="H1244" s="16" t="s">
        <v>7490</v>
      </c>
    </row>
    <row r="1245" spans="1:8" ht="45" x14ac:dyDescent="0.3">
      <c r="A1245" s="13">
        <v>22378</v>
      </c>
      <c r="B1245" s="14" t="s">
        <v>7491</v>
      </c>
      <c r="C1245" s="15" t="s">
        <v>7492</v>
      </c>
      <c r="D1245" s="15" t="s">
        <v>7493</v>
      </c>
      <c r="E1245" s="15" t="s">
        <v>7494</v>
      </c>
      <c r="F1245" s="15" t="s">
        <v>7495</v>
      </c>
      <c r="G1245" s="15" t="s">
        <v>7496</v>
      </c>
      <c r="H1245" s="16" t="s">
        <v>7497</v>
      </c>
    </row>
    <row r="1246" spans="1:8" ht="22.5" x14ac:dyDescent="0.3">
      <c r="A1246" s="13" t="s">
        <v>7498</v>
      </c>
      <c r="B1246" s="14" t="s">
        <v>7499</v>
      </c>
      <c r="C1246" s="15" t="s">
        <v>7500</v>
      </c>
      <c r="D1246" s="15"/>
      <c r="E1246" s="15" t="s">
        <v>7501</v>
      </c>
      <c r="F1246" s="15" t="s">
        <v>7501</v>
      </c>
      <c r="G1246" s="15" t="s">
        <v>7501</v>
      </c>
      <c r="H1246" s="16" t="s">
        <v>7501</v>
      </c>
    </row>
    <row r="1247" spans="1:8" ht="33.75" x14ac:dyDescent="0.3">
      <c r="A1247" s="13">
        <v>22379</v>
      </c>
      <c r="B1247" s="14" t="s">
        <v>5866</v>
      </c>
      <c r="C1247" s="15" t="s">
        <v>7502</v>
      </c>
      <c r="D1247" s="15" t="s">
        <v>7503</v>
      </c>
      <c r="E1247" s="15" t="s">
        <v>7504</v>
      </c>
      <c r="F1247" s="15" t="s">
        <v>7505</v>
      </c>
      <c r="G1247" s="15" t="s">
        <v>7506</v>
      </c>
      <c r="H1247" s="16" t="s">
        <v>7507</v>
      </c>
    </row>
    <row r="1248" spans="1:8" ht="22.5" x14ac:dyDescent="0.3">
      <c r="A1248" s="13">
        <v>22401</v>
      </c>
      <c r="B1248" s="14" t="s">
        <v>7508</v>
      </c>
      <c r="C1248" s="15" t="s">
        <v>7509</v>
      </c>
      <c r="D1248" s="15" t="s">
        <v>7510</v>
      </c>
      <c r="E1248" s="15" t="s">
        <v>7511</v>
      </c>
      <c r="F1248" s="15" t="s">
        <v>7512</v>
      </c>
      <c r="G1248" s="15" t="s">
        <v>7511</v>
      </c>
      <c r="H1248" s="16" t="s">
        <v>7513</v>
      </c>
    </row>
    <row r="1249" spans="1:8" ht="45" x14ac:dyDescent="0.3">
      <c r="A1249" s="13">
        <v>22402</v>
      </c>
      <c r="B1249" s="14" t="s">
        <v>7514</v>
      </c>
      <c r="C1249" s="15" t="s">
        <v>7515</v>
      </c>
      <c r="D1249" s="15" t="s">
        <v>7516</v>
      </c>
      <c r="E1249" s="15" t="s">
        <v>7517</v>
      </c>
      <c r="F1249" s="15" t="s">
        <v>7517</v>
      </c>
      <c r="G1249" s="15" t="s">
        <v>7518</v>
      </c>
      <c r="H1249" s="16" t="s">
        <v>7517</v>
      </c>
    </row>
    <row r="1250" spans="1:8" ht="33.75" x14ac:dyDescent="0.3">
      <c r="A1250" s="13">
        <v>22403</v>
      </c>
      <c r="B1250" s="14" t="s">
        <v>7519</v>
      </c>
      <c r="C1250" s="15" t="s">
        <v>7520</v>
      </c>
      <c r="D1250" s="15" t="s">
        <v>7521</v>
      </c>
      <c r="E1250" s="15" t="s">
        <v>7522</v>
      </c>
      <c r="F1250" s="15" t="s">
        <v>7523</v>
      </c>
      <c r="G1250" s="15" t="s">
        <v>7524</v>
      </c>
      <c r="H1250" s="16" t="s">
        <v>7525</v>
      </c>
    </row>
    <row r="1251" spans="1:8" x14ac:dyDescent="0.3">
      <c r="A1251" s="13">
        <v>22404</v>
      </c>
      <c r="B1251" s="14" t="s">
        <v>7526</v>
      </c>
      <c r="C1251" s="15" t="s">
        <v>7527</v>
      </c>
      <c r="D1251" s="15" t="s">
        <v>7528</v>
      </c>
      <c r="E1251" s="15" t="s">
        <v>7529</v>
      </c>
      <c r="F1251" s="15" t="s">
        <v>7530</v>
      </c>
      <c r="G1251" s="15" t="s">
        <v>7531</v>
      </c>
      <c r="H1251" s="16" t="s">
        <v>7532</v>
      </c>
    </row>
    <row r="1252" spans="1:8" x14ac:dyDescent="0.3">
      <c r="A1252" s="13">
        <v>22405</v>
      </c>
      <c r="B1252" s="14" t="s">
        <v>7533</v>
      </c>
      <c r="C1252" s="15" t="s">
        <v>7534</v>
      </c>
      <c r="D1252" s="15" t="s">
        <v>7535</v>
      </c>
      <c r="E1252" s="15" t="s">
        <v>7536</v>
      </c>
      <c r="F1252" s="15" t="s">
        <v>7537</v>
      </c>
      <c r="G1252" s="15" t="s">
        <v>57</v>
      </c>
      <c r="H1252" s="16" t="s">
        <v>7538</v>
      </c>
    </row>
    <row r="1253" spans="1:8" ht="45" x14ac:dyDescent="0.3">
      <c r="A1253" s="13">
        <v>22406</v>
      </c>
      <c r="B1253" s="14" t="s">
        <v>7539</v>
      </c>
      <c r="C1253" s="15" t="s">
        <v>7540</v>
      </c>
      <c r="D1253" s="15" t="s">
        <v>7541</v>
      </c>
      <c r="E1253" s="15" t="s">
        <v>7542</v>
      </c>
      <c r="F1253" s="15" t="s">
        <v>7543</v>
      </c>
      <c r="G1253" s="15" t="s">
        <v>7544</v>
      </c>
      <c r="H1253" s="16" t="s">
        <v>7545</v>
      </c>
    </row>
    <row r="1254" spans="1:8" ht="33.75" x14ac:dyDescent="0.3">
      <c r="A1254" s="13">
        <v>22407</v>
      </c>
      <c r="B1254" s="14" t="s">
        <v>7546</v>
      </c>
      <c r="C1254" s="15" t="s">
        <v>7547</v>
      </c>
      <c r="D1254" s="15" t="s">
        <v>7548</v>
      </c>
      <c r="E1254" s="15" t="s">
        <v>7549</v>
      </c>
      <c r="F1254" s="15" t="s">
        <v>7550</v>
      </c>
      <c r="G1254" s="15" t="s">
        <v>7551</v>
      </c>
      <c r="H1254" s="16" t="s">
        <v>7552</v>
      </c>
    </row>
    <row r="1255" spans="1:8" ht="22.5" x14ac:dyDescent="0.3">
      <c r="A1255" s="13">
        <v>22408</v>
      </c>
      <c r="B1255" s="14" t="s">
        <v>7553</v>
      </c>
      <c r="C1255" s="15" t="s">
        <v>7554</v>
      </c>
      <c r="D1255" s="15" t="s">
        <v>7555</v>
      </c>
      <c r="E1255" s="15" t="s">
        <v>7553</v>
      </c>
      <c r="F1255" s="15" t="s">
        <v>7556</v>
      </c>
      <c r="G1255" s="15" t="s">
        <v>7557</v>
      </c>
      <c r="H1255" s="16" t="s">
        <v>7558</v>
      </c>
    </row>
    <row r="1256" spans="1:8" ht="45" x14ac:dyDescent="0.3">
      <c r="A1256" s="13">
        <v>22409</v>
      </c>
      <c r="B1256" s="14" t="s">
        <v>7559</v>
      </c>
      <c r="C1256" s="15" t="s">
        <v>7560</v>
      </c>
      <c r="D1256" s="15" t="s">
        <v>7561</v>
      </c>
      <c r="E1256" s="15" t="s">
        <v>7562</v>
      </c>
      <c r="F1256" s="15" t="s">
        <v>7563</v>
      </c>
      <c r="G1256" s="15" t="s">
        <v>7564</v>
      </c>
      <c r="H1256" s="16" t="s">
        <v>7565</v>
      </c>
    </row>
    <row r="1257" spans="1:8" x14ac:dyDescent="0.3">
      <c r="A1257" s="13">
        <v>22410</v>
      </c>
      <c r="B1257" s="14" t="s">
        <v>7566</v>
      </c>
      <c r="C1257" s="15" t="s">
        <v>7567</v>
      </c>
      <c r="D1257" s="15" t="s">
        <v>7568</v>
      </c>
      <c r="E1257" s="15" t="s">
        <v>7568</v>
      </c>
      <c r="F1257" s="15" t="s">
        <v>7569</v>
      </c>
      <c r="G1257" s="15" t="s">
        <v>7568</v>
      </c>
      <c r="H1257" s="16" t="s">
        <v>7570</v>
      </c>
    </row>
    <row r="1258" spans="1:8" ht="22.5" x14ac:dyDescent="0.3">
      <c r="A1258" s="13">
        <v>22411</v>
      </c>
      <c r="B1258" s="14" t="s">
        <v>7571</v>
      </c>
      <c r="C1258" s="15" t="s">
        <v>7572</v>
      </c>
      <c r="D1258" s="15" t="s">
        <v>7573</v>
      </c>
      <c r="E1258" s="15" t="s">
        <v>7574</v>
      </c>
      <c r="F1258" s="15" t="s">
        <v>7575</v>
      </c>
      <c r="G1258" s="15" t="s">
        <v>7576</v>
      </c>
      <c r="H1258" s="16" t="s">
        <v>7577</v>
      </c>
    </row>
    <row r="1259" spans="1:8" ht="33.75" x14ac:dyDescent="0.3">
      <c r="A1259" s="13">
        <v>22412</v>
      </c>
      <c r="B1259" s="14" t="s">
        <v>7578</v>
      </c>
      <c r="C1259" s="15" t="s">
        <v>7579</v>
      </c>
      <c r="D1259" s="15" t="s">
        <v>7580</v>
      </c>
      <c r="E1259" s="15" t="s">
        <v>7578</v>
      </c>
      <c r="F1259" s="15" t="s">
        <v>7581</v>
      </c>
      <c r="G1259" s="15" t="s">
        <v>7578</v>
      </c>
      <c r="H1259" s="16" t="s">
        <v>7582</v>
      </c>
    </row>
    <row r="1260" spans="1:8" ht="45" x14ac:dyDescent="0.3">
      <c r="A1260" s="13">
        <v>22413</v>
      </c>
      <c r="B1260" s="14" t="s">
        <v>7583</v>
      </c>
      <c r="C1260" s="15" t="s">
        <v>7584</v>
      </c>
      <c r="D1260" s="15" t="s">
        <v>7585</v>
      </c>
      <c r="E1260" s="15" t="s">
        <v>7583</v>
      </c>
      <c r="F1260" s="15" t="s">
        <v>7586</v>
      </c>
      <c r="G1260" s="15" t="s">
        <v>7587</v>
      </c>
      <c r="H1260" s="16" t="s">
        <v>7588</v>
      </c>
    </row>
    <row r="1261" spans="1:8" ht="22.5" x14ac:dyDescent="0.3">
      <c r="A1261" s="13">
        <v>22414</v>
      </c>
      <c r="B1261" s="14" t="s">
        <v>7589</v>
      </c>
      <c r="C1261" s="15" t="s">
        <v>7590</v>
      </c>
      <c r="D1261" s="15" t="s">
        <v>7591</v>
      </c>
      <c r="E1261" s="15" t="s">
        <v>7592</v>
      </c>
      <c r="F1261" s="15" t="s">
        <v>7589</v>
      </c>
      <c r="G1261" s="15" t="s">
        <v>7593</v>
      </c>
      <c r="H1261" s="16" t="s">
        <v>7589</v>
      </c>
    </row>
    <row r="1262" spans="1:8" x14ac:dyDescent="0.3">
      <c r="A1262" s="13">
        <v>22415</v>
      </c>
      <c r="B1262" s="14" t="s">
        <v>7594</v>
      </c>
      <c r="C1262" s="15" t="s">
        <v>7595</v>
      </c>
      <c r="D1262" s="15" t="s">
        <v>7596</v>
      </c>
      <c r="E1262" s="15" t="s">
        <v>7597</v>
      </c>
      <c r="F1262" s="15" t="s">
        <v>7594</v>
      </c>
      <c r="G1262" s="15" t="s">
        <v>7598</v>
      </c>
      <c r="H1262" s="16" t="s">
        <v>7599</v>
      </c>
    </row>
    <row r="1263" spans="1:8" ht="22.5" x14ac:dyDescent="0.3">
      <c r="A1263" s="13">
        <v>22416</v>
      </c>
      <c r="B1263" s="14" t="s">
        <v>7600</v>
      </c>
      <c r="C1263" s="15" t="s">
        <v>7601</v>
      </c>
      <c r="D1263" s="15" t="s">
        <v>7602</v>
      </c>
      <c r="E1263" s="15" t="s">
        <v>7603</v>
      </c>
      <c r="F1263" s="15" t="s">
        <v>7604</v>
      </c>
      <c r="G1263" s="15" t="s">
        <v>7605</v>
      </c>
      <c r="H1263" s="16" t="s">
        <v>7606</v>
      </c>
    </row>
    <row r="1264" spans="1:8" ht="22.5" x14ac:dyDescent="0.3">
      <c r="A1264" s="13">
        <v>22417</v>
      </c>
      <c r="B1264" s="14" t="s">
        <v>7607</v>
      </c>
      <c r="C1264" s="15" t="s">
        <v>7608</v>
      </c>
      <c r="D1264" s="15" t="s">
        <v>7609</v>
      </c>
      <c r="E1264" s="15" t="s">
        <v>7610</v>
      </c>
      <c r="F1264" s="15"/>
      <c r="G1264" s="15" t="s">
        <v>7611</v>
      </c>
      <c r="H1264" s="16" t="s">
        <v>7612</v>
      </c>
    </row>
    <row r="1265" spans="1:8" ht="33.75" x14ac:dyDescent="0.3">
      <c r="A1265" s="13">
        <v>22418</v>
      </c>
      <c r="B1265" s="14" t="s">
        <v>7613</v>
      </c>
      <c r="C1265" s="15" t="s">
        <v>7614</v>
      </c>
      <c r="D1265" s="15" t="s">
        <v>7615</v>
      </c>
      <c r="E1265" s="15" t="s">
        <v>7616</v>
      </c>
      <c r="F1265" s="15" t="s">
        <v>7617</v>
      </c>
      <c r="G1265" s="15" t="s">
        <v>7618</v>
      </c>
      <c r="H1265" s="16" t="s">
        <v>7619</v>
      </c>
    </row>
    <row r="1266" spans="1:8" x14ac:dyDescent="0.3">
      <c r="A1266" s="13">
        <v>22419</v>
      </c>
      <c r="B1266" s="14" t="s">
        <v>7620</v>
      </c>
      <c r="C1266" s="15" t="s">
        <v>57</v>
      </c>
      <c r="D1266" s="15" t="s">
        <v>57</v>
      </c>
      <c r="E1266" s="15"/>
      <c r="F1266" s="15"/>
      <c r="G1266" s="15" t="s">
        <v>57</v>
      </c>
      <c r="H1266" s="16" t="s">
        <v>57</v>
      </c>
    </row>
    <row r="1267" spans="1:8" ht="22.5" x14ac:dyDescent="0.3">
      <c r="A1267" s="13">
        <v>22420</v>
      </c>
      <c r="B1267" s="14" t="s">
        <v>7621</v>
      </c>
      <c r="C1267" s="15" t="s">
        <v>7622</v>
      </c>
      <c r="D1267" s="15" t="s">
        <v>7623</v>
      </c>
      <c r="E1267" s="15" t="s">
        <v>7624</v>
      </c>
      <c r="F1267" s="15" t="s">
        <v>7625</v>
      </c>
      <c r="G1267" s="15" t="s">
        <v>7626</v>
      </c>
      <c r="H1267" s="16" t="s">
        <v>7627</v>
      </c>
    </row>
    <row r="1268" spans="1:8" x14ac:dyDescent="0.3">
      <c r="A1268" s="13">
        <v>22421</v>
      </c>
      <c r="B1268" s="14" t="s">
        <v>7628</v>
      </c>
      <c r="C1268" s="15" t="s">
        <v>7629</v>
      </c>
      <c r="D1268" s="15" t="s">
        <v>7630</v>
      </c>
      <c r="E1268" s="15" t="s">
        <v>7631</v>
      </c>
      <c r="F1268" s="15" t="s">
        <v>7632</v>
      </c>
      <c r="G1268" s="15" t="s">
        <v>7633</v>
      </c>
      <c r="H1268" s="16" t="s">
        <v>7628</v>
      </c>
    </row>
    <row r="1269" spans="1:8" ht="45" x14ac:dyDescent="0.3">
      <c r="A1269" s="13" t="s">
        <v>7634</v>
      </c>
      <c r="B1269" s="14" t="s">
        <v>7635</v>
      </c>
      <c r="C1269" s="15" t="s">
        <v>57</v>
      </c>
      <c r="D1269" s="15" t="s">
        <v>7636</v>
      </c>
      <c r="E1269" s="15"/>
      <c r="F1269" s="15"/>
      <c r="G1269" s="15" t="s">
        <v>57</v>
      </c>
      <c r="H1269" s="16" t="s">
        <v>7637</v>
      </c>
    </row>
    <row r="1270" spans="1:8" ht="33.75" x14ac:dyDescent="0.3">
      <c r="A1270" s="13" t="s">
        <v>7638</v>
      </c>
      <c r="B1270" s="14" t="s">
        <v>7639</v>
      </c>
      <c r="C1270" s="15" t="s">
        <v>7640</v>
      </c>
      <c r="D1270" s="15"/>
      <c r="E1270" s="15" t="s">
        <v>7641</v>
      </c>
      <c r="F1270" s="15"/>
      <c r="G1270" s="15" t="s">
        <v>57</v>
      </c>
      <c r="H1270" s="16" t="s">
        <v>7642</v>
      </c>
    </row>
    <row r="1271" spans="1:8" ht="33.75" x14ac:dyDescent="0.3">
      <c r="A1271" s="13" t="s">
        <v>7643</v>
      </c>
      <c r="B1271" s="14" t="s">
        <v>7644</v>
      </c>
      <c r="C1271" s="15" t="s">
        <v>7645</v>
      </c>
      <c r="D1271" s="15" t="s">
        <v>7646</v>
      </c>
      <c r="E1271" s="15" t="s">
        <v>7647</v>
      </c>
      <c r="F1271" s="15" t="s">
        <v>7648</v>
      </c>
      <c r="G1271" s="15" t="s">
        <v>57</v>
      </c>
      <c r="H1271" s="16" t="s">
        <v>7649</v>
      </c>
    </row>
    <row r="1272" spans="1:8" ht="33.75" x14ac:dyDescent="0.3">
      <c r="A1272" s="13" t="s">
        <v>7650</v>
      </c>
      <c r="B1272" s="14" t="s">
        <v>7651</v>
      </c>
      <c r="C1272" s="15" t="s">
        <v>7652</v>
      </c>
      <c r="D1272" s="15" t="s">
        <v>7653</v>
      </c>
      <c r="E1272" s="15" t="s">
        <v>7654</v>
      </c>
      <c r="F1272" s="15"/>
      <c r="G1272" s="15" t="s">
        <v>7655</v>
      </c>
      <c r="H1272" s="16" t="s">
        <v>7656</v>
      </c>
    </row>
    <row r="1273" spans="1:8" x14ac:dyDescent="0.3">
      <c r="A1273" s="13">
        <v>22422</v>
      </c>
      <c r="B1273" s="14" t="s">
        <v>7657</v>
      </c>
      <c r="C1273" s="15" t="s">
        <v>7658</v>
      </c>
      <c r="D1273" s="15" t="s">
        <v>7659</v>
      </c>
      <c r="E1273" s="15" t="s">
        <v>7660</v>
      </c>
      <c r="F1273" s="15" t="s">
        <v>7659</v>
      </c>
      <c r="G1273" s="15" t="s">
        <v>7661</v>
      </c>
      <c r="H1273" s="16" t="s">
        <v>7659</v>
      </c>
    </row>
    <row r="1274" spans="1:8" ht="33.75" x14ac:dyDescent="0.3">
      <c r="A1274" s="13" t="s">
        <v>7662</v>
      </c>
      <c r="B1274" s="14" t="s">
        <v>19724</v>
      </c>
      <c r="C1274" s="15" t="s">
        <v>7663</v>
      </c>
      <c r="D1274" s="15" t="s">
        <v>7664</v>
      </c>
      <c r="E1274" s="15" t="s">
        <v>7665</v>
      </c>
      <c r="F1274" s="15" t="s">
        <v>7666</v>
      </c>
      <c r="G1274" s="15" t="s">
        <v>7667</v>
      </c>
      <c r="H1274" s="16" t="s">
        <v>7668</v>
      </c>
    </row>
    <row r="1275" spans="1:8" ht="56.25" x14ac:dyDescent="0.3">
      <c r="A1275" s="13">
        <v>22423</v>
      </c>
      <c r="B1275" s="14" t="s">
        <v>7669</v>
      </c>
      <c r="C1275" s="15" t="s">
        <v>7670</v>
      </c>
      <c r="D1275" s="15" t="s">
        <v>7671</v>
      </c>
      <c r="E1275" s="15" t="s">
        <v>7672</v>
      </c>
      <c r="F1275" s="15" t="s">
        <v>7673</v>
      </c>
      <c r="G1275" s="15" t="s">
        <v>7674</v>
      </c>
      <c r="H1275" s="16" t="s">
        <v>7672</v>
      </c>
    </row>
    <row r="1276" spans="1:8" x14ac:dyDescent="0.3">
      <c r="A1276" s="13">
        <v>22424</v>
      </c>
      <c r="B1276" s="14" t="s">
        <v>7675</v>
      </c>
      <c r="C1276" s="15" t="s">
        <v>7676</v>
      </c>
      <c r="D1276" s="15" t="s">
        <v>7677</v>
      </c>
      <c r="E1276" s="15" t="s">
        <v>7678</v>
      </c>
      <c r="F1276" s="15" t="s">
        <v>7678</v>
      </c>
      <c r="G1276" s="15" t="s">
        <v>7678</v>
      </c>
      <c r="H1276" s="16" t="s">
        <v>7678</v>
      </c>
    </row>
    <row r="1277" spans="1:8" ht="22.5" x14ac:dyDescent="0.3">
      <c r="A1277" s="13">
        <v>22425</v>
      </c>
      <c r="B1277" s="14" t="s">
        <v>7679</v>
      </c>
      <c r="C1277" s="15" t="s">
        <v>7680</v>
      </c>
      <c r="D1277" s="15" t="s">
        <v>7681</v>
      </c>
      <c r="E1277" s="15" t="s">
        <v>7682</v>
      </c>
      <c r="F1277" s="15" t="s">
        <v>7683</v>
      </c>
      <c r="G1277" s="15" t="s">
        <v>7684</v>
      </c>
      <c r="H1277" s="16" t="s">
        <v>7685</v>
      </c>
    </row>
    <row r="1278" spans="1:8" x14ac:dyDescent="0.3">
      <c r="A1278" s="13">
        <v>22426</v>
      </c>
      <c r="B1278" s="14" t="s">
        <v>7686</v>
      </c>
      <c r="C1278" s="15" t="s">
        <v>7687</v>
      </c>
      <c r="D1278" s="15" t="s">
        <v>7686</v>
      </c>
      <c r="E1278" s="15" t="s">
        <v>7688</v>
      </c>
      <c r="F1278" s="15" t="s">
        <v>7689</v>
      </c>
      <c r="G1278" s="15" t="s">
        <v>7686</v>
      </c>
      <c r="H1278" s="16" t="s">
        <v>7686</v>
      </c>
    </row>
    <row r="1279" spans="1:8" x14ac:dyDescent="0.3">
      <c r="A1279" s="13">
        <v>22427</v>
      </c>
      <c r="B1279" s="14" t="s">
        <v>7690</v>
      </c>
      <c r="C1279" s="15" t="s">
        <v>7691</v>
      </c>
      <c r="D1279" s="15" t="s">
        <v>7692</v>
      </c>
      <c r="E1279" s="15" t="s">
        <v>7692</v>
      </c>
      <c r="F1279" s="15" t="s">
        <v>7692</v>
      </c>
      <c r="G1279" s="15" t="s">
        <v>7692</v>
      </c>
      <c r="H1279" s="16" t="s">
        <v>7693</v>
      </c>
    </row>
    <row r="1280" spans="1:8" ht="22.5" x14ac:dyDescent="0.3">
      <c r="A1280" s="13">
        <v>22428</v>
      </c>
      <c r="B1280" s="14" t="s">
        <v>7694</v>
      </c>
      <c r="C1280" s="15" t="s">
        <v>7695</v>
      </c>
      <c r="D1280" s="15" t="s">
        <v>7696</v>
      </c>
      <c r="E1280" s="15" t="s">
        <v>7694</v>
      </c>
      <c r="F1280" s="15" t="s">
        <v>7697</v>
      </c>
      <c r="G1280" s="15" t="s">
        <v>7698</v>
      </c>
      <c r="H1280" s="16" t="s">
        <v>7699</v>
      </c>
    </row>
    <row r="1281" spans="1:8" ht="78.75" x14ac:dyDescent="0.3">
      <c r="A1281" s="13">
        <v>22429</v>
      </c>
      <c r="B1281" s="14" t="s">
        <v>7700</v>
      </c>
      <c r="C1281" s="15" t="s">
        <v>7701</v>
      </c>
      <c r="D1281" s="15" t="s">
        <v>7702</v>
      </c>
      <c r="E1281" s="15" t="s">
        <v>7703</v>
      </c>
      <c r="F1281" s="15" t="s">
        <v>7704</v>
      </c>
      <c r="G1281" s="15" t="s">
        <v>7705</v>
      </c>
      <c r="H1281" s="16" t="s">
        <v>7706</v>
      </c>
    </row>
    <row r="1282" spans="1:8" ht="22.5" x14ac:dyDescent="0.3">
      <c r="A1282" s="13" t="s">
        <v>7707</v>
      </c>
      <c r="B1282" s="14" t="s">
        <v>7708</v>
      </c>
      <c r="C1282" s="15" t="s">
        <v>7709</v>
      </c>
      <c r="D1282" s="15" t="s">
        <v>7710</v>
      </c>
      <c r="E1282" s="15" t="s">
        <v>7704</v>
      </c>
      <c r="F1282" s="15" t="s">
        <v>7711</v>
      </c>
      <c r="G1282" s="15" t="s">
        <v>7712</v>
      </c>
      <c r="H1282" s="16" t="s">
        <v>7713</v>
      </c>
    </row>
    <row r="1283" spans="1:8" ht="45" x14ac:dyDescent="0.3">
      <c r="A1283" s="13" t="s">
        <v>7714</v>
      </c>
      <c r="B1283" s="14" t="s">
        <v>7715</v>
      </c>
      <c r="C1283" s="15" t="s">
        <v>7716</v>
      </c>
      <c r="D1283" s="15" t="s">
        <v>7717</v>
      </c>
      <c r="E1283" s="15" t="s">
        <v>7715</v>
      </c>
      <c r="F1283" s="15" t="s">
        <v>7718</v>
      </c>
      <c r="G1283" s="15" t="s">
        <v>7719</v>
      </c>
      <c r="H1283" s="16" t="s">
        <v>7715</v>
      </c>
    </row>
    <row r="1284" spans="1:8" ht="22.5" x14ac:dyDescent="0.3">
      <c r="A1284" s="13" t="s">
        <v>7720</v>
      </c>
      <c r="B1284" s="14" t="s">
        <v>7721</v>
      </c>
      <c r="C1284" s="15" t="s">
        <v>7722</v>
      </c>
      <c r="D1284" s="15" t="s">
        <v>7723</v>
      </c>
      <c r="E1284" s="15" t="s">
        <v>7721</v>
      </c>
      <c r="F1284" s="15"/>
      <c r="G1284" s="15"/>
      <c r="H1284" s="16" t="s">
        <v>7721</v>
      </c>
    </row>
    <row r="1285" spans="1:8" ht="45" x14ac:dyDescent="0.3">
      <c r="A1285" s="13" t="s">
        <v>7724</v>
      </c>
      <c r="B1285" s="14" t="s">
        <v>7725</v>
      </c>
      <c r="C1285" s="15" t="s">
        <v>7726</v>
      </c>
      <c r="D1285" s="15" t="s">
        <v>7727</v>
      </c>
      <c r="E1285" s="15" t="s">
        <v>7728</v>
      </c>
      <c r="F1285" s="15" t="s">
        <v>7729</v>
      </c>
      <c r="G1285" s="15" t="s">
        <v>7730</v>
      </c>
      <c r="H1285" s="16" t="s">
        <v>7731</v>
      </c>
    </row>
    <row r="1286" spans="1:8" ht="22.5" x14ac:dyDescent="0.3">
      <c r="A1286" s="13" t="s">
        <v>7732</v>
      </c>
      <c r="B1286" s="14" t="s">
        <v>7733</v>
      </c>
      <c r="C1286" s="15" t="s">
        <v>7734</v>
      </c>
      <c r="D1286" s="15" t="s">
        <v>7735</v>
      </c>
      <c r="E1286" s="15" t="s">
        <v>7736</v>
      </c>
      <c r="F1286" s="15" t="s">
        <v>7737</v>
      </c>
      <c r="G1286" s="15" t="s">
        <v>7738</v>
      </c>
      <c r="H1286" s="16" t="s">
        <v>7739</v>
      </c>
    </row>
    <row r="1287" spans="1:8" ht="33.75" x14ac:dyDescent="0.3">
      <c r="A1287" s="13">
        <v>22430</v>
      </c>
      <c r="B1287" s="14" t="s">
        <v>7740</v>
      </c>
      <c r="C1287" s="15" t="s">
        <v>7741</v>
      </c>
      <c r="D1287" s="15" t="s">
        <v>7742</v>
      </c>
      <c r="E1287" s="15"/>
      <c r="F1287" s="15" t="s">
        <v>7743</v>
      </c>
      <c r="G1287" s="15" t="s">
        <v>7744</v>
      </c>
      <c r="H1287" s="16" t="s">
        <v>7745</v>
      </c>
    </row>
    <row r="1288" spans="1:8" x14ac:dyDescent="0.3">
      <c r="A1288" s="13">
        <v>22431</v>
      </c>
      <c r="B1288" s="14" t="s">
        <v>7746</v>
      </c>
      <c r="C1288" s="15" t="s">
        <v>57</v>
      </c>
      <c r="D1288" s="15" t="s">
        <v>7747</v>
      </c>
      <c r="E1288" s="15" t="s">
        <v>7746</v>
      </c>
      <c r="F1288" s="15" t="s">
        <v>57</v>
      </c>
      <c r="G1288" s="15" t="s">
        <v>57</v>
      </c>
      <c r="H1288" s="16" t="s">
        <v>57</v>
      </c>
    </row>
    <row r="1289" spans="1:8" x14ac:dyDescent="0.3">
      <c r="A1289" s="13">
        <v>22432</v>
      </c>
      <c r="B1289" s="14" t="s">
        <v>7748</v>
      </c>
      <c r="C1289" s="15" t="s">
        <v>7749</v>
      </c>
      <c r="D1289" s="15" t="s">
        <v>7750</v>
      </c>
      <c r="E1289" s="15" t="s">
        <v>7751</v>
      </c>
      <c r="F1289" s="15" t="s">
        <v>7752</v>
      </c>
      <c r="G1289" s="15" t="s">
        <v>7753</v>
      </c>
      <c r="H1289" s="16" t="s">
        <v>7754</v>
      </c>
    </row>
    <row r="1290" spans="1:8" ht="33.75" x14ac:dyDescent="0.3">
      <c r="A1290" s="13">
        <v>22433</v>
      </c>
      <c r="B1290" s="14" t="s">
        <v>7755</v>
      </c>
      <c r="C1290" s="15" t="s">
        <v>7756</v>
      </c>
      <c r="D1290" s="15" t="s">
        <v>7757</v>
      </c>
      <c r="E1290" s="15" t="s">
        <v>7758</v>
      </c>
      <c r="F1290" s="15" t="s">
        <v>7759</v>
      </c>
      <c r="G1290" s="15" t="s">
        <v>7760</v>
      </c>
      <c r="H1290" s="16" t="s">
        <v>7761</v>
      </c>
    </row>
    <row r="1291" spans="1:8" ht="45" x14ac:dyDescent="0.3">
      <c r="A1291" s="13">
        <v>22434</v>
      </c>
      <c r="B1291" s="14" t="s">
        <v>7762</v>
      </c>
      <c r="C1291" s="15" t="s">
        <v>7763</v>
      </c>
      <c r="D1291" s="15" t="s">
        <v>7762</v>
      </c>
      <c r="E1291" s="15" t="s">
        <v>7762</v>
      </c>
      <c r="F1291" s="15" t="s">
        <v>7764</v>
      </c>
      <c r="G1291" s="15" t="s">
        <v>7765</v>
      </c>
      <c r="H1291" s="16" t="s">
        <v>7762</v>
      </c>
    </row>
    <row r="1292" spans="1:8" x14ac:dyDescent="0.3">
      <c r="A1292" s="13">
        <v>22435</v>
      </c>
      <c r="B1292" s="14" t="s">
        <v>7766</v>
      </c>
      <c r="C1292" s="15" t="s">
        <v>7767</v>
      </c>
      <c r="D1292" s="15" t="s">
        <v>7768</v>
      </c>
      <c r="E1292" s="15" t="s">
        <v>7769</v>
      </c>
      <c r="F1292" s="15" t="s">
        <v>7769</v>
      </c>
      <c r="G1292" s="15" t="s">
        <v>7770</v>
      </c>
      <c r="H1292" s="16" t="s">
        <v>7771</v>
      </c>
    </row>
    <row r="1293" spans="1:8" x14ac:dyDescent="0.3">
      <c r="A1293" s="13">
        <v>22436</v>
      </c>
      <c r="B1293" s="14" t="s">
        <v>7772</v>
      </c>
      <c r="C1293" s="15" t="s">
        <v>57</v>
      </c>
      <c r="D1293" s="15" t="s">
        <v>7773</v>
      </c>
      <c r="E1293" s="15" t="s">
        <v>57</v>
      </c>
      <c r="F1293" s="15" t="s">
        <v>7774</v>
      </c>
      <c r="G1293" s="15" t="s">
        <v>7775</v>
      </c>
      <c r="H1293" s="16" t="s">
        <v>3728</v>
      </c>
    </row>
    <row r="1294" spans="1:8" x14ac:dyDescent="0.3">
      <c r="A1294" s="13">
        <v>22437</v>
      </c>
      <c r="B1294" s="14" t="s">
        <v>7776</v>
      </c>
      <c r="C1294" s="15" t="s">
        <v>7777</v>
      </c>
      <c r="D1294" s="15" t="s">
        <v>7778</v>
      </c>
      <c r="E1294" s="15" t="s">
        <v>7779</v>
      </c>
      <c r="F1294" s="15" t="s">
        <v>7780</v>
      </c>
      <c r="G1294" s="15" t="s">
        <v>7776</v>
      </c>
      <c r="H1294" s="16" t="s">
        <v>7781</v>
      </c>
    </row>
    <row r="1295" spans="1:8" x14ac:dyDescent="0.3">
      <c r="A1295" s="13">
        <v>22438</v>
      </c>
      <c r="B1295" s="14" t="s">
        <v>7782</v>
      </c>
      <c r="C1295" s="15" t="s">
        <v>7783</v>
      </c>
      <c r="D1295" s="15" t="s">
        <v>7784</v>
      </c>
      <c r="E1295" s="15" t="s">
        <v>7785</v>
      </c>
      <c r="F1295" s="15" t="s">
        <v>57</v>
      </c>
      <c r="G1295" s="15" t="s">
        <v>57</v>
      </c>
      <c r="H1295" s="16" t="s">
        <v>7786</v>
      </c>
    </row>
    <row r="1296" spans="1:8" ht="56.25" x14ac:dyDescent="0.3">
      <c r="A1296" s="13">
        <v>22501</v>
      </c>
      <c r="B1296" s="14" t="s">
        <v>7787</v>
      </c>
      <c r="C1296" s="15" t="s">
        <v>7788</v>
      </c>
      <c r="D1296" s="15" t="s">
        <v>7789</v>
      </c>
      <c r="E1296" s="15" t="s">
        <v>7790</v>
      </c>
      <c r="F1296" s="15" t="s">
        <v>7791</v>
      </c>
      <c r="G1296" s="15" t="s">
        <v>7792</v>
      </c>
      <c r="H1296" s="16" t="s">
        <v>7793</v>
      </c>
    </row>
    <row r="1297" spans="1:8" x14ac:dyDescent="0.3">
      <c r="A1297" s="13">
        <v>22502</v>
      </c>
      <c r="B1297" s="14" t="s">
        <v>7794</v>
      </c>
      <c r="C1297" s="15" t="s">
        <v>7795</v>
      </c>
      <c r="D1297" s="15" t="s">
        <v>7796</v>
      </c>
      <c r="E1297" s="15" t="s">
        <v>7797</v>
      </c>
      <c r="F1297" s="15" t="s">
        <v>7798</v>
      </c>
      <c r="G1297" s="15" t="s">
        <v>7799</v>
      </c>
      <c r="H1297" s="16" t="s">
        <v>7800</v>
      </c>
    </row>
    <row r="1298" spans="1:8" ht="22.5" x14ac:dyDescent="0.3">
      <c r="A1298" s="13">
        <v>22503</v>
      </c>
      <c r="B1298" s="14" t="s">
        <v>7801</v>
      </c>
      <c r="C1298" s="15" t="s">
        <v>7802</v>
      </c>
      <c r="D1298" s="15" t="s">
        <v>7801</v>
      </c>
      <c r="E1298" s="15" t="s">
        <v>7803</v>
      </c>
      <c r="F1298" s="15" t="s">
        <v>7804</v>
      </c>
      <c r="G1298" s="15" t="s">
        <v>7805</v>
      </c>
      <c r="H1298" s="16" t="s">
        <v>7803</v>
      </c>
    </row>
    <row r="1299" spans="1:8" ht="22.5" x14ac:dyDescent="0.3">
      <c r="A1299" s="13" t="s">
        <v>7806</v>
      </c>
      <c r="B1299" s="14" t="s">
        <v>7807</v>
      </c>
      <c r="C1299" s="15" t="s">
        <v>7808</v>
      </c>
      <c r="D1299" s="15" t="s">
        <v>7809</v>
      </c>
      <c r="E1299" s="15" t="s">
        <v>7807</v>
      </c>
      <c r="F1299" s="15" t="s">
        <v>7810</v>
      </c>
      <c r="G1299" s="15" t="s">
        <v>7811</v>
      </c>
      <c r="H1299" s="16" t="s">
        <v>7807</v>
      </c>
    </row>
    <row r="1300" spans="1:8" ht="33.75" x14ac:dyDescent="0.3">
      <c r="A1300" s="13">
        <v>22504</v>
      </c>
      <c r="B1300" s="14" t="s">
        <v>7812</v>
      </c>
      <c r="C1300" s="15" t="s">
        <v>7813</v>
      </c>
      <c r="D1300" s="15" t="s">
        <v>7814</v>
      </c>
      <c r="E1300" s="15" t="s">
        <v>7815</v>
      </c>
      <c r="F1300" s="15" t="s">
        <v>7816</v>
      </c>
      <c r="G1300" s="15" t="s">
        <v>7817</v>
      </c>
      <c r="H1300" s="16" t="s">
        <v>7818</v>
      </c>
    </row>
    <row r="1301" spans="1:8" ht="45" x14ac:dyDescent="0.3">
      <c r="A1301" s="13">
        <v>22505</v>
      </c>
      <c r="B1301" s="14" t="s">
        <v>7819</v>
      </c>
      <c r="C1301" s="15" t="s">
        <v>7820</v>
      </c>
      <c r="D1301" s="15"/>
      <c r="E1301" s="15" t="s">
        <v>7821</v>
      </c>
      <c r="F1301" s="15" t="s">
        <v>7822</v>
      </c>
      <c r="G1301" s="15" t="s">
        <v>7823</v>
      </c>
      <c r="H1301" s="16" t="s">
        <v>7824</v>
      </c>
    </row>
    <row r="1302" spans="1:8" ht="33.75" x14ac:dyDescent="0.3">
      <c r="A1302" s="13">
        <v>22506</v>
      </c>
      <c r="B1302" s="14" t="s">
        <v>7825</v>
      </c>
      <c r="C1302" s="15" t="s">
        <v>7826</v>
      </c>
      <c r="D1302" s="15" t="s">
        <v>7827</v>
      </c>
      <c r="E1302" s="15" t="s">
        <v>7828</v>
      </c>
      <c r="F1302" s="15" t="s">
        <v>7829</v>
      </c>
      <c r="G1302" s="15" t="s">
        <v>7830</v>
      </c>
      <c r="H1302" s="16" t="s">
        <v>7831</v>
      </c>
    </row>
    <row r="1303" spans="1:8" ht="33.75" x14ac:dyDescent="0.3">
      <c r="A1303" s="13" t="s">
        <v>7832</v>
      </c>
      <c r="B1303" s="14" t="s">
        <v>7833</v>
      </c>
      <c r="C1303" s="15" t="s">
        <v>7834</v>
      </c>
      <c r="D1303" s="15" t="s">
        <v>7835</v>
      </c>
      <c r="E1303" s="15" t="s">
        <v>7836</v>
      </c>
      <c r="F1303" s="15" t="s">
        <v>7837</v>
      </c>
      <c r="G1303" s="15" t="s">
        <v>7838</v>
      </c>
      <c r="H1303" s="16" t="s">
        <v>7839</v>
      </c>
    </row>
    <row r="1304" spans="1:8" ht="56.25" x14ac:dyDescent="0.3">
      <c r="A1304" s="13">
        <v>22507</v>
      </c>
      <c r="B1304" s="14" t="s">
        <v>7840</v>
      </c>
      <c r="C1304" s="15" t="s">
        <v>7841</v>
      </c>
      <c r="D1304" s="15" t="s">
        <v>7842</v>
      </c>
      <c r="E1304" s="15" t="s">
        <v>7843</v>
      </c>
      <c r="F1304" s="15" t="s">
        <v>7844</v>
      </c>
      <c r="G1304" s="15" t="s">
        <v>7845</v>
      </c>
      <c r="H1304" s="16" t="s">
        <v>7846</v>
      </c>
    </row>
    <row r="1305" spans="1:8" ht="22.5" x14ac:dyDescent="0.3">
      <c r="A1305" s="13">
        <v>22508</v>
      </c>
      <c r="B1305" s="14" t="s">
        <v>7847</v>
      </c>
      <c r="C1305" s="15" t="s">
        <v>7848</v>
      </c>
      <c r="D1305" s="15" t="s">
        <v>7849</v>
      </c>
      <c r="E1305" s="15" t="s">
        <v>7850</v>
      </c>
      <c r="F1305" s="15" t="s">
        <v>7851</v>
      </c>
      <c r="G1305" s="15" t="s">
        <v>7852</v>
      </c>
      <c r="H1305" s="16" t="s">
        <v>7853</v>
      </c>
    </row>
    <row r="1306" spans="1:8" ht="22.5" x14ac:dyDescent="0.3">
      <c r="A1306" s="13" t="s">
        <v>7854</v>
      </c>
      <c r="B1306" s="14" t="s">
        <v>7855</v>
      </c>
      <c r="C1306" s="15" t="s">
        <v>7856</v>
      </c>
      <c r="D1306" s="15" t="s">
        <v>7857</v>
      </c>
      <c r="E1306" s="15" t="s">
        <v>7858</v>
      </c>
      <c r="F1306" s="15"/>
      <c r="G1306" s="15" t="s">
        <v>57</v>
      </c>
      <c r="H1306" s="16" t="s">
        <v>7859</v>
      </c>
    </row>
    <row r="1307" spans="1:8" ht="22.5" x14ac:dyDescent="0.3">
      <c r="A1307" s="13" t="s">
        <v>7860</v>
      </c>
      <c r="B1307" s="14" t="s">
        <v>7861</v>
      </c>
      <c r="C1307" s="15" t="s">
        <v>7862</v>
      </c>
      <c r="D1307" s="15" t="s">
        <v>7863</v>
      </c>
      <c r="E1307" s="15" t="s">
        <v>7858</v>
      </c>
      <c r="F1307" s="15" t="s">
        <v>7864</v>
      </c>
      <c r="G1307" s="15" t="s">
        <v>57</v>
      </c>
      <c r="H1307" s="16" t="s">
        <v>7865</v>
      </c>
    </row>
    <row r="1308" spans="1:8" ht="22.5" x14ac:dyDescent="0.3">
      <c r="A1308" s="13">
        <v>22509</v>
      </c>
      <c r="B1308" s="14" t="s">
        <v>7866</v>
      </c>
      <c r="C1308" s="15" t="s">
        <v>7867</v>
      </c>
      <c r="D1308" s="15" t="s">
        <v>7868</v>
      </c>
      <c r="E1308" s="15" t="s">
        <v>7866</v>
      </c>
      <c r="F1308" s="15" t="s">
        <v>7869</v>
      </c>
      <c r="G1308" s="15" t="s">
        <v>7870</v>
      </c>
      <c r="H1308" s="16" t="s">
        <v>7871</v>
      </c>
    </row>
    <row r="1309" spans="1:8" ht="22.5" x14ac:dyDescent="0.3">
      <c r="A1309" s="13">
        <v>22510</v>
      </c>
      <c r="B1309" s="14" t="s">
        <v>7872</v>
      </c>
      <c r="C1309" s="15" t="s">
        <v>7873</v>
      </c>
      <c r="D1309" s="15" t="s">
        <v>7874</v>
      </c>
      <c r="E1309" s="15" t="s">
        <v>7875</v>
      </c>
      <c r="F1309" s="15" t="s">
        <v>7876</v>
      </c>
      <c r="G1309" s="15" t="s">
        <v>57</v>
      </c>
      <c r="H1309" s="16" t="s">
        <v>7877</v>
      </c>
    </row>
    <row r="1310" spans="1:8" ht="22.5" x14ac:dyDescent="0.3">
      <c r="A1310" s="13">
        <v>22511</v>
      </c>
      <c r="B1310" s="14" t="s">
        <v>5656</v>
      </c>
      <c r="C1310" s="15" t="s">
        <v>5657</v>
      </c>
      <c r="D1310" s="15" t="s">
        <v>7878</v>
      </c>
      <c r="E1310" s="15" t="s">
        <v>7879</v>
      </c>
      <c r="F1310" s="15" t="s">
        <v>7880</v>
      </c>
      <c r="G1310" s="15" t="s">
        <v>7881</v>
      </c>
      <c r="H1310" s="16" t="s">
        <v>7882</v>
      </c>
    </row>
    <row r="1311" spans="1:8" ht="56.25" x14ac:dyDescent="0.3">
      <c r="A1311" s="13">
        <v>22512</v>
      </c>
      <c r="B1311" s="14" t="s">
        <v>7883</v>
      </c>
      <c r="C1311" s="15" t="s">
        <v>7884</v>
      </c>
      <c r="D1311" s="15" t="s">
        <v>7885</v>
      </c>
      <c r="E1311" s="15" t="s">
        <v>7886</v>
      </c>
      <c r="F1311" s="15" t="s">
        <v>7887</v>
      </c>
      <c r="G1311" s="15" t="s">
        <v>7888</v>
      </c>
      <c r="H1311" s="16" t="s">
        <v>7889</v>
      </c>
    </row>
    <row r="1312" spans="1:8" ht="33.75" x14ac:dyDescent="0.3">
      <c r="A1312" s="13" t="s">
        <v>7890</v>
      </c>
      <c r="B1312" s="14" t="s">
        <v>7891</v>
      </c>
      <c r="C1312" s="15" t="s">
        <v>7892</v>
      </c>
      <c r="D1312" s="15" t="s">
        <v>7893</v>
      </c>
      <c r="E1312" s="15" t="s">
        <v>7894</v>
      </c>
      <c r="F1312" s="15" t="s">
        <v>7895</v>
      </c>
      <c r="G1312" s="15" t="s">
        <v>7896</v>
      </c>
      <c r="H1312" s="16" t="s">
        <v>7897</v>
      </c>
    </row>
    <row r="1313" spans="1:8" ht="22.5" x14ac:dyDescent="0.3">
      <c r="A1313" s="13">
        <v>22513</v>
      </c>
      <c r="B1313" s="14" t="s">
        <v>7898</v>
      </c>
      <c r="C1313" s="15" t="s">
        <v>7899</v>
      </c>
      <c r="D1313" s="15" t="s">
        <v>7900</v>
      </c>
      <c r="E1313" s="15" t="s">
        <v>7901</v>
      </c>
      <c r="F1313" s="15" t="s">
        <v>7902</v>
      </c>
      <c r="G1313" s="15" t="s">
        <v>7901</v>
      </c>
      <c r="H1313" s="16" t="s">
        <v>7903</v>
      </c>
    </row>
    <row r="1314" spans="1:8" ht="22.5" x14ac:dyDescent="0.3">
      <c r="A1314" s="13">
        <v>22514</v>
      </c>
      <c r="B1314" s="14" t="s">
        <v>7904</v>
      </c>
      <c r="C1314" s="15" t="s">
        <v>7905</v>
      </c>
      <c r="D1314" s="15" t="s">
        <v>7906</v>
      </c>
      <c r="E1314" s="15" t="s">
        <v>7907</v>
      </c>
      <c r="F1314" s="15" t="s">
        <v>7908</v>
      </c>
      <c r="G1314" s="15" t="s">
        <v>7909</v>
      </c>
      <c r="H1314" s="16" t="s">
        <v>7904</v>
      </c>
    </row>
    <row r="1315" spans="1:8" ht="33.75" x14ac:dyDescent="0.3">
      <c r="A1315" s="13">
        <v>22515</v>
      </c>
      <c r="B1315" s="14" t="s">
        <v>7910</v>
      </c>
      <c r="C1315" s="15" t="s">
        <v>7911</v>
      </c>
      <c r="D1315" s="15" t="s">
        <v>7912</v>
      </c>
      <c r="E1315" s="15" t="s">
        <v>7913</v>
      </c>
      <c r="F1315" s="15" t="s">
        <v>7914</v>
      </c>
      <c r="G1315" s="15" t="s">
        <v>7913</v>
      </c>
      <c r="H1315" s="16" t="s">
        <v>7915</v>
      </c>
    </row>
    <row r="1316" spans="1:8" ht="22.5" x14ac:dyDescent="0.3">
      <c r="A1316" s="13">
        <v>22516</v>
      </c>
      <c r="B1316" s="14" t="s">
        <v>7916</v>
      </c>
      <c r="C1316" s="15" t="s">
        <v>7917</v>
      </c>
      <c r="D1316" s="15" t="s">
        <v>7918</v>
      </c>
      <c r="E1316" s="15" t="s">
        <v>7919</v>
      </c>
      <c r="F1316" s="15" t="s">
        <v>7920</v>
      </c>
      <c r="G1316" s="15" t="s">
        <v>57</v>
      </c>
      <c r="H1316" s="16" t="s">
        <v>7921</v>
      </c>
    </row>
    <row r="1317" spans="1:8" ht="78.75" x14ac:dyDescent="0.3">
      <c r="A1317" s="13">
        <v>22517</v>
      </c>
      <c r="B1317" s="14" t="s">
        <v>7922</v>
      </c>
      <c r="C1317" s="15" t="s">
        <v>7923</v>
      </c>
      <c r="D1317" s="15" t="s">
        <v>7924</v>
      </c>
      <c r="E1317" s="15" t="s">
        <v>7925</v>
      </c>
      <c r="F1317" s="15" t="s">
        <v>7926</v>
      </c>
      <c r="G1317" s="15" t="s">
        <v>7927</v>
      </c>
      <c r="H1317" s="16" t="s">
        <v>7928</v>
      </c>
    </row>
    <row r="1318" spans="1:8" ht="22.5" x14ac:dyDescent="0.3">
      <c r="A1318" s="13">
        <v>22518</v>
      </c>
      <c r="B1318" s="14" t="s">
        <v>7929</v>
      </c>
      <c r="C1318" s="15" t="s">
        <v>57</v>
      </c>
      <c r="D1318" s="15" t="s">
        <v>7930</v>
      </c>
      <c r="E1318" s="15" t="s">
        <v>7931</v>
      </c>
      <c r="F1318" s="15" t="s">
        <v>57</v>
      </c>
      <c r="G1318" s="15" t="s">
        <v>57</v>
      </c>
      <c r="H1318" s="16" t="s">
        <v>57</v>
      </c>
    </row>
    <row r="1319" spans="1:8" ht="67.5" x14ac:dyDescent="0.3">
      <c r="A1319" s="13">
        <v>22519</v>
      </c>
      <c r="B1319" s="14" t="s">
        <v>7932</v>
      </c>
      <c r="C1319" s="15" t="s">
        <v>7933</v>
      </c>
      <c r="D1319" s="15" t="s">
        <v>7934</v>
      </c>
      <c r="E1319" s="15" t="s">
        <v>7935</v>
      </c>
      <c r="F1319" s="15" t="s">
        <v>7935</v>
      </c>
      <c r="G1319" s="15" t="s">
        <v>7936</v>
      </c>
      <c r="H1319" s="16" t="s">
        <v>7937</v>
      </c>
    </row>
    <row r="1320" spans="1:8" ht="33.75" x14ac:dyDescent="0.3">
      <c r="A1320" s="13">
        <v>22520</v>
      </c>
      <c r="B1320" s="14" t="s">
        <v>7938</v>
      </c>
      <c r="C1320" s="15" t="s">
        <v>7939</v>
      </c>
      <c r="D1320" s="15" t="s">
        <v>7940</v>
      </c>
      <c r="E1320" s="15" t="s">
        <v>7938</v>
      </c>
      <c r="F1320" s="15" t="s">
        <v>7938</v>
      </c>
      <c r="G1320" s="15" t="s">
        <v>7941</v>
      </c>
      <c r="H1320" s="16" t="s">
        <v>7942</v>
      </c>
    </row>
    <row r="1321" spans="1:8" ht="22.5" x14ac:dyDescent="0.3">
      <c r="A1321" s="13">
        <v>22521</v>
      </c>
      <c r="B1321" s="14" t="s">
        <v>7943</v>
      </c>
      <c r="C1321" s="15" t="s">
        <v>7944</v>
      </c>
      <c r="D1321" s="15" t="s">
        <v>7945</v>
      </c>
      <c r="E1321" s="15" t="s">
        <v>7946</v>
      </c>
      <c r="F1321" s="15" t="s">
        <v>7947</v>
      </c>
      <c r="G1321" s="15" t="s">
        <v>7948</v>
      </c>
      <c r="H1321" s="16" t="s">
        <v>7949</v>
      </c>
    </row>
    <row r="1322" spans="1:8" ht="22.5" x14ac:dyDescent="0.3">
      <c r="A1322" s="13">
        <v>22522</v>
      </c>
      <c r="B1322" s="14" t="s">
        <v>7950</v>
      </c>
      <c r="C1322" s="15" t="s">
        <v>7951</v>
      </c>
      <c r="D1322" s="15" t="s">
        <v>7952</v>
      </c>
      <c r="E1322" s="15" t="s">
        <v>7953</v>
      </c>
      <c r="F1322" s="15" t="s">
        <v>7954</v>
      </c>
      <c r="G1322" s="15" t="s">
        <v>7955</v>
      </c>
      <c r="H1322" s="16" t="s">
        <v>7950</v>
      </c>
    </row>
    <row r="1323" spans="1:8" ht="22.5" x14ac:dyDescent="0.3">
      <c r="A1323" s="13">
        <v>22523</v>
      </c>
      <c r="B1323" s="14" t="s">
        <v>7956</v>
      </c>
      <c r="C1323" s="15" t="s">
        <v>7957</v>
      </c>
      <c r="D1323" s="15" t="s">
        <v>7958</v>
      </c>
      <c r="E1323" s="15" t="s">
        <v>7959</v>
      </c>
      <c r="F1323" s="15" t="s">
        <v>7960</v>
      </c>
      <c r="G1323" s="15" t="s">
        <v>7961</v>
      </c>
      <c r="H1323" s="16" t="s">
        <v>7962</v>
      </c>
    </row>
    <row r="1324" spans="1:8" ht="22.5" x14ac:dyDescent="0.3">
      <c r="A1324" s="13">
        <v>22524</v>
      </c>
      <c r="B1324" s="14" t="s">
        <v>7963</v>
      </c>
      <c r="C1324" s="15" t="s">
        <v>7964</v>
      </c>
      <c r="D1324" s="15" t="s">
        <v>7965</v>
      </c>
      <c r="E1324" s="15" t="s">
        <v>7966</v>
      </c>
      <c r="F1324" s="15" t="s">
        <v>7966</v>
      </c>
      <c r="G1324" s="15" t="s">
        <v>7967</v>
      </c>
      <c r="H1324" s="16" t="s">
        <v>7966</v>
      </c>
    </row>
    <row r="1325" spans="1:8" ht="22.5" x14ac:dyDescent="0.3">
      <c r="A1325" s="13">
        <v>22525</v>
      </c>
      <c r="B1325" s="14" t="s">
        <v>7968</v>
      </c>
      <c r="C1325" s="15" t="s">
        <v>7969</v>
      </c>
      <c r="D1325" s="15" t="s">
        <v>7970</v>
      </c>
      <c r="E1325" s="15" t="s">
        <v>7971</v>
      </c>
      <c r="F1325" s="15" t="s">
        <v>7972</v>
      </c>
      <c r="G1325" s="15" t="s">
        <v>7973</v>
      </c>
      <c r="H1325" s="16" t="s">
        <v>7974</v>
      </c>
    </row>
    <row r="1326" spans="1:8" ht="22.5" x14ac:dyDescent="0.3">
      <c r="A1326" s="13">
        <v>22526</v>
      </c>
      <c r="B1326" s="14" t="s">
        <v>7975</v>
      </c>
      <c r="C1326" s="15" t="s">
        <v>7976</v>
      </c>
      <c r="D1326" s="15" t="s">
        <v>7977</v>
      </c>
      <c r="E1326" s="15" t="s">
        <v>7978</v>
      </c>
      <c r="F1326" s="15" t="s">
        <v>7979</v>
      </c>
      <c r="G1326" s="15" t="s">
        <v>57</v>
      </c>
      <c r="H1326" s="16" t="s">
        <v>7980</v>
      </c>
    </row>
    <row r="1327" spans="1:8" x14ac:dyDescent="0.3">
      <c r="A1327" s="13">
        <v>22527</v>
      </c>
      <c r="B1327" s="14" t="s">
        <v>7981</v>
      </c>
      <c r="C1327" s="15" t="s">
        <v>7982</v>
      </c>
      <c r="D1327" s="15" t="s">
        <v>7981</v>
      </c>
      <c r="E1327" s="15" t="s">
        <v>7981</v>
      </c>
      <c r="F1327" s="15" t="s">
        <v>7981</v>
      </c>
      <c r="G1327" s="15" t="s">
        <v>7981</v>
      </c>
      <c r="H1327" s="16" t="s">
        <v>7981</v>
      </c>
    </row>
    <row r="1328" spans="1:8" x14ac:dyDescent="0.3">
      <c r="A1328" s="13">
        <v>22528</v>
      </c>
      <c r="B1328" s="14" t="s">
        <v>7983</v>
      </c>
      <c r="C1328" s="15" t="s">
        <v>7984</v>
      </c>
      <c r="D1328" s="15" t="s">
        <v>7985</v>
      </c>
      <c r="E1328" s="15" t="s">
        <v>7986</v>
      </c>
      <c r="F1328" s="15" t="s">
        <v>7987</v>
      </c>
      <c r="G1328" s="15" t="s">
        <v>7988</v>
      </c>
      <c r="H1328" s="16" t="s">
        <v>7989</v>
      </c>
    </row>
    <row r="1329" spans="1:8" ht="22.5" x14ac:dyDescent="0.3">
      <c r="A1329" s="13">
        <v>22529</v>
      </c>
      <c r="B1329" s="14" t="s">
        <v>1796</v>
      </c>
      <c r="C1329" s="15" t="s">
        <v>7990</v>
      </c>
      <c r="D1329" s="15" t="s">
        <v>7991</v>
      </c>
      <c r="E1329" s="15" t="s">
        <v>7992</v>
      </c>
      <c r="F1329" s="15" t="s">
        <v>7993</v>
      </c>
      <c r="G1329" s="15" t="s">
        <v>7992</v>
      </c>
      <c r="H1329" s="16" t="s">
        <v>7994</v>
      </c>
    </row>
    <row r="1330" spans="1:8" ht="33.75" x14ac:dyDescent="0.3">
      <c r="A1330" s="13">
        <v>22530</v>
      </c>
      <c r="B1330" s="14" t="s">
        <v>7995</v>
      </c>
      <c r="C1330" s="15" t="s">
        <v>7996</v>
      </c>
      <c r="D1330" s="15" t="s">
        <v>7997</v>
      </c>
      <c r="E1330" s="15" t="s">
        <v>7998</v>
      </c>
      <c r="F1330" s="15" t="s">
        <v>7999</v>
      </c>
      <c r="G1330" s="15" t="s">
        <v>8000</v>
      </c>
      <c r="H1330" s="16" t="s">
        <v>8001</v>
      </c>
    </row>
    <row r="1331" spans="1:8" ht="33.75" x14ac:dyDescent="0.3">
      <c r="A1331" s="13">
        <v>22531</v>
      </c>
      <c r="B1331" s="14" t="s">
        <v>8002</v>
      </c>
      <c r="C1331" s="15" t="s">
        <v>8003</v>
      </c>
      <c r="D1331" s="15" t="s">
        <v>8004</v>
      </c>
      <c r="E1331" s="15" t="s">
        <v>8005</v>
      </c>
      <c r="F1331" s="15" t="s">
        <v>8006</v>
      </c>
      <c r="G1331" s="15" t="s">
        <v>8007</v>
      </c>
      <c r="H1331" s="16" t="s">
        <v>8008</v>
      </c>
    </row>
    <row r="1332" spans="1:8" ht="33.75" x14ac:dyDescent="0.3">
      <c r="A1332" s="13">
        <v>22532</v>
      </c>
      <c r="B1332" s="14" t="s">
        <v>8009</v>
      </c>
      <c r="C1332" s="15" t="s">
        <v>8010</v>
      </c>
      <c r="D1332" s="15"/>
      <c r="E1332" s="15" t="s">
        <v>8011</v>
      </c>
      <c r="F1332" s="15" t="s">
        <v>8012</v>
      </c>
      <c r="G1332" s="15" t="s">
        <v>8011</v>
      </c>
      <c r="H1332" s="16" t="s">
        <v>8011</v>
      </c>
    </row>
    <row r="1333" spans="1:8" x14ac:dyDescent="0.3">
      <c r="A1333" s="13" t="s">
        <v>8013</v>
      </c>
      <c r="B1333" s="14" t="s">
        <v>8014</v>
      </c>
      <c r="C1333" s="15" t="s">
        <v>8015</v>
      </c>
      <c r="D1333" s="15" t="s">
        <v>8014</v>
      </c>
      <c r="E1333" s="15" t="s">
        <v>8016</v>
      </c>
      <c r="F1333" s="15" t="s">
        <v>8017</v>
      </c>
      <c r="G1333" s="15" t="s">
        <v>8016</v>
      </c>
      <c r="H1333" s="16" t="s">
        <v>8018</v>
      </c>
    </row>
    <row r="1334" spans="1:8" x14ac:dyDescent="0.3">
      <c r="A1334" s="13" t="s">
        <v>8019</v>
      </c>
      <c r="B1334" s="14" t="s">
        <v>8020</v>
      </c>
      <c r="C1334" s="15" t="s">
        <v>8021</v>
      </c>
      <c r="D1334" s="15" t="s">
        <v>8020</v>
      </c>
      <c r="E1334" s="15" t="s">
        <v>8020</v>
      </c>
      <c r="F1334" s="15" t="s">
        <v>8022</v>
      </c>
      <c r="G1334" s="15" t="s">
        <v>8020</v>
      </c>
      <c r="H1334" s="16" t="s">
        <v>8020</v>
      </c>
    </row>
    <row r="1335" spans="1:8" ht="22.5" x14ac:dyDescent="0.3">
      <c r="A1335" s="13">
        <v>22533</v>
      </c>
      <c r="B1335" s="14" t="s">
        <v>8023</v>
      </c>
      <c r="C1335" s="15" t="s">
        <v>8024</v>
      </c>
      <c r="D1335" s="15" t="s">
        <v>8025</v>
      </c>
      <c r="E1335" s="15" t="s">
        <v>8026</v>
      </c>
      <c r="F1335" s="15" t="s">
        <v>8027</v>
      </c>
      <c r="G1335" s="15" t="s">
        <v>8028</v>
      </c>
      <c r="H1335" s="16" t="s">
        <v>8029</v>
      </c>
    </row>
    <row r="1336" spans="1:8" x14ac:dyDescent="0.3">
      <c r="A1336" s="13">
        <v>22534</v>
      </c>
      <c r="B1336" s="14" t="s">
        <v>8030</v>
      </c>
      <c r="C1336" s="15" t="s">
        <v>8031</v>
      </c>
      <c r="D1336" s="15" t="s">
        <v>8032</v>
      </c>
      <c r="E1336" s="15" t="s">
        <v>8033</v>
      </c>
      <c r="F1336" s="15" t="s">
        <v>8032</v>
      </c>
      <c r="G1336" s="15" t="s">
        <v>8030</v>
      </c>
      <c r="H1336" s="16" t="s">
        <v>8032</v>
      </c>
    </row>
    <row r="1337" spans="1:8" x14ac:dyDescent="0.3">
      <c r="A1337" s="13">
        <v>22535</v>
      </c>
      <c r="B1337" s="14" t="s">
        <v>8034</v>
      </c>
      <c r="C1337" s="15" t="s">
        <v>8035</v>
      </c>
      <c r="D1337" s="15" t="s">
        <v>8036</v>
      </c>
      <c r="E1337" s="15" t="s">
        <v>8037</v>
      </c>
      <c r="F1337" s="15" t="s">
        <v>8038</v>
      </c>
      <c r="G1337" s="15" t="s">
        <v>8037</v>
      </c>
      <c r="H1337" s="16" t="s">
        <v>8039</v>
      </c>
    </row>
    <row r="1338" spans="1:8" ht="22.5" x14ac:dyDescent="0.3">
      <c r="A1338" s="13">
        <v>22536</v>
      </c>
      <c r="B1338" s="14" t="s">
        <v>8040</v>
      </c>
      <c r="C1338" s="15" t="s">
        <v>8041</v>
      </c>
      <c r="D1338" s="15" t="s">
        <v>8042</v>
      </c>
      <c r="E1338" s="15" t="s">
        <v>8040</v>
      </c>
      <c r="F1338" s="15" t="s">
        <v>8043</v>
      </c>
      <c r="G1338" s="15" t="s">
        <v>8044</v>
      </c>
      <c r="H1338" s="16" t="s">
        <v>996</v>
      </c>
    </row>
    <row r="1339" spans="1:8" ht="22.5" x14ac:dyDescent="0.3">
      <c r="A1339" s="13">
        <v>22537</v>
      </c>
      <c r="B1339" s="14" t="s">
        <v>8045</v>
      </c>
      <c r="C1339" s="15" t="s">
        <v>8046</v>
      </c>
      <c r="D1339" s="15" t="s">
        <v>8047</v>
      </c>
      <c r="E1339" s="15" t="s">
        <v>8045</v>
      </c>
      <c r="F1339" s="15" t="s">
        <v>8048</v>
      </c>
      <c r="G1339" s="15" t="s">
        <v>8049</v>
      </c>
      <c r="H1339" s="16" t="s">
        <v>8050</v>
      </c>
    </row>
    <row r="1340" spans="1:8" ht="22.5" x14ac:dyDescent="0.3">
      <c r="A1340" s="13">
        <v>22538</v>
      </c>
      <c r="B1340" s="14" t="s">
        <v>8051</v>
      </c>
      <c r="C1340" s="15" t="s">
        <v>8052</v>
      </c>
      <c r="D1340" s="15" t="s">
        <v>8053</v>
      </c>
      <c r="E1340" s="15" t="s">
        <v>8054</v>
      </c>
      <c r="F1340" s="15" t="s">
        <v>8055</v>
      </c>
      <c r="G1340" s="15" t="s">
        <v>8056</v>
      </c>
      <c r="H1340" s="16" t="s">
        <v>8057</v>
      </c>
    </row>
    <row r="1341" spans="1:8" x14ac:dyDescent="0.3">
      <c r="A1341" s="13">
        <v>22539</v>
      </c>
      <c r="B1341" s="14" t="s">
        <v>8058</v>
      </c>
      <c r="C1341" s="15" t="s">
        <v>8059</v>
      </c>
      <c r="D1341" s="15" t="s">
        <v>8060</v>
      </c>
      <c r="E1341" s="15" t="s">
        <v>8061</v>
      </c>
      <c r="F1341" s="15" t="s">
        <v>8062</v>
      </c>
      <c r="G1341" s="15" t="s">
        <v>8063</v>
      </c>
      <c r="H1341" s="16" t="s">
        <v>8064</v>
      </c>
    </row>
    <row r="1342" spans="1:8" ht="22.5" x14ac:dyDescent="0.3">
      <c r="A1342" s="13">
        <v>22540</v>
      </c>
      <c r="B1342" s="14" t="s">
        <v>8065</v>
      </c>
      <c r="C1342" s="15" t="s">
        <v>8066</v>
      </c>
      <c r="D1342" s="15" t="s">
        <v>8067</v>
      </c>
      <c r="E1342" s="15"/>
      <c r="F1342" s="15" t="s">
        <v>8068</v>
      </c>
      <c r="G1342" s="15" t="s">
        <v>57</v>
      </c>
      <c r="H1342" s="16" t="s">
        <v>8069</v>
      </c>
    </row>
    <row r="1343" spans="1:8" ht="22.5" x14ac:dyDescent="0.3">
      <c r="A1343" s="13">
        <v>22541</v>
      </c>
      <c r="B1343" s="14" t="s">
        <v>8070</v>
      </c>
      <c r="C1343" s="15" t="s">
        <v>8071</v>
      </c>
      <c r="D1343" s="15" t="s">
        <v>8072</v>
      </c>
      <c r="E1343" s="15" t="s">
        <v>8073</v>
      </c>
      <c r="F1343" s="15" t="s">
        <v>8072</v>
      </c>
      <c r="G1343" s="15" t="s">
        <v>8074</v>
      </c>
      <c r="H1343" s="16" t="s">
        <v>8072</v>
      </c>
    </row>
    <row r="1344" spans="1:8" ht="67.5" x14ac:dyDescent="0.3">
      <c r="A1344" s="13">
        <v>22601</v>
      </c>
      <c r="B1344" s="14" t="s">
        <v>8075</v>
      </c>
      <c r="C1344" s="15" t="s">
        <v>8076</v>
      </c>
      <c r="D1344" s="15" t="s">
        <v>8077</v>
      </c>
      <c r="E1344" s="15" t="s">
        <v>8078</v>
      </c>
      <c r="F1344" s="15" t="s">
        <v>8079</v>
      </c>
      <c r="G1344" s="15" t="s">
        <v>8075</v>
      </c>
      <c r="H1344" s="16" t="s">
        <v>8080</v>
      </c>
    </row>
    <row r="1345" spans="1:8" x14ac:dyDescent="0.3">
      <c r="A1345" s="13">
        <v>22602</v>
      </c>
      <c r="B1345" s="14" t="s">
        <v>8081</v>
      </c>
      <c r="C1345" s="15" t="s">
        <v>8082</v>
      </c>
      <c r="D1345" s="15" t="s">
        <v>8083</v>
      </c>
      <c r="E1345" s="15" t="s">
        <v>8081</v>
      </c>
      <c r="F1345" s="15" t="s">
        <v>8081</v>
      </c>
      <c r="G1345" s="15" t="s">
        <v>8084</v>
      </c>
      <c r="H1345" s="16" t="s">
        <v>8081</v>
      </c>
    </row>
    <row r="1346" spans="1:8" ht="22.5" x14ac:dyDescent="0.3">
      <c r="A1346" s="13">
        <v>22603</v>
      </c>
      <c r="B1346" s="14" t="s">
        <v>8085</v>
      </c>
      <c r="C1346" s="15" t="s">
        <v>8086</v>
      </c>
      <c r="D1346" s="15" t="s">
        <v>8085</v>
      </c>
      <c r="E1346" s="15" t="s">
        <v>8087</v>
      </c>
      <c r="F1346" s="15" t="s">
        <v>8085</v>
      </c>
      <c r="G1346" s="15" t="s">
        <v>8088</v>
      </c>
      <c r="H1346" s="16" t="s">
        <v>8089</v>
      </c>
    </row>
    <row r="1347" spans="1:8" ht="22.5" x14ac:dyDescent="0.3">
      <c r="A1347" s="13">
        <v>22604</v>
      </c>
      <c r="B1347" s="14" t="s">
        <v>8090</v>
      </c>
      <c r="C1347" s="15" t="s">
        <v>8091</v>
      </c>
      <c r="D1347" s="15" t="s">
        <v>8092</v>
      </c>
      <c r="E1347" s="15" t="s">
        <v>8093</v>
      </c>
      <c r="F1347" s="15" t="s">
        <v>8094</v>
      </c>
      <c r="G1347" s="15" t="s">
        <v>8095</v>
      </c>
      <c r="H1347" s="16" t="s">
        <v>8096</v>
      </c>
    </row>
    <row r="1348" spans="1:8" ht="22.5" x14ac:dyDescent="0.3">
      <c r="A1348" s="13">
        <v>22605</v>
      </c>
      <c r="B1348" s="14" t="s">
        <v>8097</v>
      </c>
      <c r="C1348" s="15" t="s">
        <v>8098</v>
      </c>
      <c r="D1348" s="15" t="s">
        <v>8099</v>
      </c>
      <c r="E1348" s="15" t="s">
        <v>8100</v>
      </c>
      <c r="F1348" s="15" t="s">
        <v>8101</v>
      </c>
      <c r="G1348" s="15" t="s">
        <v>8102</v>
      </c>
      <c r="H1348" s="16" t="s">
        <v>8103</v>
      </c>
    </row>
    <row r="1349" spans="1:8" ht="22.5" x14ac:dyDescent="0.3">
      <c r="A1349" s="13">
        <v>22606</v>
      </c>
      <c r="B1349" s="14" t="s">
        <v>8104</v>
      </c>
      <c r="C1349" s="15" t="s">
        <v>8105</v>
      </c>
      <c r="D1349" s="15" t="s">
        <v>8106</v>
      </c>
      <c r="E1349" s="15" t="s">
        <v>8107</v>
      </c>
      <c r="F1349" s="15" t="s">
        <v>8108</v>
      </c>
      <c r="G1349" s="15" t="s">
        <v>8109</v>
      </c>
      <c r="H1349" s="16" t="s">
        <v>8110</v>
      </c>
    </row>
    <row r="1350" spans="1:8" ht="22.5" x14ac:dyDescent="0.3">
      <c r="A1350" s="13" t="s">
        <v>8111</v>
      </c>
      <c r="B1350" s="14" t="s">
        <v>8112</v>
      </c>
      <c r="C1350" s="15" t="s">
        <v>8113</v>
      </c>
      <c r="D1350" s="15" t="s">
        <v>8114</v>
      </c>
      <c r="E1350" s="15" t="s">
        <v>8115</v>
      </c>
      <c r="F1350" s="15" t="s">
        <v>8116</v>
      </c>
      <c r="G1350" s="15" t="s">
        <v>8117</v>
      </c>
      <c r="H1350" s="16" t="s">
        <v>8118</v>
      </c>
    </row>
    <row r="1351" spans="1:8" ht="33.75" x14ac:dyDescent="0.3">
      <c r="A1351" s="13" t="s">
        <v>8119</v>
      </c>
      <c r="B1351" s="14" t="s">
        <v>8120</v>
      </c>
      <c r="C1351" s="15" t="s">
        <v>8121</v>
      </c>
      <c r="D1351" s="15" t="s">
        <v>8122</v>
      </c>
      <c r="E1351" s="15" t="s">
        <v>8123</v>
      </c>
      <c r="F1351" s="15" t="s">
        <v>8124</v>
      </c>
      <c r="G1351" s="15" t="s">
        <v>8125</v>
      </c>
      <c r="H1351" s="16" t="s">
        <v>8126</v>
      </c>
    </row>
    <row r="1352" spans="1:8" ht="56.25" x14ac:dyDescent="0.3">
      <c r="A1352" s="13" t="s">
        <v>8127</v>
      </c>
      <c r="B1352" s="14" t="s">
        <v>8128</v>
      </c>
      <c r="C1352" s="15" t="s">
        <v>8129</v>
      </c>
      <c r="D1352" s="15" t="s">
        <v>8130</v>
      </c>
      <c r="E1352" s="15" t="s">
        <v>8131</v>
      </c>
      <c r="F1352" s="15" t="s">
        <v>8132</v>
      </c>
      <c r="G1352" s="15" t="s">
        <v>8133</v>
      </c>
      <c r="H1352" s="16" t="s">
        <v>8134</v>
      </c>
    </row>
    <row r="1353" spans="1:8" ht="33.75" x14ac:dyDescent="0.3">
      <c r="A1353" s="13" t="s">
        <v>8135</v>
      </c>
      <c r="B1353" s="14" t="s">
        <v>8136</v>
      </c>
      <c r="C1353" s="15" t="s">
        <v>8137</v>
      </c>
      <c r="D1353" s="15" t="s">
        <v>8138</v>
      </c>
      <c r="E1353" s="15" t="s">
        <v>8139</v>
      </c>
      <c r="F1353" s="15" t="s">
        <v>8132</v>
      </c>
      <c r="G1353" s="15" t="s">
        <v>8140</v>
      </c>
      <c r="H1353" s="16" t="s">
        <v>8141</v>
      </c>
    </row>
    <row r="1354" spans="1:8" ht="45" x14ac:dyDescent="0.3">
      <c r="A1354" s="13" t="s">
        <v>8142</v>
      </c>
      <c r="B1354" s="14" t="s">
        <v>8143</v>
      </c>
      <c r="C1354" s="15" t="s">
        <v>8144</v>
      </c>
      <c r="D1354" s="15" t="s">
        <v>8145</v>
      </c>
      <c r="E1354" s="15" t="s">
        <v>8146</v>
      </c>
      <c r="F1354" s="15" t="s">
        <v>8147</v>
      </c>
      <c r="G1354" s="15" t="s">
        <v>8148</v>
      </c>
      <c r="H1354" s="16" t="s">
        <v>8149</v>
      </c>
    </row>
    <row r="1355" spans="1:8" x14ac:dyDescent="0.3">
      <c r="A1355" s="13">
        <v>22607</v>
      </c>
      <c r="B1355" s="14" t="s">
        <v>8150</v>
      </c>
      <c r="C1355" s="15" t="s">
        <v>8151</v>
      </c>
      <c r="D1355" s="15" t="s">
        <v>8152</v>
      </c>
      <c r="E1355" s="15" t="s">
        <v>8153</v>
      </c>
      <c r="F1355" s="15" t="s">
        <v>8154</v>
      </c>
      <c r="G1355" s="15" t="s">
        <v>8150</v>
      </c>
      <c r="H1355" s="16" t="s">
        <v>8155</v>
      </c>
    </row>
    <row r="1356" spans="1:8" ht="22.5" x14ac:dyDescent="0.3">
      <c r="A1356" s="13">
        <v>22608</v>
      </c>
      <c r="B1356" s="14" t="s">
        <v>8156</v>
      </c>
      <c r="C1356" s="15" t="s">
        <v>8157</v>
      </c>
      <c r="D1356" s="15"/>
      <c r="E1356" s="15" t="s">
        <v>8158</v>
      </c>
      <c r="F1356" s="15" t="s">
        <v>8159</v>
      </c>
      <c r="G1356" s="15" t="s">
        <v>8160</v>
      </c>
      <c r="H1356" s="16" t="s">
        <v>8161</v>
      </c>
    </row>
    <row r="1357" spans="1:8" ht="90" x14ac:dyDescent="0.3">
      <c r="A1357" s="13">
        <v>22609</v>
      </c>
      <c r="B1357" s="14" t="s">
        <v>8162</v>
      </c>
      <c r="C1357" s="15" t="s">
        <v>8163</v>
      </c>
      <c r="D1357" s="15" t="s">
        <v>8164</v>
      </c>
      <c r="E1357" s="15" t="s">
        <v>8165</v>
      </c>
      <c r="F1357" s="15" t="s">
        <v>8166</v>
      </c>
      <c r="G1357" s="15" t="s">
        <v>8167</v>
      </c>
      <c r="H1357" s="16" t="s">
        <v>8168</v>
      </c>
    </row>
    <row r="1358" spans="1:8" ht="33.75" x14ac:dyDescent="0.3">
      <c r="A1358" s="13">
        <v>22610</v>
      </c>
      <c r="B1358" s="14" t="s">
        <v>8169</v>
      </c>
      <c r="C1358" s="15" t="s">
        <v>8170</v>
      </c>
      <c r="D1358" s="15" t="s">
        <v>8171</v>
      </c>
      <c r="E1358" s="15" t="s">
        <v>8169</v>
      </c>
      <c r="F1358" s="15" t="s">
        <v>8172</v>
      </c>
      <c r="G1358" s="15" t="s">
        <v>8173</v>
      </c>
      <c r="H1358" s="16" t="s">
        <v>8174</v>
      </c>
    </row>
    <row r="1359" spans="1:8" x14ac:dyDescent="0.3">
      <c r="A1359" s="13">
        <v>22611</v>
      </c>
      <c r="B1359" s="14" t="s">
        <v>8175</v>
      </c>
      <c r="C1359" s="15" t="s">
        <v>8176</v>
      </c>
      <c r="D1359" s="15" t="s">
        <v>8175</v>
      </c>
      <c r="E1359" s="15" t="s">
        <v>8177</v>
      </c>
      <c r="F1359" s="15" t="s">
        <v>8178</v>
      </c>
      <c r="G1359" s="15" t="s">
        <v>8179</v>
      </c>
      <c r="H1359" s="16" t="s">
        <v>8175</v>
      </c>
    </row>
    <row r="1360" spans="1:8" ht="33.75" x14ac:dyDescent="0.3">
      <c r="A1360" s="13">
        <v>22612</v>
      </c>
      <c r="B1360" s="14" t="s">
        <v>8180</v>
      </c>
      <c r="C1360" s="15" t="s">
        <v>8181</v>
      </c>
      <c r="D1360" s="15" t="s">
        <v>8182</v>
      </c>
      <c r="E1360" s="15" t="s">
        <v>8183</v>
      </c>
      <c r="F1360" s="15" t="s">
        <v>8183</v>
      </c>
      <c r="G1360" s="15" t="s">
        <v>8183</v>
      </c>
      <c r="H1360" s="16" t="s">
        <v>8180</v>
      </c>
    </row>
    <row r="1361" spans="1:8" ht="45" x14ac:dyDescent="0.3">
      <c r="A1361" s="13">
        <v>22613</v>
      </c>
      <c r="B1361" s="14" t="s">
        <v>8184</v>
      </c>
      <c r="C1361" s="15" t="s">
        <v>57</v>
      </c>
      <c r="D1361" s="15" t="s">
        <v>8185</v>
      </c>
      <c r="E1361" s="15" t="s">
        <v>8186</v>
      </c>
      <c r="F1361" s="15" t="s">
        <v>8187</v>
      </c>
      <c r="G1361" s="15" t="s">
        <v>57</v>
      </c>
      <c r="H1361" s="16" t="s">
        <v>8188</v>
      </c>
    </row>
    <row r="1362" spans="1:8" ht="45" x14ac:dyDescent="0.3">
      <c r="A1362" s="13">
        <v>22614</v>
      </c>
      <c r="B1362" s="14" t="s">
        <v>8189</v>
      </c>
      <c r="C1362" s="15" t="s">
        <v>8190</v>
      </c>
      <c r="D1362" s="15" t="s">
        <v>8191</v>
      </c>
      <c r="E1362" s="15" t="s">
        <v>8192</v>
      </c>
      <c r="F1362" s="15" t="s">
        <v>8193</v>
      </c>
      <c r="G1362" s="15" t="s">
        <v>8192</v>
      </c>
      <c r="H1362" s="16" t="s">
        <v>8192</v>
      </c>
    </row>
    <row r="1363" spans="1:8" ht="67.5" x14ac:dyDescent="0.3">
      <c r="A1363" s="13" t="s">
        <v>8194</v>
      </c>
      <c r="B1363" s="14" t="s">
        <v>8195</v>
      </c>
      <c r="C1363" s="15" t="s">
        <v>8196</v>
      </c>
      <c r="D1363" s="15" t="s">
        <v>8197</v>
      </c>
      <c r="E1363" s="15" t="s">
        <v>8197</v>
      </c>
      <c r="F1363" s="15" t="s">
        <v>8197</v>
      </c>
      <c r="G1363" s="15" t="s">
        <v>8198</v>
      </c>
      <c r="H1363" s="16" t="s">
        <v>8199</v>
      </c>
    </row>
    <row r="1364" spans="1:8" ht="33.75" x14ac:dyDescent="0.3">
      <c r="A1364" s="13">
        <v>22615</v>
      </c>
      <c r="B1364" s="14" t="s">
        <v>8200</v>
      </c>
      <c r="C1364" s="15" t="s">
        <v>8201</v>
      </c>
      <c r="D1364" s="15" t="s">
        <v>8202</v>
      </c>
      <c r="E1364" s="15" t="s">
        <v>8203</v>
      </c>
      <c r="F1364" s="15" t="s">
        <v>8204</v>
      </c>
      <c r="G1364" s="15" t="s">
        <v>8205</v>
      </c>
      <c r="H1364" s="16" t="s">
        <v>8206</v>
      </c>
    </row>
    <row r="1365" spans="1:8" ht="45" x14ac:dyDescent="0.3">
      <c r="A1365" s="13">
        <v>22616</v>
      </c>
      <c r="B1365" s="14" t="s">
        <v>8207</v>
      </c>
      <c r="C1365" s="15" t="s">
        <v>8208</v>
      </c>
      <c r="D1365" s="15" t="s">
        <v>8209</v>
      </c>
      <c r="E1365" s="15" t="s">
        <v>8210</v>
      </c>
      <c r="F1365" s="15" t="s">
        <v>8211</v>
      </c>
      <c r="G1365" s="15" t="s">
        <v>8212</v>
      </c>
      <c r="H1365" s="16" t="s">
        <v>8213</v>
      </c>
    </row>
    <row r="1366" spans="1:8" x14ac:dyDescent="0.3">
      <c r="A1366" s="13">
        <v>22617</v>
      </c>
      <c r="B1366" s="14" t="s">
        <v>8214</v>
      </c>
      <c r="C1366" s="15" t="s">
        <v>8215</v>
      </c>
      <c r="D1366" s="15" t="s">
        <v>8216</v>
      </c>
      <c r="E1366" s="15" t="s">
        <v>8217</v>
      </c>
      <c r="F1366" s="15" t="s">
        <v>8218</v>
      </c>
      <c r="G1366" s="15" t="s">
        <v>8214</v>
      </c>
      <c r="H1366" s="16" t="s">
        <v>8216</v>
      </c>
    </row>
    <row r="1367" spans="1:8" ht="22.5" x14ac:dyDescent="0.3">
      <c r="A1367" s="13" t="s">
        <v>8219</v>
      </c>
      <c r="B1367" s="14" t="s">
        <v>8220</v>
      </c>
      <c r="C1367" s="15" t="s">
        <v>8221</v>
      </c>
      <c r="D1367" s="15" t="s">
        <v>8222</v>
      </c>
      <c r="E1367" s="15" t="s">
        <v>8223</v>
      </c>
      <c r="F1367" s="15" t="s">
        <v>8224</v>
      </c>
      <c r="G1367" s="15" t="s">
        <v>8225</v>
      </c>
      <c r="H1367" s="16" t="s">
        <v>8226</v>
      </c>
    </row>
    <row r="1368" spans="1:8" x14ac:dyDescent="0.3">
      <c r="A1368" s="13">
        <v>22618</v>
      </c>
      <c r="B1368" s="14" t="s">
        <v>8227</v>
      </c>
      <c r="C1368" s="15" t="s">
        <v>8228</v>
      </c>
      <c r="D1368" s="15" t="s">
        <v>8229</v>
      </c>
      <c r="E1368" s="15" t="s">
        <v>4154</v>
      </c>
      <c r="F1368" s="15" t="s">
        <v>8230</v>
      </c>
      <c r="G1368" s="15" t="s">
        <v>8231</v>
      </c>
      <c r="H1368" s="16" t="s">
        <v>8232</v>
      </c>
    </row>
    <row r="1369" spans="1:8" ht="22.5" x14ac:dyDescent="0.3">
      <c r="A1369" s="13" t="s">
        <v>8233</v>
      </c>
      <c r="B1369" s="14" t="s">
        <v>8234</v>
      </c>
      <c r="C1369" s="15" t="s">
        <v>8235</v>
      </c>
      <c r="D1369" s="15" t="s">
        <v>8236</v>
      </c>
      <c r="E1369" s="15" t="s">
        <v>8237</v>
      </c>
      <c r="F1369" s="15" t="s">
        <v>8234</v>
      </c>
      <c r="G1369" s="15" t="s">
        <v>8234</v>
      </c>
      <c r="H1369" s="16" t="s">
        <v>8234</v>
      </c>
    </row>
    <row r="1370" spans="1:8" x14ac:dyDescent="0.3">
      <c r="A1370" s="13" t="s">
        <v>8238</v>
      </c>
      <c r="B1370" s="14" t="s">
        <v>8239</v>
      </c>
      <c r="C1370" s="15" t="s">
        <v>8240</v>
      </c>
      <c r="D1370" s="15" t="s">
        <v>8241</v>
      </c>
      <c r="E1370" s="15" t="s">
        <v>8242</v>
      </c>
      <c r="F1370" s="15" t="s">
        <v>8243</v>
      </c>
      <c r="G1370" s="15" t="s">
        <v>8243</v>
      </c>
      <c r="H1370" s="16" t="s">
        <v>8243</v>
      </c>
    </row>
    <row r="1371" spans="1:8" ht="22.5" x14ac:dyDescent="0.3">
      <c r="A1371" s="13">
        <v>22619</v>
      </c>
      <c r="B1371" s="14" t="s">
        <v>8244</v>
      </c>
      <c r="C1371" s="15" t="s">
        <v>8245</v>
      </c>
      <c r="D1371" s="15" t="s">
        <v>8244</v>
      </c>
      <c r="E1371" s="15" t="s">
        <v>8246</v>
      </c>
      <c r="F1371" s="15" t="s">
        <v>8244</v>
      </c>
      <c r="G1371" s="15" t="s">
        <v>8247</v>
      </c>
      <c r="H1371" s="16" t="s">
        <v>8244</v>
      </c>
    </row>
    <row r="1372" spans="1:8" ht="22.5" x14ac:dyDescent="0.3">
      <c r="A1372" s="13">
        <v>22620</v>
      </c>
      <c r="B1372" s="14" t="s">
        <v>8248</v>
      </c>
      <c r="C1372" s="15" t="s">
        <v>8249</v>
      </c>
      <c r="D1372" s="15" t="s">
        <v>8250</v>
      </c>
      <c r="E1372" s="15" t="s">
        <v>8248</v>
      </c>
      <c r="F1372" s="15" t="s">
        <v>8251</v>
      </c>
      <c r="G1372" s="15" t="s">
        <v>8252</v>
      </c>
      <c r="H1372" s="16" t="s">
        <v>8253</v>
      </c>
    </row>
    <row r="1373" spans="1:8" ht="22.5" x14ac:dyDescent="0.3">
      <c r="A1373" s="13">
        <v>22621</v>
      </c>
      <c r="B1373" s="14" t="s">
        <v>8254</v>
      </c>
      <c r="C1373" s="15" t="s">
        <v>8255</v>
      </c>
      <c r="D1373" s="15" t="s">
        <v>8256</v>
      </c>
      <c r="E1373" s="15" t="s">
        <v>8257</v>
      </c>
      <c r="F1373" s="15" t="s">
        <v>8258</v>
      </c>
      <c r="G1373" s="15" t="s">
        <v>8257</v>
      </c>
      <c r="H1373" s="16" t="s">
        <v>8259</v>
      </c>
    </row>
    <row r="1374" spans="1:8" ht="22.5" x14ac:dyDescent="0.3">
      <c r="A1374" s="13" t="s">
        <v>8260</v>
      </c>
      <c r="B1374" s="14" t="s">
        <v>8261</v>
      </c>
      <c r="C1374" s="15" t="s">
        <v>8262</v>
      </c>
      <c r="D1374" s="15" t="s">
        <v>8263</v>
      </c>
      <c r="E1374" s="15" t="s">
        <v>8264</v>
      </c>
      <c r="F1374" s="15" t="s">
        <v>8264</v>
      </c>
      <c r="G1374" s="15" t="s">
        <v>8264</v>
      </c>
      <c r="H1374" s="16" t="s">
        <v>8265</v>
      </c>
    </row>
    <row r="1375" spans="1:8" x14ac:dyDescent="0.3">
      <c r="A1375" s="13" t="s">
        <v>8266</v>
      </c>
      <c r="B1375" s="14" t="s">
        <v>8267</v>
      </c>
      <c r="C1375" s="15" t="s">
        <v>8268</v>
      </c>
      <c r="D1375" s="15" t="s">
        <v>8269</v>
      </c>
      <c r="E1375" s="15" t="s">
        <v>8270</v>
      </c>
      <c r="F1375" s="15" t="s">
        <v>8271</v>
      </c>
      <c r="G1375" s="15" t="s">
        <v>8272</v>
      </c>
      <c r="H1375" s="16" t="s">
        <v>8273</v>
      </c>
    </row>
    <row r="1376" spans="1:8" ht="22.5" x14ac:dyDescent="0.3">
      <c r="A1376" s="13">
        <v>22622</v>
      </c>
      <c r="B1376" s="14" t="s">
        <v>8274</v>
      </c>
      <c r="C1376" s="15" t="s">
        <v>8275</v>
      </c>
      <c r="D1376" s="15" t="s">
        <v>8276</v>
      </c>
      <c r="E1376" s="15" t="s">
        <v>8274</v>
      </c>
      <c r="F1376" s="15" t="s">
        <v>8277</v>
      </c>
      <c r="G1376" s="15" t="s">
        <v>8278</v>
      </c>
      <c r="H1376" s="16" t="s">
        <v>8279</v>
      </c>
    </row>
    <row r="1377" spans="1:8" ht="22.5" x14ac:dyDescent="0.3">
      <c r="A1377" s="13">
        <v>22623</v>
      </c>
      <c r="B1377" s="14" t="s">
        <v>8280</v>
      </c>
      <c r="C1377" s="15" t="s">
        <v>8281</v>
      </c>
      <c r="D1377" s="15" t="s">
        <v>8282</v>
      </c>
      <c r="E1377" s="15" t="s">
        <v>8283</v>
      </c>
      <c r="F1377" s="15" t="s">
        <v>8284</v>
      </c>
      <c r="G1377" s="15" t="s">
        <v>8285</v>
      </c>
      <c r="H1377" s="16" t="s">
        <v>8286</v>
      </c>
    </row>
    <row r="1378" spans="1:8" ht="22.5" x14ac:dyDescent="0.3">
      <c r="A1378" s="13">
        <v>22624</v>
      </c>
      <c r="B1378" s="14" t="s">
        <v>8287</v>
      </c>
      <c r="C1378" s="15" t="s">
        <v>8288</v>
      </c>
      <c r="D1378" s="15" t="s">
        <v>8289</v>
      </c>
      <c r="E1378" s="15" t="s">
        <v>8290</v>
      </c>
      <c r="F1378" s="15" t="s">
        <v>8291</v>
      </c>
      <c r="G1378" s="15" t="s">
        <v>8292</v>
      </c>
      <c r="H1378" s="16" t="s">
        <v>8293</v>
      </c>
    </row>
    <row r="1379" spans="1:8" ht="22.5" x14ac:dyDescent="0.3">
      <c r="A1379" s="13">
        <v>22625</v>
      </c>
      <c r="B1379" s="14" t="s">
        <v>8294</v>
      </c>
      <c r="C1379" s="15" t="s">
        <v>8295</v>
      </c>
      <c r="D1379" s="15" t="s">
        <v>8296</v>
      </c>
      <c r="E1379" s="15" t="s">
        <v>8297</v>
      </c>
      <c r="F1379" s="15" t="s">
        <v>8294</v>
      </c>
      <c r="G1379" s="15" t="s">
        <v>8298</v>
      </c>
      <c r="H1379" s="16" t="s">
        <v>8294</v>
      </c>
    </row>
    <row r="1380" spans="1:8" ht="56.25" x14ac:dyDescent="0.3">
      <c r="A1380" s="13">
        <v>22626</v>
      </c>
      <c r="B1380" s="14" t="s">
        <v>8299</v>
      </c>
      <c r="C1380" s="15" t="s">
        <v>8300</v>
      </c>
      <c r="D1380" s="15" t="s">
        <v>8301</v>
      </c>
      <c r="E1380" s="15" t="s">
        <v>8302</v>
      </c>
      <c r="F1380" s="15" t="s">
        <v>8303</v>
      </c>
      <c r="G1380" s="15" t="s">
        <v>8304</v>
      </c>
      <c r="H1380" s="16" t="s">
        <v>8305</v>
      </c>
    </row>
    <row r="1381" spans="1:8" ht="22.5" x14ac:dyDescent="0.3">
      <c r="A1381" s="13">
        <v>22627</v>
      </c>
      <c r="B1381" s="14" t="s">
        <v>8306</v>
      </c>
      <c r="C1381" s="15" t="s">
        <v>8307</v>
      </c>
      <c r="D1381" s="15" t="s">
        <v>8308</v>
      </c>
      <c r="E1381" s="15"/>
      <c r="F1381" s="15" t="s">
        <v>8309</v>
      </c>
      <c r="G1381" s="15" t="s">
        <v>8310</v>
      </c>
      <c r="H1381" s="16" t="s">
        <v>8309</v>
      </c>
    </row>
    <row r="1382" spans="1:8" ht="67.5" x14ac:dyDescent="0.3">
      <c r="A1382" s="13" t="s">
        <v>8311</v>
      </c>
      <c r="B1382" s="14" t="s">
        <v>19724</v>
      </c>
      <c r="C1382" s="15" t="s">
        <v>8312</v>
      </c>
      <c r="D1382" s="15" t="s">
        <v>8313</v>
      </c>
      <c r="E1382" s="15" t="s">
        <v>8314</v>
      </c>
      <c r="F1382" s="15" t="s">
        <v>8315</v>
      </c>
      <c r="G1382" s="15" t="s">
        <v>8316</v>
      </c>
      <c r="H1382" s="16" t="s">
        <v>8317</v>
      </c>
    </row>
    <row r="1383" spans="1:8" ht="22.5" x14ac:dyDescent="0.3">
      <c r="A1383" s="13">
        <v>22628</v>
      </c>
      <c r="B1383" s="14" t="s">
        <v>8318</v>
      </c>
      <c r="C1383" s="15" t="s">
        <v>8319</v>
      </c>
      <c r="D1383" s="15" t="s">
        <v>8320</v>
      </c>
      <c r="E1383" s="15" t="s">
        <v>8321</v>
      </c>
      <c r="F1383" s="15" t="s">
        <v>8322</v>
      </c>
      <c r="G1383" s="15" t="s">
        <v>8323</v>
      </c>
      <c r="H1383" s="16"/>
    </row>
    <row r="1384" spans="1:8" ht="33.75" x14ac:dyDescent="0.3">
      <c r="A1384" s="13">
        <v>22629</v>
      </c>
      <c r="B1384" s="14" t="s">
        <v>8324</v>
      </c>
      <c r="C1384" s="15" t="s">
        <v>8325</v>
      </c>
      <c r="D1384" s="15" t="s">
        <v>8326</v>
      </c>
      <c r="E1384" s="15" t="s">
        <v>8327</v>
      </c>
      <c r="F1384" s="15" t="s">
        <v>8328</v>
      </c>
      <c r="G1384" s="15" t="s">
        <v>8329</v>
      </c>
      <c r="H1384" s="16" t="s">
        <v>8330</v>
      </c>
    </row>
    <row r="1385" spans="1:8" ht="22.5" x14ac:dyDescent="0.3">
      <c r="A1385" s="13">
        <v>22630</v>
      </c>
      <c r="B1385" s="14" t="s">
        <v>8331</v>
      </c>
      <c r="C1385" s="15" t="s">
        <v>8332</v>
      </c>
      <c r="D1385" s="15" t="s">
        <v>8333</v>
      </c>
      <c r="E1385" s="15" t="s">
        <v>8334</v>
      </c>
      <c r="F1385" s="15" t="s">
        <v>8331</v>
      </c>
      <c r="G1385" s="15" t="s">
        <v>8335</v>
      </c>
      <c r="H1385" s="16" t="s">
        <v>8336</v>
      </c>
    </row>
    <row r="1386" spans="1:8" x14ac:dyDescent="0.3">
      <c r="A1386" s="13" t="s">
        <v>8337</v>
      </c>
      <c r="B1386" s="14" t="s">
        <v>19725</v>
      </c>
      <c r="C1386" s="15" t="s">
        <v>8338</v>
      </c>
      <c r="D1386" s="15"/>
      <c r="E1386" s="15" t="s">
        <v>8339</v>
      </c>
      <c r="F1386" s="15" t="s">
        <v>8340</v>
      </c>
      <c r="G1386" s="15" t="s">
        <v>8341</v>
      </c>
      <c r="H1386" s="16" t="s">
        <v>8342</v>
      </c>
    </row>
    <row r="1387" spans="1:8" ht="45" x14ac:dyDescent="0.3">
      <c r="A1387" s="13" t="s">
        <v>8343</v>
      </c>
      <c r="B1387" s="14" t="s">
        <v>8344</v>
      </c>
      <c r="C1387" s="15" t="s">
        <v>8345</v>
      </c>
      <c r="D1387" s="15" t="s">
        <v>8346</v>
      </c>
      <c r="E1387" s="15" t="s">
        <v>8347</v>
      </c>
      <c r="F1387" s="15" t="s">
        <v>8348</v>
      </c>
      <c r="G1387" s="15" t="s">
        <v>8349</v>
      </c>
      <c r="H1387" s="16" t="s">
        <v>8350</v>
      </c>
    </row>
    <row r="1388" spans="1:8" ht="22.5" x14ac:dyDescent="0.3">
      <c r="A1388" s="13">
        <v>22631</v>
      </c>
      <c r="B1388" s="14" t="s">
        <v>8351</v>
      </c>
      <c r="C1388" s="15" t="s">
        <v>8352</v>
      </c>
      <c r="D1388" s="15" t="s">
        <v>8353</v>
      </c>
      <c r="E1388" s="15" t="s">
        <v>8354</v>
      </c>
      <c r="F1388" s="15" t="s">
        <v>8355</v>
      </c>
      <c r="G1388" s="15" t="s">
        <v>8356</v>
      </c>
      <c r="H1388" s="16" t="s">
        <v>8357</v>
      </c>
    </row>
    <row r="1389" spans="1:8" x14ac:dyDescent="0.3">
      <c r="A1389" s="13">
        <v>22632</v>
      </c>
      <c r="B1389" s="14" t="s">
        <v>8358</v>
      </c>
      <c r="C1389" s="15" t="s">
        <v>8359</v>
      </c>
      <c r="D1389" s="15" t="s">
        <v>8360</v>
      </c>
      <c r="E1389" s="15" t="s">
        <v>8361</v>
      </c>
      <c r="F1389" s="15" t="s">
        <v>8362</v>
      </c>
      <c r="G1389" s="15" t="s">
        <v>8361</v>
      </c>
      <c r="H1389" s="16" t="s">
        <v>8363</v>
      </c>
    </row>
    <row r="1390" spans="1:8" ht="22.5" x14ac:dyDescent="0.3">
      <c r="A1390" s="13">
        <v>22633</v>
      </c>
      <c r="B1390" s="14" t="s">
        <v>8364</v>
      </c>
      <c r="C1390" s="15" t="s">
        <v>8365</v>
      </c>
      <c r="D1390" s="15" t="s">
        <v>8366</v>
      </c>
      <c r="E1390" s="15" t="s">
        <v>8367</v>
      </c>
      <c r="F1390" s="15" t="s">
        <v>8368</v>
      </c>
      <c r="G1390" s="15" t="s">
        <v>8367</v>
      </c>
      <c r="H1390" s="16"/>
    </row>
    <row r="1391" spans="1:8" ht="33.75" x14ac:dyDescent="0.3">
      <c r="A1391" s="13">
        <v>22634</v>
      </c>
      <c r="B1391" s="14" t="s">
        <v>8369</v>
      </c>
      <c r="C1391" s="15" t="s">
        <v>8370</v>
      </c>
      <c r="D1391" s="15" t="s">
        <v>8371</v>
      </c>
      <c r="E1391" s="15" t="s">
        <v>8372</v>
      </c>
      <c r="F1391" s="15" t="s">
        <v>8373</v>
      </c>
      <c r="G1391" s="15" t="s">
        <v>8374</v>
      </c>
      <c r="H1391" s="16" t="s">
        <v>8375</v>
      </c>
    </row>
    <row r="1392" spans="1:8" ht="33.75" x14ac:dyDescent="0.3">
      <c r="A1392" s="13">
        <v>22635</v>
      </c>
      <c r="B1392" s="14" t="s">
        <v>8376</v>
      </c>
      <c r="C1392" s="15" t="s">
        <v>8377</v>
      </c>
      <c r="D1392" s="15" t="s">
        <v>8378</v>
      </c>
      <c r="E1392" s="15" t="s">
        <v>8379</v>
      </c>
      <c r="F1392" s="15" t="s">
        <v>8380</v>
      </c>
      <c r="G1392" s="15" t="s">
        <v>8381</v>
      </c>
      <c r="H1392" s="16" t="s">
        <v>8382</v>
      </c>
    </row>
    <row r="1393" spans="1:8" ht="22.5" x14ac:dyDescent="0.3">
      <c r="A1393" s="13">
        <v>22636</v>
      </c>
      <c r="B1393" s="14" t="s">
        <v>8383</v>
      </c>
      <c r="C1393" s="15" t="s">
        <v>8384</v>
      </c>
      <c r="D1393" s="15" t="s">
        <v>8383</v>
      </c>
      <c r="E1393" s="15" t="s">
        <v>8383</v>
      </c>
      <c r="F1393" s="15" t="s">
        <v>8385</v>
      </c>
      <c r="G1393" s="15" t="s">
        <v>8386</v>
      </c>
      <c r="H1393" s="16" t="s">
        <v>8383</v>
      </c>
    </row>
    <row r="1394" spans="1:8" ht="33.75" x14ac:dyDescent="0.3">
      <c r="A1394" s="13">
        <v>22637</v>
      </c>
      <c r="B1394" s="14" t="s">
        <v>8387</v>
      </c>
      <c r="C1394" s="15" t="s">
        <v>8388</v>
      </c>
      <c r="D1394" s="15" t="s">
        <v>8389</v>
      </c>
      <c r="E1394" s="15" t="s">
        <v>8390</v>
      </c>
      <c r="F1394" s="15" t="s">
        <v>8391</v>
      </c>
      <c r="G1394" s="15" t="s">
        <v>8392</v>
      </c>
      <c r="H1394" s="16" t="s">
        <v>8174</v>
      </c>
    </row>
    <row r="1395" spans="1:8" ht="22.5" x14ac:dyDescent="0.3">
      <c r="A1395" s="13" t="s">
        <v>8393</v>
      </c>
      <c r="B1395" s="14" t="s">
        <v>19725</v>
      </c>
      <c r="C1395" s="15" t="s">
        <v>8394</v>
      </c>
      <c r="D1395" s="15"/>
      <c r="E1395" s="15" t="s">
        <v>8395</v>
      </c>
      <c r="F1395" s="15" t="s">
        <v>8396</v>
      </c>
      <c r="G1395" s="15" t="s">
        <v>8397</v>
      </c>
      <c r="H1395" s="16" t="s">
        <v>8398</v>
      </c>
    </row>
    <row r="1396" spans="1:8" ht="33.75" x14ac:dyDescent="0.3">
      <c r="A1396" s="13">
        <v>22701</v>
      </c>
      <c r="B1396" s="14" t="s">
        <v>8399</v>
      </c>
      <c r="C1396" s="15" t="s">
        <v>8400</v>
      </c>
      <c r="D1396" s="15" t="s">
        <v>8401</v>
      </c>
      <c r="E1396" s="15" t="s">
        <v>8402</v>
      </c>
      <c r="F1396" s="15" t="s">
        <v>8403</v>
      </c>
      <c r="G1396" s="15" t="s">
        <v>8404</v>
      </c>
      <c r="H1396" s="16" t="s">
        <v>8405</v>
      </c>
    </row>
    <row r="1397" spans="1:8" ht="33.75" x14ac:dyDescent="0.3">
      <c r="A1397" s="13">
        <v>22702</v>
      </c>
      <c r="B1397" s="14" t="s">
        <v>8406</v>
      </c>
      <c r="C1397" s="15" t="s">
        <v>8407</v>
      </c>
      <c r="D1397" s="15" t="s">
        <v>8408</v>
      </c>
      <c r="E1397" s="15" t="s">
        <v>8409</v>
      </c>
      <c r="F1397" s="15" t="s">
        <v>8410</v>
      </c>
      <c r="G1397" s="15" t="s">
        <v>8411</v>
      </c>
      <c r="H1397" s="16" t="s">
        <v>8411</v>
      </c>
    </row>
    <row r="1398" spans="1:8" ht="45" x14ac:dyDescent="0.3">
      <c r="A1398" s="13">
        <v>22703</v>
      </c>
      <c r="B1398" s="14" t="s">
        <v>8412</v>
      </c>
      <c r="C1398" s="15" t="s">
        <v>8413</v>
      </c>
      <c r="D1398" s="15" t="s">
        <v>8414</v>
      </c>
      <c r="E1398" s="15" t="s">
        <v>8415</v>
      </c>
      <c r="F1398" s="15" t="s">
        <v>8416</v>
      </c>
      <c r="G1398" s="15" t="s">
        <v>8417</v>
      </c>
      <c r="H1398" s="16" t="s">
        <v>8418</v>
      </c>
    </row>
    <row r="1399" spans="1:8" ht="22.5" x14ac:dyDescent="0.3">
      <c r="A1399" s="13">
        <v>22704</v>
      </c>
      <c r="B1399" s="14" t="s">
        <v>8419</v>
      </c>
      <c r="C1399" s="15" t="s">
        <v>8420</v>
      </c>
      <c r="D1399" s="15" t="s">
        <v>8421</v>
      </c>
      <c r="E1399" s="15" t="s">
        <v>8422</v>
      </c>
      <c r="F1399" s="15" t="s">
        <v>8423</v>
      </c>
      <c r="G1399" s="15" t="s">
        <v>8424</v>
      </c>
      <c r="H1399" s="16" t="s">
        <v>8425</v>
      </c>
    </row>
    <row r="1400" spans="1:8" ht="33.75" x14ac:dyDescent="0.3">
      <c r="A1400" s="13">
        <v>22705</v>
      </c>
      <c r="B1400" s="14" t="s">
        <v>8426</v>
      </c>
      <c r="C1400" s="15" t="s">
        <v>8427</v>
      </c>
      <c r="D1400" s="15" t="s">
        <v>8428</v>
      </c>
      <c r="E1400" s="15" t="s">
        <v>8429</v>
      </c>
      <c r="F1400" s="15" t="s">
        <v>8430</v>
      </c>
      <c r="G1400" s="15" t="s">
        <v>8431</v>
      </c>
      <c r="H1400" s="16" t="s">
        <v>8426</v>
      </c>
    </row>
    <row r="1401" spans="1:8" ht="33.75" x14ac:dyDescent="0.3">
      <c r="A1401" s="13">
        <v>22706</v>
      </c>
      <c r="B1401" s="14" t="s">
        <v>8432</v>
      </c>
      <c r="C1401" s="15" t="s">
        <v>8433</v>
      </c>
      <c r="D1401" s="15" t="s">
        <v>8434</v>
      </c>
      <c r="E1401" s="15" t="s">
        <v>8435</v>
      </c>
      <c r="F1401" s="15" t="s">
        <v>8436</v>
      </c>
      <c r="G1401" s="15" t="s">
        <v>8437</v>
      </c>
      <c r="H1401" s="16" t="s">
        <v>8438</v>
      </c>
    </row>
    <row r="1402" spans="1:8" ht="45" x14ac:dyDescent="0.3">
      <c r="A1402" s="13" t="s">
        <v>8439</v>
      </c>
      <c r="B1402" s="14" t="s">
        <v>19724</v>
      </c>
      <c r="C1402" s="15" t="s">
        <v>8440</v>
      </c>
      <c r="D1402" s="15"/>
      <c r="E1402" s="15" t="s">
        <v>8441</v>
      </c>
      <c r="F1402" s="15" t="s">
        <v>8442</v>
      </c>
      <c r="G1402" s="15" t="s">
        <v>8443</v>
      </c>
      <c r="H1402" s="16" t="s">
        <v>8444</v>
      </c>
    </row>
    <row r="1403" spans="1:8" ht="22.5" x14ac:dyDescent="0.3">
      <c r="A1403" s="13" t="s">
        <v>8445</v>
      </c>
      <c r="B1403" s="14" t="s">
        <v>19725</v>
      </c>
      <c r="C1403" s="15" t="s">
        <v>8446</v>
      </c>
      <c r="D1403" s="15"/>
      <c r="E1403" s="15" t="s">
        <v>8447</v>
      </c>
      <c r="F1403" s="15" t="s">
        <v>8448</v>
      </c>
      <c r="G1403" s="15" t="s">
        <v>8449</v>
      </c>
      <c r="H1403" s="16" t="s">
        <v>8450</v>
      </c>
    </row>
    <row r="1404" spans="1:8" ht="22.5" x14ac:dyDescent="0.3">
      <c r="A1404" s="13">
        <v>22707</v>
      </c>
      <c r="B1404" s="14" t="s">
        <v>8451</v>
      </c>
      <c r="C1404" s="15" t="s">
        <v>8452</v>
      </c>
      <c r="D1404" s="15" t="s">
        <v>8453</v>
      </c>
      <c r="E1404" s="15" t="s">
        <v>8451</v>
      </c>
      <c r="F1404" s="15" t="s">
        <v>8454</v>
      </c>
      <c r="G1404" s="15" t="s">
        <v>8455</v>
      </c>
      <c r="H1404" s="16" t="s">
        <v>8456</v>
      </c>
    </row>
    <row r="1405" spans="1:8" x14ac:dyDescent="0.3">
      <c r="A1405" s="13">
        <v>22708</v>
      </c>
      <c r="B1405" s="14" t="s">
        <v>8457</v>
      </c>
      <c r="C1405" s="15" t="s">
        <v>8458</v>
      </c>
      <c r="D1405" s="15" t="s">
        <v>8457</v>
      </c>
      <c r="E1405" s="15" t="s">
        <v>8457</v>
      </c>
      <c r="F1405" s="15" t="s">
        <v>8459</v>
      </c>
      <c r="G1405" s="15" t="s">
        <v>8460</v>
      </c>
      <c r="H1405" s="16" t="s">
        <v>8461</v>
      </c>
    </row>
    <row r="1406" spans="1:8" ht="22.5" x14ac:dyDescent="0.3">
      <c r="A1406" s="13">
        <v>22709</v>
      </c>
      <c r="B1406" s="14" t="s">
        <v>8462</v>
      </c>
      <c r="C1406" s="15" t="s">
        <v>8463</v>
      </c>
      <c r="D1406" s="15" t="s">
        <v>8464</v>
      </c>
      <c r="E1406" s="15" t="s">
        <v>8465</v>
      </c>
      <c r="F1406" s="15" t="s">
        <v>8466</v>
      </c>
      <c r="G1406" s="15" t="s">
        <v>8467</v>
      </c>
      <c r="H1406" s="16" t="s">
        <v>8468</v>
      </c>
    </row>
    <row r="1407" spans="1:8" ht="56.25" x14ac:dyDescent="0.3">
      <c r="A1407" s="13">
        <v>22710</v>
      </c>
      <c r="B1407" s="14" t="s">
        <v>8469</v>
      </c>
      <c r="C1407" s="15" t="s">
        <v>8470</v>
      </c>
      <c r="D1407" s="15" t="s">
        <v>8471</v>
      </c>
      <c r="E1407" s="15" t="s">
        <v>8472</v>
      </c>
      <c r="F1407" s="15" t="s">
        <v>8473</v>
      </c>
      <c r="G1407" s="15" t="s">
        <v>8474</v>
      </c>
      <c r="H1407" s="16" t="s">
        <v>8475</v>
      </c>
    </row>
    <row r="1408" spans="1:8" x14ac:dyDescent="0.3">
      <c r="A1408" s="13">
        <v>22711</v>
      </c>
      <c r="B1408" s="14" t="s">
        <v>8476</v>
      </c>
      <c r="C1408" s="15" t="s">
        <v>8477</v>
      </c>
      <c r="D1408" s="15" t="s">
        <v>8478</v>
      </c>
      <c r="E1408" s="15" t="s">
        <v>8479</v>
      </c>
      <c r="F1408" s="15" t="s">
        <v>8480</v>
      </c>
      <c r="G1408" s="15" t="s">
        <v>8481</v>
      </c>
      <c r="H1408" s="16"/>
    </row>
    <row r="1409" spans="1:8" ht="33.75" x14ac:dyDescent="0.3">
      <c r="A1409" s="13">
        <v>22712</v>
      </c>
      <c r="B1409" s="14" t="s">
        <v>8482</v>
      </c>
      <c r="C1409" s="15" t="s">
        <v>8483</v>
      </c>
      <c r="D1409" s="15" t="s">
        <v>8484</v>
      </c>
      <c r="E1409" s="15" t="s">
        <v>8485</v>
      </c>
      <c r="F1409" s="15" t="s">
        <v>8486</v>
      </c>
      <c r="G1409" s="15" t="s">
        <v>8487</v>
      </c>
      <c r="H1409" s="16" t="s">
        <v>8488</v>
      </c>
    </row>
    <row r="1410" spans="1:8" ht="33.75" x14ac:dyDescent="0.3">
      <c r="A1410" s="13">
        <v>22713</v>
      </c>
      <c r="B1410" s="14" t="s">
        <v>8489</v>
      </c>
      <c r="C1410" s="15" t="s">
        <v>8490</v>
      </c>
      <c r="D1410" s="15" t="s">
        <v>8491</v>
      </c>
      <c r="E1410" s="15" t="s">
        <v>8492</v>
      </c>
      <c r="F1410" s="15" t="s">
        <v>8493</v>
      </c>
      <c r="G1410" s="15" t="s">
        <v>8492</v>
      </c>
      <c r="H1410" s="16" t="s">
        <v>8489</v>
      </c>
    </row>
    <row r="1411" spans="1:8" ht="22.5" x14ac:dyDescent="0.3">
      <c r="A1411" s="13">
        <v>22714</v>
      </c>
      <c r="B1411" s="14" t="s">
        <v>8494</v>
      </c>
      <c r="C1411" s="15" t="s">
        <v>8495</v>
      </c>
      <c r="D1411" s="15" t="s">
        <v>8496</v>
      </c>
      <c r="E1411" s="15" t="s">
        <v>8497</v>
      </c>
      <c r="F1411" s="15" t="s">
        <v>8498</v>
      </c>
      <c r="G1411" s="15" t="s">
        <v>8499</v>
      </c>
      <c r="H1411" s="16" t="s">
        <v>8499</v>
      </c>
    </row>
    <row r="1412" spans="1:8" ht="22.5" x14ac:dyDescent="0.3">
      <c r="A1412" s="13">
        <v>22715</v>
      </c>
      <c r="B1412" s="14" t="s">
        <v>8500</v>
      </c>
      <c r="C1412" s="15" t="s">
        <v>8501</v>
      </c>
      <c r="D1412" s="15" t="s">
        <v>8502</v>
      </c>
      <c r="E1412" s="15" t="s">
        <v>8503</v>
      </c>
      <c r="F1412" s="15" t="s">
        <v>8504</v>
      </c>
      <c r="G1412" s="15" t="s">
        <v>8505</v>
      </c>
      <c r="H1412" s="16" t="s">
        <v>8506</v>
      </c>
    </row>
    <row r="1413" spans="1:8" ht="33.75" x14ac:dyDescent="0.3">
      <c r="A1413" s="13">
        <v>22716</v>
      </c>
      <c r="B1413" s="14" t="s">
        <v>8507</v>
      </c>
      <c r="C1413" s="15" t="s">
        <v>8508</v>
      </c>
      <c r="D1413" s="15" t="s">
        <v>8509</v>
      </c>
      <c r="E1413" s="15" t="s">
        <v>8510</v>
      </c>
      <c r="F1413" s="15" t="s">
        <v>8511</v>
      </c>
      <c r="G1413" s="15" t="s">
        <v>8512</v>
      </c>
      <c r="H1413" s="16" t="s">
        <v>8513</v>
      </c>
    </row>
    <row r="1414" spans="1:8" ht="56.25" x14ac:dyDescent="0.3">
      <c r="A1414" s="13">
        <v>22717</v>
      </c>
      <c r="B1414" s="14" t="s">
        <v>8514</v>
      </c>
      <c r="C1414" s="15" t="s">
        <v>8515</v>
      </c>
      <c r="D1414" s="15" t="s">
        <v>8516</v>
      </c>
      <c r="E1414" s="15" t="s">
        <v>8517</v>
      </c>
      <c r="F1414" s="15" t="s">
        <v>8514</v>
      </c>
      <c r="G1414" s="15" t="s">
        <v>8518</v>
      </c>
      <c r="H1414" s="16" t="s">
        <v>8519</v>
      </c>
    </row>
    <row r="1415" spans="1:8" ht="33.75" x14ac:dyDescent="0.3">
      <c r="A1415" s="13">
        <v>22718</v>
      </c>
      <c r="B1415" s="14" t="s">
        <v>8520</v>
      </c>
      <c r="C1415" s="15" t="s">
        <v>8521</v>
      </c>
      <c r="D1415" s="15" t="s">
        <v>8522</v>
      </c>
      <c r="E1415" s="15" t="s">
        <v>8523</v>
      </c>
      <c r="F1415" s="15" t="s">
        <v>8524</v>
      </c>
      <c r="G1415" s="15" t="s">
        <v>8525</v>
      </c>
      <c r="H1415" s="16" t="s">
        <v>8526</v>
      </c>
    </row>
    <row r="1416" spans="1:8" ht="56.25" x14ac:dyDescent="0.3">
      <c r="A1416" s="13">
        <v>22719</v>
      </c>
      <c r="B1416" s="14" t="s">
        <v>8174</v>
      </c>
      <c r="C1416" s="15" t="s">
        <v>8527</v>
      </c>
      <c r="D1416" s="15" t="s">
        <v>8528</v>
      </c>
      <c r="E1416" s="15" t="s">
        <v>8529</v>
      </c>
      <c r="F1416" s="15" t="s">
        <v>8530</v>
      </c>
      <c r="G1416" s="15" t="s">
        <v>8531</v>
      </c>
      <c r="H1416" s="16" t="s">
        <v>8532</v>
      </c>
    </row>
    <row r="1417" spans="1:8" ht="45" x14ac:dyDescent="0.3">
      <c r="A1417" s="13">
        <v>22720</v>
      </c>
      <c r="B1417" s="14" t="s">
        <v>8533</v>
      </c>
      <c r="C1417" s="15" t="s">
        <v>8534</v>
      </c>
      <c r="D1417" s="15" t="s">
        <v>8535</v>
      </c>
      <c r="E1417" s="15" t="s">
        <v>8536</v>
      </c>
      <c r="F1417" s="15" t="s">
        <v>8537</v>
      </c>
      <c r="G1417" s="15" t="s">
        <v>8538</v>
      </c>
      <c r="H1417" s="16" t="s">
        <v>8539</v>
      </c>
    </row>
    <row r="1418" spans="1:8" ht="33.75" x14ac:dyDescent="0.3">
      <c r="A1418" s="13">
        <v>22721</v>
      </c>
      <c r="B1418" s="14" t="s">
        <v>8540</v>
      </c>
      <c r="C1418" s="15" t="s">
        <v>8541</v>
      </c>
      <c r="D1418" s="15" t="s">
        <v>8542</v>
      </c>
      <c r="E1418" s="15" t="s">
        <v>8543</v>
      </c>
      <c r="F1418" s="15" t="s">
        <v>8544</v>
      </c>
      <c r="G1418" s="15" t="s">
        <v>8545</v>
      </c>
      <c r="H1418" s="16" t="s">
        <v>8543</v>
      </c>
    </row>
    <row r="1419" spans="1:8" x14ac:dyDescent="0.3">
      <c r="A1419" s="13">
        <v>22722</v>
      </c>
      <c r="B1419" s="14" t="s">
        <v>8546</v>
      </c>
      <c r="C1419" s="15" t="s">
        <v>8547</v>
      </c>
      <c r="D1419" s="15" t="s">
        <v>8548</v>
      </c>
      <c r="E1419" s="15" t="s">
        <v>8549</v>
      </c>
      <c r="F1419" s="15" t="s">
        <v>8550</v>
      </c>
      <c r="G1419" s="15" t="s">
        <v>8551</v>
      </c>
      <c r="H1419" s="16" t="s">
        <v>8549</v>
      </c>
    </row>
    <row r="1420" spans="1:8" ht="78.75" x14ac:dyDescent="0.3">
      <c r="A1420" s="13">
        <v>22723</v>
      </c>
      <c r="B1420" s="14" t="s">
        <v>8552</v>
      </c>
      <c r="C1420" s="15" t="s">
        <v>8553</v>
      </c>
      <c r="D1420" s="15" t="s">
        <v>8552</v>
      </c>
      <c r="E1420" s="15" t="s">
        <v>8554</v>
      </c>
      <c r="F1420" s="15" t="s">
        <v>8555</v>
      </c>
      <c r="G1420" s="15" t="s">
        <v>8556</v>
      </c>
      <c r="H1420" s="16" t="s">
        <v>8556</v>
      </c>
    </row>
    <row r="1421" spans="1:8" ht="33.75" x14ac:dyDescent="0.3">
      <c r="A1421" s="13">
        <v>22724</v>
      </c>
      <c r="B1421" s="14" t="s">
        <v>8557</v>
      </c>
      <c r="C1421" s="15" t="s">
        <v>8558</v>
      </c>
      <c r="D1421" s="15" t="s">
        <v>8559</v>
      </c>
      <c r="E1421" s="15" t="s">
        <v>8559</v>
      </c>
      <c r="F1421" s="15" t="s">
        <v>8560</v>
      </c>
      <c r="G1421" s="15" t="s">
        <v>8561</v>
      </c>
      <c r="H1421" s="16" t="s">
        <v>8562</v>
      </c>
    </row>
    <row r="1422" spans="1:8" ht="22.5" x14ac:dyDescent="0.3">
      <c r="A1422" s="13">
        <v>22725</v>
      </c>
      <c r="B1422" s="14" t="s">
        <v>8563</v>
      </c>
      <c r="C1422" s="15" t="s">
        <v>8564</v>
      </c>
      <c r="D1422" s="15" t="s">
        <v>8565</v>
      </c>
      <c r="E1422" s="15" t="s">
        <v>8563</v>
      </c>
      <c r="F1422" s="15" t="s">
        <v>8566</v>
      </c>
      <c r="G1422" s="15" t="s">
        <v>8567</v>
      </c>
      <c r="H1422" s="16" t="s">
        <v>8568</v>
      </c>
    </row>
    <row r="1423" spans="1:8" x14ac:dyDescent="0.3">
      <c r="A1423" s="13">
        <v>22726</v>
      </c>
      <c r="B1423" s="14" t="s">
        <v>8569</v>
      </c>
      <c r="C1423" s="15" t="s">
        <v>8570</v>
      </c>
      <c r="D1423" s="15" t="s">
        <v>8571</v>
      </c>
      <c r="E1423" s="15" t="s">
        <v>8572</v>
      </c>
      <c r="F1423" s="15" t="s">
        <v>8571</v>
      </c>
      <c r="G1423" s="15" t="s">
        <v>8571</v>
      </c>
      <c r="H1423" s="16" t="s">
        <v>8571</v>
      </c>
    </row>
    <row r="1424" spans="1:8" x14ac:dyDescent="0.3">
      <c r="A1424" s="13">
        <v>22727</v>
      </c>
      <c r="B1424" s="14" t="s">
        <v>8573</v>
      </c>
      <c r="C1424" s="15" t="s">
        <v>8574</v>
      </c>
      <c r="D1424" s="15" t="s">
        <v>8575</v>
      </c>
      <c r="E1424" s="15" t="s">
        <v>8573</v>
      </c>
      <c r="F1424" s="15" t="s">
        <v>8573</v>
      </c>
      <c r="G1424" s="15" t="s">
        <v>8576</v>
      </c>
      <c r="H1424" s="16" t="s">
        <v>8577</v>
      </c>
    </row>
    <row r="1425" spans="1:8" ht="45" x14ac:dyDescent="0.3">
      <c r="A1425" s="13" t="s">
        <v>8578</v>
      </c>
      <c r="B1425" s="14" t="s">
        <v>8579</v>
      </c>
      <c r="C1425" s="15" t="s">
        <v>8580</v>
      </c>
      <c r="D1425" s="15" t="s">
        <v>8581</v>
      </c>
      <c r="E1425" s="15" t="s">
        <v>8582</v>
      </c>
      <c r="F1425" s="15" t="s">
        <v>8583</v>
      </c>
      <c r="G1425" s="15" t="s">
        <v>8584</v>
      </c>
      <c r="H1425" s="16" t="s">
        <v>8585</v>
      </c>
    </row>
    <row r="1426" spans="1:8" ht="33.75" x14ac:dyDescent="0.3">
      <c r="A1426" s="13">
        <v>22728</v>
      </c>
      <c r="B1426" s="14" t="s">
        <v>8586</v>
      </c>
      <c r="C1426" s="15" t="s">
        <v>8587</v>
      </c>
      <c r="D1426" s="15" t="s">
        <v>8588</v>
      </c>
      <c r="E1426" s="15" t="s">
        <v>8589</v>
      </c>
      <c r="F1426" s="15" t="s">
        <v>8590</v>
      </c>
      <c r="G1426" s="15" t="s">
        <v>8590</v>
      </c>
      <c r="H1426" s="16" t="s">
        <v>8591</v>
      </c>
    </row>
    <row r="1427" spans="1:8" x14ac:dyDescent="0.3">
      <c r="A1427" s="13">
        <v>22729</v>
      </c>
      <c r="B1427" s="14" t="s">
        <v>8592</v>
      </c>
      <c r="C1427" s="15" t="s">
        <v>8593</v>
      </c>
      <c r="D1427" s="15" t="s">
        <v>8592</v>
      </c>
      <c r="E1427" s="15" t="s">
        <v>8594</v>
      </c>
      <c r="F1427" s="15" t="s">
        <v>8595</v>
      </c>
      <c r="G1427" s="15" t="s">
        <v>8596</v>
      </c>
      <c r="H1427" s="16" t="s">
        <v>8597</v>
      </c>
    </row>
    <row r="1428" spans="1:8" ht="22.5" x14ac:dyDescent="0.3">
      <c r="A1428" s="13">
        <v>22730</v>
      </c>
      <c r="B1428" s="14" t="s">
        <v>8598</v>
      </c>
      <c r="C1428" s="15" t="s">
        <v>8599</v>
      </c>
      <c r="D1428" s="15" t="s">
        <v>8600</v>
      </c>
      <c r="E1428" s="15" t="s">
        <v>8598</v>
      </c>
      <c r="F1428" s="15" t="s">
        <v>8601</v>
      </c>
      <c r="G1428" s="15" t="s">
        <v>8602</v>
      </c>
      <c r="H1428" s="16" t="s">
        <v>8598</v>
      </c>
    </row>
    <row r="1429" spans="1:8" ht="22.5" x14ac:dyDescent="0.3">
      <c r="A1429" s="13">
        <v>22731</v>
      </c>
      <c r="B1429" s="14" t="s">
        <v>8603</v>
      </c>
      <c r="C1429" s="15" t="s">
        <v>57</v>
      </c>
      <c r="D1429" s="15" t="s">
        <v>8604</v>
      </c>
      <c r="E1429" s="15" t="s">
        <v>8605</v>
      </c>
      <c r="F1429" s="15" t="s">
        <v>8606</v>
      </c>
      <c r="G1429" s="15" t="s">
        <v>8607</v>
      </c>
      <c r="H1429" s="16" t="s">
        <v>8603</v>
      </c>
    </row>
    <row r="1430" spans="1:8" ht="22.5" x14ac:dyDescent="0.3">
      <c r="A1430" s="13">
        <v>22732</v>
      </c>
      <c r="B1430" s="14" t="s">
        <v>8608</v>
      </c>
      <c r="C1430" s="15" t="s">
        <v>8609</v>
      </c>
      <c r="D1430" s="15" t="s">
        <v>8610</v>
      </c>
      <c r="E1430" s="15" t="s">
        <v>8611</v>
      </c>
      <c r="F1430" s="15" t="s">
        <v>8612</v>
      </c>
      <c r="G1430" s="15" t="s">
        <v>8613</v>
      </c>
      <c r="H1430" s="16" t="s">
        <v>8614</v>
      </c>
    </row>
    <row r="1431" spans="1:8" x14ac:dyDescent="0.3">
      <c r="A1431" s="13">
        <v>22733</v>
      </c>
      <c r="B1431" s="14" t="s">
        <v>8615</v>
      </c>
      <c r="C1431" s="15" t="s">
        <v>8616</v>
      </c>
      <c r="D1431" s="15" t="s">
        <v>8617</v>
      </c>
      <c r="E1431" s="15" t="s">
        <v>8618</v>
      </c>
      <c r="F1431" s="15" t="s">
        <v>8619</v>
      </c>
      <c r="G1431" s="15" t="s">
        <v>8620</v>
      </c>
      <c r="H1431" s="16" t="s">
        <v>8620</v>
      </c>
    </row>
    <row r="1432" spans="1:8" ht="22.5" x14ac:dyDescent="0.3">
      <c r="A1432" s="13">
        <v>22734</v>
      </c>
      <c r="B1432" s="14" t="s">
        <v>8621</v>
      </c>
      <c r="C1432" s="15" t="s">
        <v>8622</v>
      </c>
      <c r="D1432" s="15" t="s">
        <v>8623</v>
      </c>
      <c r="E1432" s="15" t="s">
        <v>8621</v>
      </c>
      <c r="F1432" s="15" t="s">
        <v>8624</v>
      </c>
      <c r="G1432" s="15" t="s">
        <v>8625</v>
      </c>
      <c r="H1432" s="16" t="s">
        <v>8626</v>
      </c>
    </row>
    <row r="1433" spans="1:8" ht="33.75" x14ac:dyDescent="0.3">
      <c r="A1433" s="13">
        <v>22735</v>
      </c>
      <c r="B1433" s="14" t="s">
        <v>8627</v>
      </c>
      <c r="C1433" s="15" t="s">
        <v>8628</v>
      </c>
      <c r="D1433" s="15" t="s">
        <v>8629</v>
      </c>
      <c r="E1433" s="15" t="s">
        <v>8630</v>
      </c>
      <c r="F1433" s="15" t="s">
        <v>8631</v>
      </c>
      <c r="G1433" s="15" t="s">
        <v>8632</v>
      </c>
      <c r="H1433" s="16" t="s">
        <v>8633</v>
      </c>
    </row>
    <row r="1434" spans="1:8" ht="45" x14ac:dyDescent="0.3">
      <c r="A1434" s="13" t="s">
        <v>8634</v>
      </c>
      <c r="B1434" s="14" t="s">
        <v>19725</v>
      </c>
      <c r="C1434" s="15" t="s">
        <v>8635</v>
      </c>
      <c r="D1434" s="15"/>
      <c r="E1434" s="15" t="s">
        <v>8636</v>
      </c>
      <c r="F1434" s="15" t="s">
        <v>8637</v>
      </c>
      <c r="G1434" s="15" t="s">
        <v>8638</v>
      </c>
      <c r="H1434" s="16" t="s">
        <v>8639</v>
      </c>
    </row>
    <row r="1435" spans="1:8" ht="112.5" x14ac:dyDescent="0.3">
      <c r="A1435" s="13">
        <v>22736</v>
      </c>
      <c r="B1435" s="14" t="s">
        <v>8640</v>
      </c>
      <c r="C1435" s="15" t="s">
        <v>8641</v>
      </c>
      <c r="D1435" s="15" t="s">
        <v>8642</v>
      </c>
      <c r="E1435" s="15" t="s">
        <v>8643</v>
      </c>
      <c r="F1435" s="15" t="s">
        <v>8644</v>
      </c>
      <c r="G1435" s="15" t="s">
        <v>8645</v>
      </c>
      <c r="H1435" s="16" t="s">
        <v>8646</v>
      </c>
    </row>
    <row r="1436" spans="1:8" ht="67.5" x14ac:dyDescent="0.3">
      <c r="A1436" s="13">
        <v>22801</v>
      </c>
      <c r="B1436" s="14" t="s">
        <v>8647</v>
      </c>
      <c r="C1436" s="15" t="s">
        <v>8648</v>
      </c>
      <c r="D1436" s="15" t="s">
        <v>8649</v>
      </c>
      <c r="E1436" s="15" t="s">
        <v>8650</v>
      </c>
      <c r="F1436" s="15" t="s">
        <v>8651</v>
      </c>
      <c r="G1436" s="15" t="s">
        <v>8652</v>
      </c>
      <c r="H1436" s="16" t="s">
        <v>8653</v>
      </c>
    </row>
    <row r="1437" spans="1:8" ht="45" x14ac:dyDescent="0.3">
      <c r="A1437" s="13">
        <v>22802</v>
      </c>
      <c r="B1437" s="14" t="s">
        <v>8654</v>
      </c>
      <c r="C1437" s="15" t="s">
        <v>8655</v>
      </c>
      <c r="D1437" s="15" t="s">
        <v>8656</v>
      </c>
      <c r="E1437" s="15" t="s">
        <v>8657</v>
      </c>
      <c r="F1437" s="15" t="s">
        <v>8658</v>
      </c>
      <c r="G1437" s="15" t="s">
        <v>8659</v>
      </c>
      <c r="H1437" s="16" t="s">
        <v>8660</v>
      </c>
    </row>
    <row r="1438" spans="1:8" ht="33.75" x14ac:dyDescent="0.3">
      <c r="A1438" s="13">
        <v>22803</v>
      </c>
      <c r="B1438" s="14" t="s">
        <v>8661</v>
      </c>
      <c r="C1438" s="15" t="s">
        <v>8662</v>
      </c>
      <c r="D1438" s="15" t="s">
        <v>8663</v>
      </c>
      <c r="E1438" s="15" t="s">
        <v>8664</v>
      </c>
      <c r="F1438" s="15" t="s">
        <v>8665</v>
      </c>
      <c r="G1438" s="15" t="s">
        <v>8666</v>
      </c>
      <c r="H1438" s="16" t="s">
        <v>8661</v>
      </c>
    </row>
    <row r="1439" spans="1:8" x14ac:dyDescent="0.3">
      <c r="A1439" s="13">
        <v>22804</v>
      </c>
      <c r="B1439" s="14" t="s">
        <v>8667</v>
      </c>
      <c r="C1439" s="15" t="s">
        <v>8668</v>
      </c>
      <c r="D1439" s="15" t="s">
        <v>8669</v>
      </c>
      <c r="E1439" s="15" t="s">
        <v>8669</v>
      </c>
      <c r="F1439" s="15" t="s">
        <v>8670</v>
      </c>
      <c r="G1439" s="15" t="s">
        <v>8671</v>
      </c>
      <c r="H1439" s="16" t="s">
        <v>8672</v>
      </c>
    </row>
    <row r="1440" spans="1:8" ht="22.5" x14ac:dyDescent="0.3">
      <c r="A1440" s="13">
        <v>22805</v>
      </c>
      <c r="B1440" s="14" t="s">
        <v>8673</v>
      </c>
      <c r="C1440" s="15" t="s">
        <v>8674</v>
      </c>
      <c r="D1440" s="15" t="s">
        <v>8675</v>
      </c>
      <c r="E1440" s="15" t="s">
        <v>8676</v>
      </c>
      <c r="F1440" s="15" t="s">
        <v>8677</v>
      </c>
      <c r="G1440" s="15" t="s">
        <v>8678</v>
      </c>
      <c r="H1440" s="16" t="s">
        <v>8679</v>
      </c>
    </row>
    <row r="1441" spans="1:8" ht="22.5" x14ac:dyDescent="0.3">
      <c r="A1441" s="13">
        <v>22806</v>
      </c>
      <c r="B1441" s="14" t="s">
        <v>8680</v>
      </c>
      <c r="C1441" s="15" t="s">
        <v>8681</v>
      </c>
      <c r="D1441" s="15" t="s">
        <v>8682</v>
      </c>
      <c r="E1441" s="15" t="s">
        <v>8683</v>
      </c>
      <c r="F1441" s="15" t="s">
        <v>8684</v>
      </c>
      <c r="G1441" s="15" t="s">
        <v>8685</v>
      </c>
      <c r="H1441" s="16" t="s">
        <v>8684</v>
      </c>
    </row>
    <row r="1442" spans="1:8" x14ac:dyDescent="0.3">
      <c r="A1442" s="13">
        <v>22807</v>
      </c>
      <c r="B1442" s="14" t="s">
        <v>8686</v>
      </c>
      <c r="C1442" s="15" t="s">
        <v>8687</v>
      </c>
      <c r="D1442" s="15" t="s">
        <v>8688</v>
      </c>
      <c r="E1442" s="15" t="s">
        <v>8686</v>
      </c>
      <c r="F1442" s="15" t="s">
        <v>8689</v>
      </c>
      <c r="G1442" s="15" t="s">
        <v>8690</v>
      </c>
      <c r="H1442" s="16" t="s">
        <v>8690</v>
      </c>
    </row>
    <row r="1443" spans="1:8" ht="45" x14ac:dyDescent="0.3">
      <c r="A1443" s="13">
        <v>22808</v>
      </c>
      <c r="B1443" s="14" t="s">
        <v>8691</v>
      </c>
      <c r="C1443" s="15" t="s">
        <v>8692</v>
      </c>
      <c r="D1443" s="15" t="s">
        <v>8693</v>
      </c>
      <c r="E1443" s="15" t="s">
        <v>8694</v>
      </c>
      <c r="F1443" s="15" t="s">
        <v>8695</v>
      </c>
      <c r="G1443" s="15" t="s">
        <v>8696</v>
      </c>
      <c r="H1443" s="16" t="s">
        <v>8697</v>
      </c>
    </row>
    <row r="1444" spans="1:8" ht="56.25" x14ac:dyDescent="0.3">
      <c r="A1444" s="13">
        <v>22809</v>
      </c>
      <c r="B1444" s="14" t="s">
        <v>8698</v>
      </c>
      <c r="C1444" s="15" t="s">
        <v>8699</v>
      </c>
      <c r="D1444" s="15" t="s">
        <v>8700</v>
      </c>
      <c r="E1444" s="15" t="s">
        <v>8701</v>
      </c>
      <c r="F1444" s="15" t="s">
        <v>8702</v>
      </c>
      <c r="G1444" s="15" t="s">
        <v>8703</v>
      </c>
      <c r="H1444" s="16" t="s">
        <v>8704</v>
      </c>
    </row>
    <row r="1445" spans="1:8" ht="45" x14ac:dyDescent="0.3">
      <c r="A1445" s="13">
        <v>22810</v>
      </c>
      <c r="B1445" s="14" t="s">
        <v>8705</v>
      </c>
      <c r="C1445" s="15" t="s">
        <v>8706</v>
      </c>
      <c r="D1445" s="15" t="s">
        <v>8707</v>
      </c>
      <c r="E1445" s="15" t="s">
        <v>8708</v>
      </c>
      <c r="F1445" s="15" t="s">
        <v>8709</v>
      </c>
      <c r="G1445" s="15" t="s">
        <v>8710</v>
      </c>
      <c r="H1445" s="16" t="s">
        <v>8711</v>
      </c>
    </row>
    <row r="1446" spans="1:8" ht="33.75" x14ac:dyDescent="0.3">
      <c r="A1446" s="13" t="s">
        <v>8712</v>
      </c>
      <c r="B1446" s="14" t="s">
        <v>8713</v>
      </c>
      <c r="C1446" s="15" t="s">
        <v>8714</v>
      </c>
      <c r="D1446" s="15"/>
      <c r="E1446" s="15" t="s">
        <v>8708</v>
      </c>
      <c r="F1446" s="15" t="s">
        <v>8715</v>
      </c>
      <c r="G1446" s="15" t="s">
        <v>8710</v>
      </c>
      <c r="H1446" s="16" t="s">
        <v>8716</v>
      </c>
    </row>
    <row r="1447" spans="1:8" ht="33.75" x14ac:dyDescent="0.3">
      <c r="A1447" s="13" t="s">
        <v>8717</v>
      </c>
      <c r="B1447" s="14" t="s">
        <v>8718</v>
      </c>
      <c r="C1447" s="15" t="s">
        <v>8714</v>
      </c>
      <c r="D1447" s="15"/>
      <c r="E1447" s="15" t="s">
        <v>8708</v>
      </c>
      <c r="F1447" s="15" t="s">
        <v>8715</v>
      </c>
      <c r="G1447" s="15" t="s">
        <v>8719</v>
      </c>
      <c r="H1447" s="16" t="s">
        <v>8720</v>
      </c>
    </row>
    <row r="1448" spans="1:8" ht="22.5" x14ac:dyDescent="0.3">
      <c r="A1448" s="13">
        <v>22811</v>
      </c>
      <c r="B1448" s="14" t="s">
        <v>8721</v>
      </c>
      <c r="C1448" s="15" t="s">
        <v>57</v>
      </c>
      <c r="D1448" s="15" t="s">
        <v>8722</v>
      </c>
      <c r="E1448" s="15" t="s">
        <v>57</v>
      </c>
      <c r="F1448" s="15" t="s">
        <v>57</v>
      </c>
      <c r="G1448" s="15" t="s">
        <v>57</v>
      </c>
      <c r="H1448" s="16" t="s">
        <v>8723</v>
      </c>
    </row>
    <row r="1449" spans="1:8" ht="33.75" x14ac:dyDescent="0.3">
      <c r="A1449" s="13">
        <v>22812</v>
      </c>
      <c r="B1449" s="14" t="s">
        <v>5425</v>
      </c>
      <c r="C1449" s="15" t="s">
        <v>8724</v>
      </c>
      <c r="D1449" s="15" t="s">
        <v>8725</v>
      </c>
      <c r="E1449" s="15" t="s">
        <v>8726</v>
      </c>
      <c r="F1449" s="15" t="s">
        <v>8727</v>
      </c>
      <c r="G1449" s="15" t="s">
        <v>8728</v>
      </c>
      <c r="H1449" s="16" t="s">
        <v>8729</v>
      </c>
    </row>
    <row r="1450" spans="1:8" ht="22.5" x14ac:dyDescent="0.3">
      <c r="A1450" s="13">
        <v>22813</v>
      </c>
      <c r="B1450" s="14" t="s">
        <v>8730</v>
      </c>
      <c r="C1450" s="15" t="s">
        <v>8731</v>
      </c>
      <c r="D1450" s="15" t="s">
        <v>8732</v>
      </c>
      <c r="E1450" s="15" t="s">
        <v>8733</v>
      </c>
      <c r="F1450" s="15" t="s">
        <v>8734</v>
      </c>
      <c r="G1450" s="15" t="s">
        <v>8735</v>
      </c>
      <c r="H1450" s="16" t="s">
        <v>57</v>
      </c>
    </row>
    <row r="1451" spans="1:8" ht="101.25" x14ac:dyDescent="0.3">
      <c r="A1451" s="13">
        <v>22814</v>
      </c>
      <c r="B1451" s="14" t="s">
        <v>8736</v>
      </c>
      <c r="C1451" s="15" t="s">
        <v>8737</v>
      </c>
      <c r="D1451" s="15" t="s">
        <v>8738</v>
      </c>
      <c r="E1451" s="15" t="s">
        <v>8739</v>
      </c>
      <c r="F1451" s="15" t="s">
        <v>8740</v>
      </c>
      <c r="G1451" s="15" t="s">
        <v>8741</v>
      </c>
      <c r="H1451" s="16" t="s">
        <v>8742</v>
      </c>
    </row>
    <row r="1452" spans="1:8" ht="56.25" x14ac:dyDescent="0.3">
      <c r="A1452" s="13">
        <v>22815</v>
      </c>
      <c r="B1452" s="14" t="s">
        <v>8743</v>
      </c>
      <c r="C1452" s="15" t="s">
        <v>8744</v>
      </c>
      <c r="D1452" s="15" t="s">
        <v>8745</v>
      </c>
      <c r="E1452" s="15" t="s">
        <v>8746</v>
      </c>
      <c r="F1452" s="15" t="s">
        <v>8747</v>
      </c>
      <c r="G1452" s="15" t="s">
        <v>8748</v>
      </c>
      <c r="H1452" s="16" t="s">
        <v>8749</v>
      </c>
    </row>
    <row r="1453" spans="1:8" ht="33.75" x14ac:dyDescent="0.3">
      <c r="A1453" s="13" t="s">
        <v>8750</v>
      </c>
      <c r="B1453" s="14" t="s">
        <v>8751</v>
      </c>
      <c r="C1453" s="15" t="s">
        <v>8752</v>
      </c>
      <c r="D1453" s="15"/>
      <c r="E1453" s="15"/>
      <c r="F1453" s="15"/>
      <c r="G1453" s="15" t="s">
        <v>8753</v>
      </c>
      <c r="H1453" s="16" t="s">
        <v>8754</v>
      </c>
    </row>
    <row r="1454" spans="1:8" ht="33.75" x14ac:dyDescent="0.3">
      <c r="A1454" s="13" t="s">
        <v>8755</v>
      </c>
      <c r="B1454" s="14" t="s">
        <v>8756</v>
      </c>
      <c r="C1454" s="15" t="s">
        <v>8757</v>
      </c>
      <c r="D1454" s="15" t="s">
        <v>8758</v>
      </c>
      <c r="E1454" s="15"/>
      <c r="F1454" s="15"/>
      <c r="G1454" s="15" t="s">
        <v>8759</v>
      </c>
      <c r="H1454" s="16" t="s">
        <v>8760</v>
      </c>
    </row>
    <row r="1455" spans="1:8" ht="33.75" x14ac:dyDescent="0.3">
      <c r="A1455" s="13">
        <v>22816</v>
      </c>
      <c r="B1455" s="14" t="s">
        <v>8761</v>
      </c>
      <c r="C1455" s="15" t="s">
        <v>8762</v>
      </c>
      <c r="D1455" s="15" t="s">
        <v>8763</v>
      </c>
      <c r="E1455" s="15" t="s">
        <v>8764</v>
      </c>
      <c r="F1455" s="15" t="s">
        <v>8761</v>
      </c>
      <c r="G1455" s="15" t="s">
        <v>8765</v>
      </c>
      <c r="H1455" s="16" t="s">
        <v>8761</v>
      </c>
    </row>
    <row r="1456" spans="1:8" x14ac:dyDescent="0.3">
      <c r="A1456" s="13">
        <v>22817</v>
      </c>
      <c r="B1456" s="14" t="s">
        <v>8766</v>
      </c>
      <c r="C1456" s="15" t="s">
        <v>8767</v>
      </c>
      <c r="D1456" s="15" t="s">
        <v>8768</v>
      </c>
      <c r="E1456" s="15" t="s">
        <v>8769</v>
      </c>
      <c r="F1456" s="15" t="s">
        <v>8770</v>
      </c>
      <c r="G1456" s="15" t="s">
        <v>8768</v>
      </c>
      <c r="H1456" s="16" t="s">
        <v>8766</v>
      </c>
    </row>
    <row r="1457" spans="1:8" ht="45" x14ac:dyDescent="0.3">
      <c r="A1457" s="13">
        <v>22818</v>
      </c>
      <c r="B1457" s="14" t="s">
        <v>8771</v>
      </c>
      <c r="C1457" s="15" t="s">
        <v>8772</v>
      </c>
      <c r="D1457" s="15" t="s">
        <v>8773</v>
      </c>
      <c r="E1457" s="15" t="s">
        <v>8774</v>
      </c>
      <c r="F1457" s="15" t="s">
        <v>8775</v>
      </c>
      <c r="G1457" s="15" t="s">
        <v>8776</v>
      </c>
      <c r="H1457" s="16" t="s">
        <v>8777</v>
      </c>
    </row>
    <row r="1458" spans="1:8" ht="22.5" x14ac:dyDescent="0.3">
      <c r="A1458" s="13">
        <v>22819</v>
      </c>
      <c r="B1458" s="14" t="s">
        <v>8778</v>
      </c>
      <c r="C1458" s="15" t="s">
        <v>8779</v>
      </c>
      <c r="D1458" s="15" t="s">
        <v>8780</v>
      </c>
      <c r="E1458" s="15" t="s">
        <v>8781</v>
      </c>
      <c r="F1458" s="15" t="s">
        <v>8782</v>
      </c>
      <c r="G1458" s="15" t="s">
        <v>57</v>
      </c>
      <c r="H1458" s="16" t="s">
        <v>8783</v>
      </c>
    </row>
    <row r="1459" spans="1:8" ht="33.75" x14ac:dyDescent="0.3">
      <c r="A1459" s="13">
        <v>22820</v>
      </c>
      <c r="B1459" s="14" t="s">
        <v>8784</v>
      </c>
      <c r="C1459" s="15" t="s">
        <v>8785</v>
      </c>
      <c r="D1459" s="15" t="s">
        <v>8786</v>
      </c>
      <c r="E1459" s="15" t="s">
        <v>8787</v>
      </c>
      <c r="F1459" s="15" t="s">
        <v>8788</v>
      </c>
      <c r="G1459" s="15" t="s">
        <v>8789</v>
      </c>
      <c r="H1459" s="16" t="s">
        <v>8790</v>
      </c>
    </row>
    <row r="1460" spans="1:8" ht="45" x14ac:dyDescent="0.3">
      <c r="A1460" s="13">
        <v>22821</v>
      </c>
      <c r="B1460" s="14" t="s">
        <v>8791</v>
      </c>
      <c r="C1460" s="15" t="s">
        <v>8792</v>
      </c>
      <c r="D1460" s="15" t="s">
        <v>8793</v>
      </c>
      <c r="E1460" s="15" t="s">
        <v>8794</v>
      </c>
      <c r="F1460" s="15" t="s">
        <v>8795</v>
      </c>
      <c r="G1460" s="15" t="s">
        <v>8796</v>
      </c>
      <c r="H1460" s="16" t="s">
        <v>8797</v>
      </c>
    </row>
    <row r="1461" spans="1:8" ht="90" x14ac:dyDescent="0.3">
      <c r="A1461" s="13">
        <v>22822</v>
      </c>
      <c r="B1461" s="14" t="s">
        <v>8798</v>
      </c>
      <c r="C1461" s="15" t="s">
        <v>8799</v>
      </c>
      <c r="D1461" s="15" t="s">
        <v>8800</v>
      </c>
      <c r="E1461" s="15" t="s">
        <v>8801</v>
      </c>
      <c r="F1461" s="15" t="s">
        <v>8802</v>
      </c>
      <c r="G1461" s="15" t="s">
        <v>8803</v>
      </c>
      <c r="H1461" s="16" t="s">
        <v>8804</v>
      </c>
    </row>
    <row r="1462" spans="1:8" ht="33.75" x14ac:dyDescent="0.3">
      <c r="A1462" s="13">
        <v>22823</v>
      </c>
      <c r="B1462" s="14" t="s">
        <v>8805</v>
      </c>
      <c r="C1462" s="15" t="s">
        <v>8806</v>
      </c>
      <c r="D1462" s="15" t="s">
        <v>8805</v>
      </c>
      <c r="E1462" s="15" t="s">
        <v>8807</v>
      </c>
      <c r="F1462" s="15" t="s">
        <v>8808</v>
      </c>
      <c r="G1462" s="15" t="s">
        <v>8807</v>
      </c>
      <c r="H1462" s="16" t="s">
        <v>8809</v>
      </c>
    </row>
    <row r="1463" spans="1:8" ht="67.5" x14ac:dyDescent="0.3">
      <c r="A1463" s="13">
        <v>22824</v>
      </c>
      <c r="B1463" s="14" t="s">
        <v>8810</v>
      </c>
      <c r="C1463" s="15" t="s">
        <v>8811</v>
      </c>
      <c r="D1463" s="15" t="s">
        <v>8812</v>
      </c>
      <c r="E1463" s="15" t="s">
        <v>8813</v>
      </c>
      <c r="F1463" s="15" t="s">
        <v>8814</v>
      </c>
      <c r="G1463" s="15" t="s">
        <v>57</v>
      </c>
      <c r="H1463" s="16" t="s">
        <v>8815</v>
      </c>
    </row>
    <row r="1464" spans="1:8" ht="33.75" x14ac:dyDescent="0.3">
      <c r="A1464" s="13">
        <v>22825</v>
      </c>
      <c r="B1464" s="14" t="s">
        <v>8816</v>
      </c>
      <c r="C1464" s="15" t="s">
        <v>8817</v>
      </c>
      <c r="D1464" s="15" t="s">
        <v>8818</v>
      </c>
      <c r="E1464" s="15" t="s">
        <v>8819</v>
      </c>
      <c r="F1464" s="15" t="s">
        <v>8816</v>
      </c>
      <c r="G1464" s="15" t="s">
        <v>8820</v>
      </c>
      <c r="H1464" s="16" t="s">
        <v>8816</v>
      </c>
    </row>
    <row r="1465" spans="1:8" ht="56.25" x14ac:dyDescent="0.3">
      <c r="A1465" s="13">
        <v>22826</v>
      </c>
      <c r="B1465" s="14" t="s">
        <v>8821</v>
      </c>
      <c r="C1465" s="15" t="s">
        <v>8822</v>
      </c>
      <c r="D1465" s="15" t="s">
        <v>8823</v>
      </c>
      <c r="E1465" s="15" t="s">
        <v>8824</v>
      </c>
      <c r="F1465" s="15" t="s">
        <v>8825</v>
      </c>
      <c r="G1465" s="15" t="s">
        <v>8826</v>
      </c>
      <c r="H1465" s="16" t="s">
        <v>57</v>
      </c>
    </row>
    <row r="1466" spans="1:8" ht="67.5" x14ac:dyDescent="0.3">
      <c r="A1466" s="13">
        <v>22827</v>
      </c>
      <c r="B1466" s="14" t="s">
        <v>8827</v>
      </c>
      <c r="C1466" s="15" t="s">
        <v>8828</v>
      </c>
      <c r="D1466" s="15" t="s">
        <v>8829</v>
      </c>
      <c r="E1466" s="15" t="s">
        <v>8830</v>
      </c>
      <c r="F1466" s="15" t="s">
        <v>8827</v>
      </c>
      <c r="G1466" s="15" t="s">
        <v>8831</v>
      </c>
      <c r="H1466" s="16" t="s">
        <v>8832</v>
      </c>
    </row>
    <row r="1467" spans="1:8" ht="22.5" x14ac:dyDescent="0.3">
      <c r="A1467" s="13" t="s">
        <v>8833</v>
      </c>
      <c r="B1467" s="14" t="s">
        <v>8834</v>
      </c>
      <c r="C1467" s="15" t="s">
        <v>8835</v>
      </c>
      <c r="D1467" s="15" t="s">
        <v>8836</v>
      </c>
      <c r="E1467" s="15" t="s">
        <v>8837</v>
      </c>
      <c r="F1467" s="15" t="s">
        <v>8838</v>
      </c>
      <c r="G1467" s="15" t="s">
        <v>8839</v>
      </c>
      <c r="H1467" s="16" t="s">
        <v>8840</v>
      </c>
    </row>
    <row r="1468" spans="1:8" ht="22.5" x14ac:dyDescent="0.3">
      <c r="A1468" s="13">
        <v>22828</v>
      </c>
      <c r="B1468" s="14" t="s">
        <v>8841</v>
      </c>
      <c r="C1468" s="15" t="s">
        <v>8842</v>
      </c>
      <c r="D1468" s="15" t="s">
        <v>8843</v>
      </c>
      <c r="E1468" s="15" t="s">
        <v>8844</v>
      </c>
      <c r="F1468" s="15" t="s">
        <v>8845</v>
      </c>
      <c r="G1468" s="15" t="s">
        <v>8846</v>
      </c>
      <c r="H1468" s="16" t="s">
        <v>8847</v>
      </c>
    </row>
    <row r="1469" spans="1:8" ht="56.25" x14ac:dyDescent="0.3">
      <c r="A1469" s="13">
        <v>22901</v>
      </c>
      <c r="B1469" s="14" t="s">
        <v>8848</v>
      </c>
      <c r="C1469" s="15" t="s">
        <v>8849</v>
      </c>
      <c r="D1469" s="15" t="s">
        <v>8850</v>
      </c>
      <c r="E1469" s="15" t="s">
        <v>8848</v>
      </c>
      <c r="F1469" s="15" t="s">
        <v>8851</v>
      </c>
      <c r="G1469" s="15" t="s">
        <v>8852</v>
      </c>
      <c r="H1469" s="16" t="s">
        <v>8853</v>
      </c>
    </row>
    <row r="1470" spans="1:8" ht="22.5" x14ac:dyDescent="0.3">
      <c r="A1470" s="13">
        <v>22902</v>
      </c>
      <c r="B1470" s="14" t="s">
        <v>8854</v>
      </c>
      <c r="C1470" s="15" t="s">
        <v>8855</v>
      </c>
      <c r="D1470" s="15" t="s">
        <v>8856</v>
      </c>
      <c r="E1470" s="15" t="s">
        <v>8857</v>
      </c>
      <c r="F1470" s="15" t="s">
        <v>8858</v>
      </c>
      <c r="G1470" s="15" t="s">
        <v>8858</v>
      </c>
      <c r="H1470" s="16" t="s">
        <v>8858</v>
      </c>
    </row>
    <row r="1471" spans="1:8" ht="56.25" x14ac:dyDescent="0.3">
      <c r="A1471" s="13">
        <v>22903</v>
      </c>
      <c r="B1471" s="14" t="s">
        <v>8859</v>
      </c>
      <c r="C1471" s="15" t="s">
        <v>8860</v>
      </c>
      <c r="D1471" s="15" t="s">
        <v>8861</v>
      </c>
      <c r="E1471" s="15" t="s">
        <v>8862</v>
      </c>
      <c r="F1471" s="15" t="s">
        <v>8863</v>
      </c>
      <c r="G1471" s="15" t="s">
        <v>8864</v>
      </c>
      <c r="H1471" s="16" t="s">
        <v>8865</v>
      </c>
    </row>
    <row r="1472" spans="1:8" ht="22.5" x14ac:dyDescent="0.3">
      <c r="A1472" s="13">
        <v>22904</v>
      </c>
      <c r="B1472" s="14" t="s">
        <v>8866</v>
      </c>
      <c r="C1472" s="15" t="s">
        <v>8867</v>
      </c>
      <c r="D1472" s="15" t="s">
        <v>8868</v>
      </c>
      <c r="E1472" s="15" t="s">
        <v>8869</v>
      </c>
      <c r="F1472" s="15" t="s">
        <v>8870</v>
      </c>
      <c r="G1472" s="15" t="s">
        <v>8871</v>
      </c>
      <c r="H1472" s="16" t="s">
        <v>8872</v>
      </c>
    </row>
    <row r="1473" spans="1:8" ht="67.5" x14ac:dyDescent="0.3">
      <c r="A1473" s="13">
        <v>22905</v>
      </c>
      <c r="B1473" s="14" t="s">
        <v>8873</v>
      </c>
      <c r="C1473" s="15" t="s">
        <v>8874</v>
      </c>
      <c r="D1473" s="15" t="s">
        <v>8875</v>
      </c>
      <c r="E1473" s="15" t="s">
        <v>8876</v>
      </c>
      <c r="F1473" s="15" t="s">
        <v>8877</v>
      </c>
      <c r="G1473" s="15" t="s">
        <v>8878</v>
      </c>
      <c r="H1473" s="16" t="s">
        <v>8879</v>
      </c>
    </row>
    <row r="1474" spans="1:8" ht="22.5" x14ac:dyDescent="0.3">
      <c r="A1474" s="13">
        <v>22906</v>
      </c>
      <c r="B1474" s="14" t="s">
        <v>8880</v>
      </c>
      <c r="C1474" s="15" t="s">
        <v>8881</v>
      </c>
      <c r="D1474" s="15" t="s">
        <v>8882</v>
      </c>
      <c r="E1474" s="15" t="s">
        <v>8880</v>
      </c>
      <c r="F1474" s="15" t="s">
        <v>8883</v>
      </c>
      <c r="G1474" s="15" t="s">
        <v>8880</v>
      </c>
      <c r="H1474" s="16" t="s">
        <v>8884</v>
      </c>
    </row>
    <row r="1475" spans="1:8" ht="33.75" x14ac:dyDescent="0.3">
      <c r="A1475" s="13">
        <v>22907</v>
      </c>
      <c r="B1475" s="14" t="s">
        <v>8885</v>
      </c>
      <c r="C1475" s="15" t="s">
        <v>8886</v>
      </c>
      <c r="D1475" s="15" t="s">
        <v>8887</v>
      </c>
      <c r="E1475" s="15" t="s">
        <v>8888</v>
      </c>
      <c r="F1475" s="15" t="s">
        <v>8889</v>
      </c>
      <c r="G1475" s="15" t="s">
        <v>8890</v>
      </c>
      <c r="H1475" s="16" t="s">
        <v>8885</v>
      </c>
    </row>
    <row r="1476" spans="1:8" ht="90" x14ac:dyDescent="0.3">
      <c r="A1476" s="13">
        <v>22908</v>
      </c>
      <c r="B1476" s="14" t="s">
        <v>8891</v>
      </c>
      <c r="C1476" s="15" t="s">
        <v>8892</v>
      </c>
      <c r="D1476" s="15" t="s">
        <v>8893</v>
      </c>
      <c r="E1476" s="15" t="s">
        <v>8894</v>
      </c>
      <c r="F1476" s="15" t="s">
        <v>8895</v>
      </c>
      <c r="G1476" s="15" t="s">
        <v>8896</v>
      </c>
      <c r="H1476" s="16" t="s">
        <v>8897</v>
      </c>
    </row>
    <row r="1477" spans="1:8" ht="90" x14ac:dyDescent="0.3">
      <c r="A1477" s="13">
        <v>22909</v>
      </c>
      <c r="B1477" s="14" t="s">
        <v>8898</v>
      </c>
      <c r="C1477" s="15" t="s">
        <v>8899</v>
      </c>
      <c r="D1477" s="15" t="s">
        <v>8900</v>
      </c>
      <c r="E1477" s="15" t="s">
        <v>8901</v>
      </c>
      <c r="F1477" s="15" t="s">
        <v>8902</v>
      </c>
      <c r="G1477" s="15" t="s">
        <v>8903</v>
      </c>
      <c r="H1477" s="16" t="s">
        <v>8904</v>
      </c>
    </row>
    <row r="1478" spans="1:8" ht="45" x14ac:dyDescent="0.3">
      <c r="A1478" s="13">
        <v>22910</v>
      </c>
      <c r="B1478" s="14" t="s">
        <v>8905</v>
      </c>
      <c r="C1478" s="15" t="s">
        <v>8906</v>
      </c>
      <c r="D1478" s="15" t="s">
        <v>8905</v>
      </c>
      <c r="E1478" s="15"/>
      <c r="F1478" s="15" t="s">
        <v>8907</v>
      </c>
      <c r="G1478" s="15" t="s">
        <v>57</v>
      </c>
      <c r="H1478" s="16" t="s">
        <v>8908</v>
      </c>
    </row>
    <row r="1479" spans="1:8" ht="33.75" x14ac:dyDescent="0.3">
      <c r="A1479" s="13">
        <v>22911</v>
      </c>
      <c r="B1479" s="14" t="s">
        <v>8909</v>
      </c>
      <c r="C1479" s="15" t="s">
        <v>8910</v>
      </c>
      <c r="D1479" s="15" t="s">
        <v>8911</v>
      </c>
      <c r="E1479" s="15" t="s">
        <v>8912</v>
      </c>
      <c r="F1479" s="15" t="s">
        <v>8913</v>
      </c>
      <c r="G1479" s="15" t="s">
        <v>8914</v>
      </c>
      <c r="H1479" s="16" t="s">
        <v>8915</v>
      </c>
    </row>
    <row r="1480" spans="1:8" ht="67.5" x14ac:dyDescent="0.3">
      <c r="A1480" s="13" t="s">
        <v>8916</v>
      </c>
      <c r="B1480" s="14" t="s">
        <v>19722</v>
      </c>
      <c r="C1480" s="15" t="s">
        <v>8917</v>
      </c>
      <c r="D1480" s="15" t="s">
        <v>8918</v>
      </c>
      <c r="E1480" s="15" t="s">
        <v>8919</v>
      </c>
      <c r="F1480" s="15" t="s">
        <v>8920</v>
      </c>
      <c r="G1480" s="15" t="s">
        <v>8921</v>
      </c>
      <c r="H1480" s="16" t="s">
        <v>8922</v>
      </c>
    </row>
    <row r="1481" spans="1:8" ht="67.5" x14ac:dyDescent="0.3">
      <c r="A1481" s="13">
        <v>22912</v>
      </c>
      <c r="B1481" s="14" t="s">
        <v>8923</v>
      </c>
      <c r="C1481" s="15" t="s">
        <v>8924</v>
      </c>
      <c r="D1481" s="15" t="s">
        <v>8925</v>
      </c>
      <c r="E1481" s="15" t="s">
        <v>8926</v>
      </c>
      <c r="F1481" s="15" t="s">
        <v>8927</v>
      </c>
      <c r="G1481" s="15" t="s">
        <v>8928</v>
      </c>
      <c r="H1481" s="16" t="s">
        <v>8923</v>
      </c>
    </row>
    <row r="1482" spans="1:8" ht="67.5" x14ac:dyDescent="0.3">
      <c r="A1482" s="13">
        <v>22913</v>
      </c>
      <c r="B1482" s="14" t="s">
        <v>8929</v>
      </c>
      <c r="C1482" s="15" t="s">
        <v>8930</v>
      </c>
      <c r="D1482" s="15" t="s">
        <v>8931</v>
      </c>
      <c r="E1482" s="15" t="s">
        <v>8932</v>
      </c>
      <c r="F1482" s="15" t="s">
        <v>8933</v>
      </c>
      <c r="G1482" s="15" t="s">
        <v>8934</v>
      </c>
      <c r="H1482" s="16" t="s">
        <v>8932</v>
      </c>
    </row>
    <row r="1483" spans="1:8" ht="22.5" x14ac:dyDescent="0.3">
      <c r="A1483" s="13">
        <v>22914</v>
      </c>
      <c r="B1483" s="14" t="s">
        <v>8935</v>
      </c>
      <c r="C1483" s="15" t="s">
        <v>8936</v>
      </c>
      <c r="D1483" s="15" t="s">
        <v>8937</v>
      </c>
      <c r="E1483" s="15" t="s">
        <v>8938</v>
      </c>
      <c r="F1483" s="15" t="s">
        <v>8939</v>
      </c>
      <c r="G1483" s="15" t="s">
        <v>8940</v>
      </c>
      <c r="H1483" s="16" t="s">
        <v>8941</v>
      </c>
    </row>
    <row r="1484" spans="1:8" ht="22.5" x14ac:dyDescent="0.3">
      <c r="A1484" s="13" t="s">
        <v>8942</v>
      </c>
      <c r="B1484" s="14" t="s">
        <v>8943</v>
      </c>
      <c r="C1484" s="15" t="s">
        <v>8944</v>
      </c>
      <c r="D1484" s="15" t="s">
        <v>8945</v>
      </c>
      <c r="E1484" s="15" t="s">
        <v>8946</v>
      </c>
      <c r="F1484" s="15" t="s">
        <v>8946</v>
      </c>
      <c r="G1484" s="15" t="s">
        <v>8947</v>
      </c>
      <c r="H1484" s="16" t="s">
        <v>8943</v>
      </c>
    </row>
    <row r="1485" spans="1:8" ht="22.5" x14ac:dyDescent="0.3">
      <c r="A1485" s="13">
        <v>22915</v>
      </c>
      <c r="B1485" s="14" t="s">
        <v>8948</v>
      </c>
      <c r="C1485" s="15" t="s">
        <v>8949</v>
      </c>
      <c r="D1485" s="15" t="s">
        <v>8950</v>
      </c>
      <c r="E1485" s="15" t="s">
        <v>8951</v>
      </c>
      <c r="F1485" s="15" t="s">
        <v>8952</v>
      </c>
      <c r="G1485" s="15" t="s">
        <v>8953</v>
      </c>
      <c r="H1485" s="16" t="s">
        <v>8954</v>
      </c>
    </row>
    <row r="1486" spans="1:8" ht="22.5" x14ac:dyDescent="0.3">
      <c r="A1486" s="13" t="s">
        <v>8955</v>
      </c>
      <c r="B1486" s="14" t="s">
        <v>19725</v>
      </c>
      <c r="C1486" s="15" t="s">
        <v>8956</v>
      </c>
      <c r="D1486" s="15" t="s">
        <v>8957</v>
      </c>
      <c r="E1486" s="15"/>
      <c r="F1486" s="15" t="s">
        <v>8958</v>
      </c>
      <c r="G1486" s="15" t="s">
        <v>8959</v>
      </c>
      <c r="H1486" s="16" t="s">
        <v>8960</v>
      </c>
    </row>
    <row r="1487" spans="1:8" x14ac:dyDescent="0.3">
      <c r="A1487" s="13" t="s">
        <v>8961</v>
      </c>
      <c r="B1487" s="14" t="s">
        <v>19726</v>
      </c>
      <c r="C1487" s="15" t="s">
        <v>8962</v>
      </c>
      <c r="D1487" s="15"/>
      <c r="E1487" s="15" t="s">
        <v>8963</v>
      </c>
      <c r="F1487" s="15"/>
      <c r="G1487" s="15" t="s">
        <v>8963</v>
      </c>
      <c r="H1487" s="16" t="s">
        <v>8964</v>
      </c>
    </row>
    <row r="1488" spans="1:8" ht="33.75" x14ac:dyDescent="0.3">
      <c r="A1488" s="13">
        <v>22916</v>
      </c>
      <c r="B1488" s="14" t="s">
        <v>8965</v>
      </c>
      <c r="C1488" s="15" t="s">
        <v>8966</v>
      </c>
      <c r="D1488" s="15" t="s">
        <v>8967</v>
      </c>
      <c r="E1488" s="15" t="s">
        <v>8968</v>
      </c>
      <c r="F1488" s="15" t="s">
        <v>8969</v>
      </c>
      <c r="G1488" s="15" t="s">
        <v>8965</v>
      </c>
      <c r="H1488" s="16" t="s">
        <v>8970</v>
      </c>
    </row>
    <row r="1489" spans="1:8" ht="33.75" x14ac:dyDescent="0.3">
      <c r="A1489" s="13">
        <v>22917</v>
      </c>
      <c r="B1489" s="14" t="s">
        <v>8971</v>
      </c>
      <c r="C1489" s="15" t="s">
        <v>8972</v>
      </c>
      <c r="D1489" s="15" t="s">
        <v>8973</v>
      </c>
      <c r="E1489" s="15" t="s">
        <v>8974</v>
      </c>
      <c r="F1489" s="15" t="s">
        <v>8975</v>
      </c>
      <c r="G1489" s="15" t="s">
        <v>8974</v>
      </c>
      <c r="H1489" s="16" t="s">
        <v>8976</v>
      </c>
    </row>
    <row r="1490" spans="1:8" ht="22.5" x14ac:dyDescent="0.3">
      <c r="A1490" s="13">
        <v>22918</v>
      </c>
      <c r="B1490" s="14" t="s">
        <v>8977</v>
      </c>
      <c r="C1490" s="15" t="s">
        <v>8978</v>
      </c>
      <c r="D1490" s="15" t="s">
        <v>8979</v>
      </c>
      <c r="E1490" s="15" t="s">
        <v>8980</v>
      </c>
      <c r="F1490" s="15" t="s">
        <v>8981</v>
      </c>
      <c r="G1490" s="15" t="s">
        <v>8982</v>
      </c>
      <c r="H1490" s="16" t="s">
        <v>8983</v>
      </c>
    </row>
    <row r="1491" spans="1:8" ht="22.5" x14ac:dyDescent="0.3">
      <c r="A1491" s="13" t="s">
        <v>8984</v>
      </c>
      <c r="B1491" s="14" t="s">
        <v>19726</v>
      </c>
      <c r="C1491" s="15" t="s">
        <v>8985</v>
      </c>
      <c r="D1491" s="15" t="s">
        <v>8986</v>
      </c>
      <c r="E1491" s="15" t="s">
        <v>8987</v>
      </c>
      <c r="F1491" s="15" t="s">
        <v>8988</v>
      </c>
      <c r="G1491" s="15" t="s">
        <v>8989</v>
      </c>
      <c r="H1491" s="16" t="s">
        <v>8990</v>
      </c>
    </row>
    <row r="1492" spans="1:8" ht="33.75" x14ac:dyDescent="0.3">
      <c r="A1492" s="13">
        <v>22919</v>
      </c>
      <c r="B1492" s="14" t="s">
        <v>8991</v>
      </c>
      <c r="C1492" s="15" t="s">
        <v>8992</v>
      </c>
      <c r="D1492" s="15" t="s">
        <v>8993</v>
      </c>
      <c r="E1492" s="15" t="s">
        <v>8994</v>
      </c>
      <c r="F1492" s="15" t="s">
        <v>8995</v>
      </c>
      <c r="G1492" s="15" t="s">
        <v>8996</v>
      </c>
      <c r="H1492" s="16" t="s">
        <v>8997</v>
      </c>
    </row>
    <row r="1493" spans="1:8" ht="22.5" x14ac:dyDescent="0.3">
      <c r="A1493" s="13">
        <v>22920</v>
      </c>
      <c r="B1493" s="14" t="s">
        <v>8998</v>
      </c>
      <c r="C1493" s="15" t="s">
        <v>8999</v>
      </c>
      <c r="D1493" s="15" t="s">
        <v>9000</v>
      </c>
      <c r="E1493" s="15" t="s">
        <v>9001</v>
      </c>
      <c r="F1493" s="15" t="s">
        <v>9002</v>
      </c>
      <c r="G1493" s="15" t="s">
        <v>9003</v>
      </c>
      <c r="H1493" s="16" t="s">
        <v>9001</v>
      </c>
    </row>
    <row r="1494" spans="1:8" ht="33.75" x14ac:dyDescent="0.3">
      <c r="A1494" s="13" t="s">
        <v>9004</v>
      </c>
      <c r="B1494" s="14" t="s">
        <v>19724</v>
      </c>
      <c r="C1494" s="15" t="s">
        <v>9005</v>
      </c>
      <c r="D1494" s="15" t="s">
        <v>9006</v>
      </c>
      <c r="E1494" s="15" t="s">
        <v>9007</v>
      </c>
      <c r="F1494" s="15" t="s">
        <v>9008</v>
      </c>
      <c r="G1494" s="15" t="s">
        <v>9009</v>
      </c>
      <c r="H1494" s="16" t="s">
        <v>9010</v>
      </c>
    </row>
    <row r="1495" spans="1:8" ht="33.75" x14ac:dyDescent="0.3">
      <c r="A1495" s="13" t="s">
        <v>9011</v>
      </c>
      <c r="B1495" s="14" t="s">
        <v>19725</v>
      </c>
      <c r="C1495" s="15" t="s">
        <v>9012</v>
      </c>
      <c r="D1495" s="15" t="s">
        <v>9013</v>
      </c>
      <c r="E1495" s="15" t="s">
        <v>9014</v>
      </c>
      <c r="F1495" s="15" t="s">
        <v>9015</v>
      </c>
      <c r="G1495" s="15" t="s">
        <v>9016</v>
      </c>
      <c r="H1495" s="16" t="s">
        <v>9017</v>
      </c>
    </row>
    <row r="1496" spans="1:8" ht="22.5" x14ac:dyDescent="0.3">
      <c r="A1496" s="13" t="s">
        <v>9018</v>
      </c>
      <c r="B1496" s="14" t="s">
        <v>19726</v>
      </c>
      <c r="C1496" s="15" t="s">
        <v>9019</v>
      </c>
      <c r="D1496" s="15" t="s">
        <v>9020</v>
      </c>
      <c r="E1496" s="15" t="s">
        <v>9021</v>
      </c>
      <c r="F1496" s="15" t="s">
        <v>9022</v>
      </c>
      <c r="G1496" s="15" t="s">
        <v>9021</v>
      </c>
      <c r="H1496" s="16" t="s">
        <v>9023</v>
      </c>
    </row>
    <row r="1497" spans="1:8" ht="33.75" x14ac:dyDescent="0.3">
      <c r="A1497" s="13">
        <v>22921</v>
      </c>
      <c r="B1497" s="14" t="s">
        <v>9024</v>
      </c>
      <c r="C1497" s="15" t="s">
        <v>9025</v>
      </c>
      <c r="D1497" s="15" t="s">
        <v>9026</v>
      </c>
      <c r="E1497" s="15" t="s">
        <v>9027</v>
      </c>
      <c r="F1497" s="15" t="s">
        <v>9028</v>
      </c>
      <c r="G1497" s="15" t="s">
        <v>9029</v>
      </c>
      <c r="H1497" s="16" t="s">
        <v>9030</v>
      </c>
    </row>
    <row r="1498" spans="1:8" ht="45" x14ac:dyDescent="0.3">
      <c r="A1498" s="13" t="s">
        <v>9031</v>
      </c>
      <c r="B1498" s="14" t="s">
        <v>9032</v>
      </c>
      <c r="C1498" s="15"/>
      <c r="D1498" s="15" t="s">
        <v>9033</v>
      </c>
      <c r="E1498" s="15" t="s">
        <v>9034</v>
      </c>
      <c r="F1498" s="15" t="s">
        <v>9035</v>
      </c>
      <c r="G1498" s="15" t="s">
        <v>9036</v>
      </c>
      <c r="H1498" s="16"/>
    </row>
    <row r="1499" spans="1:8" ht="112.5" x14ac:dyDescent="0.3">
      <c r="A1499" s="13">
        <v>22922</v>
      </c>
      <c r="B1499" s="14" t="s">
        <v>9037</v>
      </c>
      <c r="C1499" s="15" t="s">
        <v>9038</v>
      </c>
      <c r="D1499" s="15" t="s">
        <v>9039</v>
      </c>
      <c r="E1499" s="15" t="s">
        <v>9040</v>
      </c>
      <c r="F1499" s="15" t="s">
        <v>9041</v>
      </c>
      <c r="G1499" s="15" t="s">
        <v>9042</v>
      </c>
      <c r="H1499" s="16" t="s">
        <v>9037</v>
      </c>
    </row>
    <row r="1500" spans="1:8" ht="90" x14ac:dyDescent="0.3">
      <c r="A1500" s="13" t="s">
        <v>9043</v>
      </c>
      <c r="B1500" s="14" t="s">
        <v>19725</v>
      </c>
      <c r="C1500" s="15" t="s">
        <v>9044</v>
      </c>
      <c r="D1500" s="15" t="s">
        <v>9045</v>
      </c>
      <c r="E1500" s="15" t="s">
        <v>9046</v>
      </c>
      <c r="F1500" s="15" t="s">
        <v>9047</v>
      </c>
      <c r="G1500" s="15" t="s">
        <v>9048</v>
      </c>
      <c r="H1500" s="16" t="s">
        <v>9049</v>
      </c>
    </row>
    <row r="1501" spans="1:8" ht="33.75" x14ac:dyDescent="0.3">
      <c r="A1501" s="13" t="s">
        <v>9050</v>
      </c>
      <c r="B1501" s="14" t="s">
        <v>19726</v>
      </c>
      <c r="C1501" s="15" t="s">
        <v>9051</v>
      </c>
      <c r="D1501" s="15" t="s">
        <v>9052</v>
      </c>
      <c r="E1501" s="15" t="s">
        <v>9053</v>
      </c>
      <c r="F1501" s="15" t="s">
        <v>9054</v>
      </c>
      <c r="G1501" s="15" t="s">
        <v>9055</v>
      </c>
      <c r="H1501" s="16" t="s">
        <v>9056</v>
      </c>
    </row>
    <row r="1502" spans="1:8" ht="78.75" x14ac:dyDescent="0.3">
      <c r="A1502" s="13">
        <v>22923</v>
      </c>
      <c r="B1502" s="14" t="s">
        <v>9057</v>
      </c>
      <c r="C1502" s="15" t="s">
        <v>9058</v>
      </c>
      <c r="D1502" s="15" t="s">
        <v>9059</v>
      </c>
      <c r="E1502" s="15" t="s">
        <v>9060</v>
      </c>
      <c r="F1502" s="15" t="s">
        <v>9061</v>
      </c>
      <c r="G1502" s="15" t="s">
        <v>9062</v>
      </c>
      <c r="H1502" s="16" t="s">
        <v>9063</v>
      </c>
    </row>
    <row r="1503" spans="1:8" ht="33.75" x14ac:dyDescent="0.3">
      <c r="A1503" s="13">
        <v>22924</v>
      </c>
      <c r="B1503" s="14" t="s">
        <v>9064</v>
      </c>
      <c r="C1503" s="15" t="s">
        <v>9065</v>
      </c>
      <c r="D1503" s="15" t="s">
        <v>9066</v>
      </c>
      <c r="E1503" s="15" t="s">
        <v>9067</v>
      </c>
      <c r="F1503" s="15" t="s">
        <v>9068</v>
      </c>
      <c r="G1503" s="15" t="s">
        <v>9069</v>
      </c>
      <c r="H1503" s="16" t="s">
        <v>9070</v>
      </c>
    </row>
    <row r="1504" spans="1:8" ht="33.75" x14ac:dyDescent="0.3">
      <c r="A1504" s="13" t="s">
        <v>9071</v>
      </c>
      <c r="B1504" s="14" t="s">
        <v>9064</v>
      </c>
      <c r="C1504" s="15" t="s">
        <v>9072</v>
      </c>
      <c r="D1504" s="15" t="s">
        <v>9073</v>
      </c>
      <c r="E1504" s="15" t="s">
        <v>9074</v>
      </c>
      <c r="F1504" s="15" t="s">
        <v>57</v>
      </c>
      <c r="G1504" s="15" t="s">
        <v>9075</v>
      </c>
      <c r="H1504" s="16" t="s">
        <v>9076</v>
      </c>
    </row>
    <row r="1505" spans="1:8" ht="33.75" x14ac:dyDescent="0.3">
      <c r="A1505" s="13">
        <v>22925</v>
      </c>
      <c r="B1505" s="14" t="s">
        <v>9077</v>
      </c>
      <c r="C1505" s="15" t="s">
        <v>57</v>
      </c>
      <c r="D1505" s="15" t="s">
        <v>9078</v>
      </c>
      <c r="E1505" s="15" t="s">
        <v>9079</v>
      </c>
      <c r="F1505" s="15" t="s">
        <v>9080</v>
      </c>
      <c r="G1505" s="15" t="s">
        <v>9081</v>
      </c>
      <c r="H1505" s="16" t="s">
        <v>9082</v>
      </c>
    </row>
    <row r="1506" spans="1:8" ht="33.75" x14ac:dyDescent="0.3">
      <c r="A1506" s="13">
        <v>22926</v>
      </c>
      <c r="B1506" s="14" t="s">
        <v>9083</v>
      </c>
      <c r="C1506" s="15" t="s">
        <v>9084</v>
      </c>
      <c r="D1506" s="15" t="s">
        <v>9085</v>
      </c>
      <c r="E1506" s="15" t="s">
        <v>9086</v>
      </c>
      <c r="F1506" s="15" t="s">
        <v>9087</v>
      </c>
      <c r="G1506" s="15" t="s">
        <v>9088</v>
      </c>
      <c r="H1506" s="16" t="s">
        <v>9089</v>
      </c>
    </row>
    <row r="1507" spans="1:8" ht="22.5" x14ac:dyDescent="0.3">
      <c r="A1507" s="13">
        <v>22927</v>
      </c>
      <c r="B1507" s="14" t="s">
        <v>9090</v>
      </c>
      <c r="C1507" s="15" t="s">
        <v>9091</v>
      </c>
      <c r="D1507" s="15" t="s">
        <v>9092</v>
      </c>
      <c r="E1507" s="15" t="s">
        <v>9093</v>
      </c>
      <c r="F1507" s="15" t="s">
        <v>9094</v>
      </c>
      <c r="G1507" s="15" t="s">
        <v>9095</v>
      </c>
      <c r="H1507" s="16" t="s">
        <v>9096</v>
      </c>
    </row>
    <row r="1508" spans="1:8" ht="33.75" x14ac:dyDescent="0.3">
      <c r="A1508" s="13">
        <v>22928</v>
      </c>
      <c r="B1508" s="14" t="s">
        <v>9097</v>
      </c>
      <c r="C1508" s="15" t="s">
        <v>9098</v>
      </c>
      <c r="D1508" s="15" t="s">
        <v>9099</v>
      </c>
      <c r="E1508" s="15" t="s">
        <v>9100</v>
      </c>
      <c r="F1508" s="15" t="s">
        <v>9101</v>
      </c>
      <c r="G1508" s="15" t="s">
        <v>9102</v>
      </c>
      <c r="H1508" s="16" t="s">
        <v>9103</v>
      </c>
    </row>
    <row r="1509" spans="1:8" ht="101.25" x14ac:dyDescent="0.3">
      <c r="A1509" s="13">
        <v>22929</v>
      </c>
      <c r="B1509" s="14" t="s">
        <v>9104</v>
      </c>
      <c r="C1509" s="15" t="s">
        <v>9105</v>
      </c>
      <c r="D1509" s="15" t="s">
        <v>9106</v>
      </c>
      <c r="E1509" s="15" t="s">
        <v>9107</v>
      </c>
      <c r="F1509" s="15" t="s">
        <v>9108</v>
      </c>
      <c r="G1509" s="15" t="s">
        <v>9108</v>
      </c>
      <c r="H1509" s="16" t="s">
        <v>9109</v>
      </c>
    </row>
    <row r="1510" spans="1:8" ht="22.5" x14ac:dyDescent="0.3">
      <c r="A1510" s="13" t="s">
        <v>9110</v>
      </c>
      <c r="B1510" s="14" t="s">
        <v>19724</v>
      </c>
      <c r="C1510" s="15" t="s">
        <v>9111</v>
      </c>
      <c r="D1510" s="15" t="s">
        <v>9112</v>
      </c>
      <c r="E1510" s="15" t="s">
        <v>9113</v>
      </c>
      <c r="F1510" s="15" t="s">
        <v>9114</v>
      </c>
      <c r="G1510" s="15" t="s">
        <v>9115</v>
      </c>
      <c r="H1510" s="16" t="s">
        <v>9116</v>
      </c>
    </row>
    <row r="1511" spans="1:8" ht="22.5" x14ac:dyDescent="0.3">
      <c r="A1511" s="13" t="s">
        <v>9117</v>
      </c>
      <c r="B1511" s="14" t="s">
        <v>19725</v>
      </c>
      <c r="C1511" s="15" t="s">
        <v>9118</v>
      </c>
      <c r="D1511" s="15"/>
      <c r="E1511" s="15"/>
      <c r="F1511" s="15" t="s">
        <v>9119</v>
      </c>
      <c r="G1511" s="15" t="s">
        <v>9120</v>
      </c>
      <c r="H1511" s="16" t="s">
        <v>9121</v>
      </c>
    </row>
    <row r="1512" spans="1:8" ht="22.5" x14ac:dyDescent="0.3">
      <c r="A1512" s="13" t="s">
        <v>9122</v>
      </c>
      <c r="B1512" s="14" t="s">
        <v>19726</v>
      </c>
      <c r="C1512" s="15" t="s">
        <v>9123</v>
      </c>
      <c r="D1512" s="15"/>
      <c r="E1512" s="15" t="s">
        <v>9124</v>
      </c>
      <c r="F1512" s="15" t="s">
        <v>9125</v>
      </c>
      <c r="G1512" s="15" t="s">
        <v>9126</v>
      </c>
      <c r="H1512" s="16" t="s">
        <v>9127</v>
      </c>
    </row>
    <row r="1513" spans="1:8" ht="22.5" x14ac:dyDescent="0.3">
      <c r="A1513" s="13">
        <v>22930</v>
      </c>
      <c r="B1513" s="14" t="s">
        <v>9128</v>
      </c>
      <c r="C1513" s="15" t="s">
        <v>9129</v>
      </c>
      <c r="D1513" s="15" t="s">
        <v>9130</v>
      </c>
      <c r="E1513" s="15" t="s">
        <v>9131</v>
      </c>
      <c r="F1513" s="15" t="s">
        <v>57</v>
      </c>
      <c r="G1513" s="15" t="s">
        <v>9132</v>
      </c>
      <c r="H1513" s="16" t="s">
        <v>9133</v>
      </c>
    </row>
    <row r="1514" spans="1:8" ht="45" x14ac:dyDescent="0.3">
      <c r="A1514" s="13">
        <v>22931</v>
      </c>
      <c r="B1514" s="14" t="s">
        <v>9134</v>
      </c>
      <c r="C1514" s="15" t="s">
        <v>9135</v>
      </c>
      <c r="D1514" s="15" t="s">
        <v>9136</v>
      </c>
      <c r="E1514" s="15" t="s">
        <v>9137</v>
      </c>
      <c r="F1514" s="15" t="s">
        <v>9138</v>
      </c>
      <c r="G1514" s="15" t="s">
        <v>9139</v>
      </c>
      <c r="H1514" s="16" t="s">
        <v>9140</v>
      </c>
    </row>
    <row r="1515" spans="1:8" ht="22.5" x14ac:dyDescent="0.3">
      <c r="A1515" s="13">
        <v>22932</v>
      </c>
      <c r="B1515" s="14" t="s">
        <v>9141</v>
      </c>
      <c r="C1515" s="15" t="s">
        <v>9142</v>
      </c>
      <c r="D1515" s="15" t="s">
        <v>9143</v>
      </c>
      <c r="E1515" s="15" t="s">
        <v>9144</v>
      </c>
      <c r="F1515" s="15" t="s">
        <v>9145</v>
      </c>
      <c r="G1515" s="15" t="s">
        <v>9146</v>
      </c>
      <c r="H1515" s="16" t="s">
        <v>9147</v>
      </c>
    </row>
    <row r="1516" spans="1:8" ht="45" x14ac:dyDescent="0.3">
      <c r="A1516" s="13" t="s">
        <v>9148</v>
      </c>
      <c r="B1516" s="14" t="s">
        <v>19725</v>
      </c>
      <c r="C1516" s="15" t="s">
        <v>9149</v>
      </c>
      <c r="D1516" s="15" t="s">
        <v>9150</v>
      </c>
      <c r="E1516" s="15"/>
      <c r="F1516" s="15" t="s">
        <v>9151</v>
      </c>
      <c r="G1516" s="15" t="s">
        <v>9152</v>
      </c>
      <c r="H1516" s="16" t="s">
        <v>9153</v>
      </c>
    </row>
    <row r="1517" spans="1:8" ht="22.5" x14ac:dyDescent="0.3">
      <c r="A1517" s="13" t="s">
        <v>9154</v>
      </c>
      <c r="B1517" s="14" t="s">
        <v>9155</v>
      </c>
      <c r="C1517" s="15" t="s">
        <v>9156</v>
      </c>
      <c r="D1517" s="15" t="s">
        <v>9157</v>
      </c>
      <c r="E1517" s="15"/>
      <c r="F1517" s="15" t="s">
        <v>9158</v>
      </c>
      <c r="G1517" s="15" t="s">
        <v>9159</v>
      </c>
      <c r="H1517" s="16" t="s">
        <v>9160</v>
      </c>
    </row>
    <row r="1518" spans="1:8" ht="67.5" x14ac:dyDescent="0.3">
      <c r="A1518" s="13">
        <v>22933</v>
      </c>
      <c r="B1518" s="14" t="s">
        <v>9161</v>
      </c>
      <c r="C1518" s="15" t="s">
        <v>9162</v>
      </c>
      <c r="D1518" s="15" t="s">
        <v>9163</v>
      </c>
      <c r="E1518" s="15" t="s">
        <v>9164</v>
      </c>
      <c r="F1518" s="15" t="s">
        <v>9165</v>
      </c>
      <c r="G1518" s="15" t="s">
        <v>9166</v>
      </c>
      <c r="H1518" s="16" t="s">
        <v>9167</v>
      </c>
    </row>
    <row r="1519" spans="1:8" ht="22.5" x14ac:dyDescent="0.3">
      <c r="A1519" s="13">
        <v>22934</v>
      </c>
      <c r="B1519" s="14" t="s">
        <v>9168</v>
      </c>
      <c r="C1519" s="15" t="s">
        <v>9169</v>
      </c>
      <c r="D1519" s="15" t="s">
        <v>9170</v>
      </c>
      <c r="E1519" s="15" t="s">
        <v>9171</v>
      </c>
      <c r="F1519" s="15" t="s">
        <v>9172</v>
      </c>
      <c r="G1519" s="15" t="s">
        <v>9173</v>
      </c>
      <c r="H1519" s="16" t="s">
        <v>9168</v>
      </c>
    </row>
    <row r="1520" spans="1:8" ht="22.5" x14ac:dyDescent="0.3">
      <c r="A1520" s="13">
        <v>23001</v>
      </c>
      <c r="B1520" s="14" t="s">
        <v>9174</v>
      </c>
      <c r="C1520" s="15" t="s">
        <v>9175</v>
      </c>
      <c r="D1520" s="15" t="s">
        <v>9174</v>
      </c>
      <c r="E1520" s="15" t="s">
        <v>9176</v>
      </c>
      <c r="F1520" s="15" t="s">
        <v>9177</v>
      </c>
      <c r="G1520" s="15" t="s">
        <v>9178</v>
      </c>
      <c r="H1520" s="16" t="s">
        <v>9179</v>
      </c>
    </row>
    <row r="1521" spans="1:8" ht="67.5" x14ac:dyDescent="0.3">
      <c r="A1521" s="13">
        <v>23002</v>
      </c>
      <c r="B1521" s="14" t="s">
        <v>9180</v>
      </c>
      <c r="C1521" s="15" t="s">
        <v>9181</v>
      </c>
      <c r="D1521" s="15" t="s">
        <v>9182</v>
      </c>
      <c r="E1521" s="15" t="s">
        <v>9183</v>
      </c>
      <c r="F1521" s="15" t="s">
        <v>9184</v>
      </c>
      <c r="G1521" s="15" t="s">
        <v>9185</v>
      </c>
      <c r="H1521" s="16" t="s">
        <v>9184</v>
      </c>
    </row>
    <row r="1522" spans="1:8" ht="33.75" x14ac:dyDescent="0.3">
      <c r="A1522" s="13">
        <v>23003</v>
      </c>
      <c r="B1522" s="14" t="s">
        <v>9186</v>
      </c>
      <c r="C1522" s="15" t="s">
        <v>9187</v>
      </c>
      <c r="D1522" s="15" t="s">
        <v>9188</v>
      </c>
      <c r="E1522" s="15" t="s">
        <v>9189</v>
      </c>
      <c r="F1522" s="15" t="s">
        <v>9190</v>
      </c>
      <c r="G1522" s="15" t="s">
        <v>9191</v>
      </c>
      <c r="H1522" s="16" t="s">
        <v>9191</v>
      </c>
    </row>
    <row r="1523" spans="1:8" ht="22.5" x14ac:dyDescent="0.3">
      <c r="A1523" s="13">
        <v>23004</v>
      </c>
      <c r="B1523" s="14" t="s">
        <v>9192</v>
      </c>
      <c r="C1523" s="15" t="s">
        <v>9193</v>
      </c>
      <c r="D1523" s="15" t="s">
        <v>9194</v>
      </c>
      <c r="E1523" s="15" t="s">
        <v>9195</v>
      </c>
      <c r="F1523" s="15" t="s">
        <v>9196</v>
      </c>
      <c r="G1523" s="15" t="s">
        <v>9195</v>
      </c>
      <c r="H1523" s="16" t="s">
        <v>9197</v>
      </c>
    </row>
    <row r="1524" spans="1:8" ht="33.75" x14ac:dyDescent="0.3">
      <c r="A1524" s="13">
        <v>23005</v>
      </c>
      <c r="B1524" s="14" t="s">
        <v>9198</v>
      </c>
      <c r="C1524" s="15" t="s">
        <v>9199</v>
      </c>
      <c r="D1524" s="15" t="s">
        <v>9200</v>
      </c>
      <c r="E1524" s="15" t="s">
        <v>9198</v>
      </c>
      <c r="F1524" s="15" t="s">
        <v>9201</v>
      </c>
      <c r="G1524" s="15" t="s">
        <v>9202</v>
      </c>
      <c r="H1524" s="16" t="s">
        <v>9198</v>
      </c>
    </row>
    <row r="1525" spans="1:8" ht="22.5" x14ac:dyDescent="0.3">
      <c r="A1525" s="13">
        <v>23006</v>
      </c>
      <c r="B1525" s="14" t="s">
        <v>9203</v>
      </c>
      <c r="C1525" s="15" t="s">
        <v>9204</v>
      </c>
      <c r="D1525" s="15" t="s">
        <v>9205</v>
      </c>
      <c r="E1525" s="15" t="s">
        <v>9206</v>
      </c>
      <c r="F1525" s="15" t="s">
        <v>9207</v>
      </c>
      <c r="G1525" s="15" t="s">
        <v>57</v>
      </c>
      <c r="H1525" s="16" t="s">
        <v>9208</v>
      </c>
    </row>
    <row r="1526" spans="1:8" x14ac:dyDescent="0.3">
      <c r="A1526" s="13">
        <v>23007</v>
      </c>
      <c r="B1526" s="14" t="s">
        <v>9209</v>
      </c>
      <c r="C1526" s="15" t="s">
        <v>9210</v>
      </c>
      <c r="D1526" s="15" t="s">
        <v>9209</v>
      </c>
      <c r="E1526" s="15" t="s">
        <v>9209</v>
      </c>
      <c r="F1526" s="15" t="s">
        <v>9209</v>
      </c>
      <c r="G1526" s="15" t="s">
        <v>9209</v>
      </c>
      <c r="H1526" s="16" t="s">
        <v>9211</v>
      </c>
    </row>
    <row r="1527" spans="1:8" ht="22.5" x14ac:dyDescent="0.3">
      <c r="A1527" s="13">
        <v>23008</v>
      </c>
      <c r="B1527" s="14" t="s">
        <v>9212</v>
      </c>
      <c r="C1527" s="15" t="s">
        <v>9213</v>
      </c>
      <c r="D1527" s="15" t="s">
        <v>9212</v>
      </c>
      <c r="E1527" s="15" t="s">
        <v>9214</v>
      </c>
      <c r="F1527" s="15" t="s">
        <v>9212</v>
      </c>
      <c r="G1527" s="15" t="s">
        <v>9212</v>
      </c>
      <c r="H1527" s="16" t="s">
        <v>9215</v>
      </c>
    </row>
    <row r="1528" spans="1:8" ht="33.75" x14ac:dyDescent="0.3">
      <c r="A1528" s="13">
        <v>23009</v>
      </c>
      <c r="B1528" s="14" t="s">
        <v>9216</v>
      </c>
      <c r="C1528" s="15" t="s">
        <v>9217</v>
      </c>
      <c r="D1528" s="15" t="s">
        <v>9218</v>
      </c>
      <c r="E1528" s="15" t="s">
        <v>9219</v>
      </c>
      <c r="F1528" s="15" t="s">
        <v>9216</v>
      </c>
      <c r="G1528" s="15" t="s">
        <v>9220</v>
      </c>
      <c r="H1528" s="16" t="s">
        <v>9221</v>
      </c>
    </row>
    <row r="1529" spans="1:8" ht="22.5" x14ac:dyDescent="0.3">
      <c r="A1529" s="13">
        <v>23010</v>
      </c>
      <c r="B1529" s="14" t="s">
        <v>9222</v>
      </c>
      <c r="C1529" s="15" t="s">
        <v>9223</v>
      </c>
      <c r="D1529" s="15" t="s">
        <v>9224</v>
      </c>
      <c r="E1529" s="15" t="s">
        <v>9225</v>
      </c>
      <c r="F1529" s="15" t="s">
        <v>9226</v>
      </c>
      <c r="G1529" s="15" t="s">
        <v>9227</v>
      </c>
      <c r="H1529" s="16" t="s">
        <v>9228</v>
      </c>
    </row>
    <row r="1530" spans="1:8" ht="33.75" x14ac:dyDescent="0.3">
      <c r="A1530" s="13" t="s">
        <v>9229</v>
      </c>
      <c r="B1530" s="14" t="s">
        <v>19725</v>
      </c>
      <c r="C1530" s="15" t="s">
        <v>9223</v>
      </c>
      <c r="D1530" s="15" t="s">
        <v>9230</v>
      </c>
      <c r="E1530" s="15"/>
      <c r="F1530" s="15" t="s">
        <v>9231</v>
      </c>
      <c r="G1530" s="15" t="s">
        <v>9232</v>
      </c>
      <c r="H1530" s="16" t="s">
        <v>9233</v>
      </c>
    </row>
    <row r="1531" spans="1:8" x14ac:dyDescent="0.3">
      <c r="A1531" s="13">
        <v>23011</v>
      </c>
      <c r="B1531" s="14" t="s">
        <v>9234</v>
      </c>
      <c r="C1531" s="15" t="s">
        <v>9235</v>
      </c>
      <c r="D1531" s="15" t="s">
        <v>9236</v>
      </c>
      <c r="E1531" s="15" t="s">
        <v>57</v>
      </c>
      <c r="F1531" s="15" t="s">
        <v>9237</v>
      </c>
      <c r="G1531" s="15" t="s">
        <v>57</v>
      </c>
      <c r="H1531" s="16" t="s">
        <v>57</v>
      </c>
    </row>
    <row r="1532" spans="1:8" ht="22.5" x14ac:dyDescent="0.3">
      <c r="A1532" s="13">
        <v>23012</v>
      </c>
      <c r="B1532" s="14" t="s">
        <v>9238</v>
      </c>
      <c r="C1532" s="15" t="s">
        <v>9239</v>
      </c>
      <c r="D1532" s="15" t="s">
        <v>9240</v>
      </c>
      <c r="E1532" s="15" t="s">
        <v>9241</v>
      </c>
      <c r="F1532" s="15" t="s">
        <v>9242</v>
      </c>
      <c r="G1532" s="15" t="s">
        <v>9241</v>
      </c>
      <c r="H1532" s="16" t="s">
        <v>9243</v>
      </c>
    </row>
    <row r="1533" spans="1:8" ht="33.75" x14ac:dyDescent="0.3">
      <c r="A1533" s="13">
        <v>23013</v>
      </c>
      <c r="B1533" s="14" t="s">
        <v>9244</v>
      </c>
      <c r="C1533" s="15" t="s">
        <v>9245</v>
      </c>
      <c r="D1533" s="15" t="s">
        <v>9246</v>
      </c>
      <c r="E1533" s="15" t="s">
        <v>9247</v>
      </c>
      <c r="F1533" s="15" t="s">
        <v>9244</v>
      </c>
      <c r="G1533" s="15" t="s">
        <v>9248</v>
      </c>
      <c r="H1533" s="16" t="s">
        <v>9249</v>
      </c>
    </row>
    <row r="1534" spans="1:8" ht="22.5" x14ac:dyDescent="0.3">
      <c r="A1534" s="13">
        <v>23014</v>
      </c>
      <c r="B1534" s="14" t="s">
        <v>9250</v>
      </c>
      <c r="C1534" s="15" t="s">
        <v>9251</v>
      </c>
      <c r="D1534" s="15" t="s">
        <v>9252</v>
      </c>
      <c r="E1534" s="15" t="s">
        <v>9253</v>
      </c>
      <c r="F1534" s="15" t="s">
        <v>9254</v>
      </c>
      <c r="G1534" s="15" t="s">
        <v>9255</v>
      </c>
      <c r="H1534" s="16" t="s">
        <v>9256</v>
      </c>
    </row>
    <row r="1535" spans="1:8" x14ac:dyDescent="0.3">
      <c r="A1535" s="13">
        <v>23015</v>
      </c>
      <c r="B1535" s="14" t="s">
        <v>9257</v>
      </c>
      <c r="C1535" s="15" t="s">
        <v>9258</v>
      </c>
      <c r="D1535" s="15" t="s">
        <v>9259</v>
      </c>
      <c r="E1535" s="15" t="s">
        <v>9259</v>
      </c>
      <c r="F1535" s="15" t="s">
        <v>9260</v>
      </c>
      <c r="G1535" s="15" t="s">
        <v>9261</v>
      </c>
      <c r="H1535" s="16" t="s">
        <v>9262</v>
      </c>
    </row>
    <row r="1536" spans="1:8" ht="22.5" x14ac:dyDescent="0.3">
      <c r="A1536" s="13" t="s">
        <v>9263</v>
      </c>
      <c r="B1536" s="14" t="s">
        <v>9264</v>
      </c>
      <c r="C1536" s="15" t="s">
        <v>9265</v>
      </c>
      <c r="D1536" s="15" t="s">
        <v>9266</v>
      </c>
      <c r="E1536" s="15" t="s">
        <v>9267</v>
      </c>
      <c r="F1536" s="15" t="s">
        <v>9268</v>
      </c>
      <c r="G1536" s="15" t="s">
        <v>9269</v>
      </c>
      <c r="H1536" s="16" t="s">
        <v>9270</v>
      </c>
    </row>
    <row r="1537" spans="1:8" ht="22.5" x14ac:dyDescent="0.3">
      <c r="A1537" s="13" t="s">
        <v>9271</v>
      </c>
      <c r="B1537" s="14" t="s">
        <v>9272</v>
      </c>
      <c r="C1537" s="15" t="s">
        <v>9273</v>
      </c>
      <c r="D1537" s="15" t="s">
        <v>9274</v>
      </c>
      <c r="E1537" s="15" t="s">
        <v>9275</v>
      </c>
      <c r="F1537" s="15" t="s">
        <v>9276</v>
      </c>
      <c r="G1537" s="15" t="s">
        <v>9277</v>
      </c>
      <c r="H1537" s="16" t="s">
        <v>9275</v>
      </c>
    </row>
    <row r="1538" spans="1:8" ht="33.75" x14ac:dyDescent="0.3">
      <c r="A1538" s="13" t="s">
        <v>9278</v>
      </c>
      <c r="B1538" s="14" t="s">
        <v>9279</v>
      </c>
      <c r="C1538" s="15" t="s">
        <v>9280</v>
      </c>
      <c r="D1538" s="15" t="s">
        <v>9281</v>
      </c>
      <c r="E1538" s="15" t="s">
        <v>9282</v>
      </c>
      <c r="F1538" s="15" t="s">
        <v>9283</v>
      </c>
      <c r="G1538" s="15" t="s">
        <v>9279</v>
      </c>
      <c r="H1538" s="16" t="s">
        <v>9279</v>
      </c>
    </row>
    <row r="1539" spans="1:8" ht="22.5" x14ac:dyDescent="0.3">
      <c r="A1539" s="13" t="s">
        <v>9284</v>
      </c>
      <c r="B1539" s="14" t="s">
        <v>9285</v>
      </c>
      <c r="C1539" s="15" t="s">
        <v>9286</v>
      </c>
      <c r="D1539" s="15" t="s">
        <v>9287</v>
      </c>
      <c r="E1539" s="15" t="s">
        <v>9288</v>
      </c>
      <c r="F1539" s="15" t="s">
        <v>9289</v>
      </c>
      <c r="G1539" s="15" t="s">
        <v>9290</v>
      </c>
      <c r="H1539" s="16" t="s">
        <v>9291</v>
      </c>
    </row>
    <row r="1540" spans="1:8" ht="45" x14ac:dyDescent="0.3">
      <c r="A1540" s="13">
        <v>23016</v>
      </c>
      <c r="B1540" s="14" t="s">
        <v>9292</v>
      </c>
      <c r="C1540" s="15" t="s">
        <v>9293</v>
      </c>
      <c r="D1540" s="15" t="s">
        <v>9294</v>
      </c>
      <c r="E1540" s="15" t="s">
        <v>9295</v>
      </c>
      <c r="F1540" s="15" t="s">
        <v>9296</v>
      </c>
      <c r="G1540" s="15" t="s">
        <v>9297</v>
      </c>
      <c r="H1540" s="16" t="s">
        <v>9298</v>
      </c>
    </row>
    <row r="1541" spans="1:8" x14ac:dyDescent="0.3">
      <c r="A1541" s="13">
        <v>23017</v>
      </c>
      <c r="B1541" s="14" t="s">
        <v>9299</v>
      </c>
      <c r="C1541" s="15" t="s">
        <v>9300</v>
      </c>
      <c r="D1541" s="15" t="s">
        <v>9301</v>
      </c>
      <c r="E1541" s="15" t="s">
        <v>9299</v>
      </c>
      <c r="F1541" s="15" t="s">
        <v>9302</v>
      </c>
      <c r="G1541" s="15" t="s">
        <v>9299</v>
      </c>
      <c r="H1541" s="16" t="s">
        <v>9299</v>
      </c>
    </row>
    <row r="1542" spans="1:8" ht="22.5" x14ac:dyDescent="0.3">
      <c r="A1542" s="13">
        <v>23018</v>
      </c>
      <c r="B1542" s="14" t="s">
        <v>9303</v>
      </c>
      <c r="C1542" s="15" t="s">
        <v>5285</v>
      </c>
      <c r="D1542" s="15" t="s">
        <v>9304</v>
      </c>
      <c r="E1542" s="15" t="s">
        <v>9305</v>
      </c>
      <c r="F1542" s="15" t="s">
        <v>9304</v>
      </c>
      <c r="G1542" s="15" t="s">
        <v>9304</v>
      </c>
      <c r="H1542" s="16" t="s">
        <v>9304</v>
      </c>
    </row>
    <row r="1543" spans="1:8" ht="22.5" x14ac:dyDescent="0.3">
      <c r="A1543" s="13">
        <v>23019</v>
      </c>
      <c r="B1543" s="14" t="s">
        <v>9306</v>
      </c>
      <c r="C1543" s="15" t="s">
        <v>9307</v>
      </c>
      <c r="D1543" s="15" t="s">
        <v>9308</v>
      </c>
      <c r="E1543" s="15" t="s">
        <v>9309</v>
      </c>
      <c r="F1543" s="15" t="s">
        <v>9310</v>
      </c>
      <c r="G1543" s="15" t="s">
        <v>9311</v>
      </c>
      <c r="H1543" s="16" t="s">
        <v>9310</v>
      </c>
    </row>
    <row r="1544" spans="1:8" ht="45" x14ac:dyDescent="0.3">
      <c r="A1544" s="13">
        <v>23020</v>
      </c>
      <c r="B1544" s="14" t="s">
        <v>9312</v>
      </c>
      <c r="C1544" s="15" t="s">
        <v>9313</v>
      </c>
      <c r="D1544" s="15" t="s">
        <v>9314</v>
      </c>
      <c r="E1544" s="15" t="s">
        <v>9315</v>
      </c>
      <c r="F1544" s="15" t="s">
        <v>9312</v>
      </c>
      <c r="G1544" s="15" t="s">
        <v>9316</v>
      </c>
      <c r="H1544" s="16" t="s">
        <v>9316</v>
      </c>
    </row>
    <row r="1545" spans="1:8" ht="45" x14ac:dyDescent="0.3">
      <c r="A1545" s="13">
        <v>23021</v>
      </c>
      <c r="B1545" s="14" t="s">
        <v>9317</v>
      </c>
      <c r="C1545" s="15" t="s">
        <v>9318</v>
      </c>
      <c r="D1545" s="15" t="s">
        <v>9319</v>
      </c>
      <c r="E1545" s="15" t="s">
        <v>9317</v>
      </c>
      <c r="F1545" s="15" t="s">
        <v>9317</v>
      </c>
      <c r="G1545" s="15" t="s">
        <v>9317</v>
      </c>
      <c r="H1545" s="16" t="s">
        <v>9317</v>
      </c>
    </row>
    <row r="1546" spans="1:8" ht="22.5" x14ac:dyDescent="0.3">
      <c r="A1546" s="13">
        <v>23022</v>
      </c>
      <c r="B1546" s="14" t="s">
        <v>9320</v>
      </c>
      <c r="C1546" s="15" t="s">
        <v>57</v>
      </c>
      <c r="D1546" s="15" t="s">
        <v>57</v>
      </c>
      <c r="E1546" s="15" t="s">
        <v>9321</v>
      </c>
      <c r="F1546" s="15" t="s">
        <v>57</v>
      </c>
      <c r="G1546" s="15" t="s">
        <v>57</v>
      </c>
      <c r="H1546" s="16" t="s">
        <v>57</v>
      </c>
    </row>
    <row r="1547" spans="1:8" ht="22.5" x14ac:dyDescent="0.3">
      <c r="A1547" s="13">
        <v>23023</v>
      </c>
      <c r="B1547" s="14" t="s">
        <v>9322</v>
      </c>
      <c r="C1547" s="15" t="s">
        <v>9323</v>
      </c>
      <c r="D1547" s="15" t="s">
        <v>9324</v>
      </c>
      <c r="E1547" s="15" t="s">
        <v>57</v>
      </c>
      <c r="F1547" s="15" t="s">
        <v>57</v>
      </c>
      <c r="G1547" s="15" t="s">
        <v>57</v>
      </c>
      <c r="H1547" s="16" t="s">
        <v>57</v>
      </c>
    </row>
    <row r="1548" spans="1:8" ht="22.5" x14ac:dyDescent="0.3">
      <c r="A1548" s="13">
        <v>23024</v>
      </c>
      <c r="B1548" s="14" t="s">
        <v>9325</v>
      </c>
      <c r="C1548" s="15" t="s">
        <v>9326</v>
      </c>
      <c r="D1548" s="15" t="s">
        <v>9327</v>
      </c>
      <c r="E1548" s="15" t="s">
        <v>9328</v>
      </c>
      <c r="F1548" s="15" t="s">
        <v>9329</v>
      </c>
      <c r="G1548" s="15" t="s">
        <v>9330</v>
      </c>
      <c r="H1548" s="16" t="s">
        <v>9331</v>
      </c>
    </row>
    <row r="1549" spans="1:8" ht="45" x14ac:dyDescent="0.3">
      <c r="A1549" s="13">
        <v>23025</v>
      </c>
      <c r="B1549" s="14" t="s">
        <v>9332</v>
      </c>
      <c r="C1549" s="15" t="s">
        <v>9333</v>
      </c>
      <c r="D1549" s="15" t="s">
        <v>9334</v>
      </c>
      <c r="E1549" s="15" t="s">
        <v>9335</v>
      </c>
      <c r="F1549" s="15" t="s">
        <v>9336</v>
      </c>
      <c r="G1549" s="15" t="s">
        <v>9337</v>
      </c>
      <c r="H1549" s="16" t="s">
        <v>9337</v>
      </c>
    </row>
    <row r="1550" spans="1:8" ht="22.5" x14ac:dyDescent="0.3">
      <c r="A1550" s="13" t="s">
        <v>9338</v>
      </c>
      <c r="B1550" s="14" t="s">
        <v>9339</v>
      </c>
      <c r="C1550" s="15" t="s">
        <v>9340</v>
      </c>
      <c r="D1550" s="15"/>
      <c r="E1550" s="15"/>
      <c r="F1550" s="15"/>
      <c r="G1550" s="15" t="s">
        <v>57</v>
      </c>
      <c r="H1550" s="16"/>
    </row>
    <row r="1551" spans="1:8" ht="22.5" x14ac:dyDescent="0.3">
      <c r="A1551" s="13" t="s">
        <v>9341</v>
      </c>
      <c r="B1551" s="14" t="s">
        <v>9342</v>
      </c>
      <c r="C1551" s="15" t="s">
        <v>9343</v>
      </c>
      <c r="D1551" s="15" t="s">
        <v>9344</v>
      </c>
      <c r="E1551" s="15"/>
      <c r="F1551" s="15"/>
      <c r="G1551" s="15" t="s">
        <v>57</v>
      </c>
      <c r="H1551" s="16"/>
    </row>
    <row r="1552" spans="1:8" ht="22.5" x14ac:dyDescent="0.3">
      <c r="A1552" s="13" t="s">
        <v>9345</v>
      </c>
      <c r="B1552" s="14" t="s">
        <v>9346</v>
      </c>
      <c r="C1552" s="15" t="s">
        <v>57</v>
      </c>
      <c r="D1552" s="15"/>
      <c r="E1552" s="15"/>
      <c r="F1552" s="15"/>
      <c r="G1552" s="15" t="s">
        <v>57</v>
      </c>
      <c r="H1552" s="16" t="s">
        <v>9347</v>
      </c>
    </row>
    <row r="1553" spans="1:8" ht="33.75" x14ac:dyDescent="0.3">
      <c r="A1553" s="13" t="s">
        <v>9348</v>
      </c>
      <c r="B1553" s="14" t="s">
        <v>9349</v>
      </c>
      <c r="C1553" s="15" t="s">
        <v>9350</v>
      </c>
      <c r="D1553" s="15" t="s">
        <v>9351</v>
      </c>
      <c r="E1553" s="15"/>
      <c r="F1553" s="15"/>
      <c r="G1553" s="15" t="s">
        <v>9352</v>
      </c>
      <c r="H1553" s="16" t="s">
        <v>9353</v>
      </c>
    </row>
    <row r="1554" spans="1:8" ht="22.5" x14ac:dyDescent="0.3">
      <c r="A1554" s="13" t="s">
        <v>9354</v>
      </c>
      <c r="B1554" s="14" t="s">
        <v>9355</v>
      </c>
      <c r="C1554" s="15" t="s">
        <v>57</v>
      </c>
      <c r="D1554" s="15"/>
      <c r="E1554" s="15"/>
      <c r="F1554" s="15"/>
      <c r="G1554" s="15" t="s">
        <v>57</v>
      </c>
      <c r="H1554" s="16" t="s">
        <v>9356</v>
      </c>
    </row>
    <row r="1555" spans="1:8" ht="45" x14ac:dyDescent="0.3">
      <c r="A1555" s="13" t="s">
        <v>9357</v>
      </c>
      <c r="B1555" s="14" t="s">
        <v>9358</v>
      </c>
      <c r="C1555" s="15" t="s">
        <v>9359</v>
      </c>
      <c r="D1555" s="15" t="s">
        <v>9360</v>
      </c>
      <c r="E1555" s="15" t="s">
        <v>9361</v>
      </c>
      <c r="F1555" s="15"/>
      <c r="G1555" s="15" t="s">
        <v>9362</v>
      </c>
      <c r="H1555" s="16" t="s">
        <v>9363</v>
      </c>
    </row>
    <row r="1556" spans="1:8" x14ac:dyDescent="0.3">
      <c r="A1556" s="13">
        <v>23026</v>
      </c>
      <c r="B1556" s="14" t="s">
        <v>9364</v>
      </c>
      <c r="C1556" s="15" t="s">
        <v>9365</v>
      </c>
      <c r="D1556" s="15" t="s">
        <v>9366</v>
      </c>
      <c r="E1556" s="15" t="s">
        <v>57</v>
      </c>
      <c r="F1556" s="15" t="s">
        <v>9367</v>
      </c>
      <c r="G1556" s="15" t="s">
        <v>57</v>
      </c>
      <c r="H1556" s="16" t="s">
        <v>9368</v>
      </c>
    </row>
    <row r="1557" spans="1:8" x14ac:dyDescent="0.3">
      <c r="A1557" s="13">
        <v>23027</v>
      </c>
      <c r="B1557" s="14" t="s">
        <v>9369</v>
      </c>
      <c r="C1557" s="15" t="s">
        <v>57</v>
      </c>
      <c r="D1557" s="15" t="s">
        <v>57</v>
      </c>
      <c r="E1557" s="15" t="s">
        <v>57</v>
      </c>
      <c r="F1557" s="15" t="s">
        <v>57</v>
      </c>
      <c r="G1557" s="15" t="s">
        <v>57</v>
      </c>
      <c r="H1557" s="16" t="s">
        <v>57</v>
      </c>
    </row>
    <row r="1558" spans="1:8" ht="33.75" x14ac:dyDescent="0.3">
      <c r="A1558" s="13">
        <v>23101</v>
      </c>
      <c r="B1558" s="14" t="s">
        <v>9370</v>
      </c>
      <c r="C1558" s="15" t="s">
        <v>9371</v>
      </c>
      <c r="D1558" s="15" t="s">
        <v>9372</v>
      </c>
      <c r="E1558" s="15" t="s">
        <v>9373</v>
      </c>
      <c r="F1558" s="15" t="s">
        <v>9374</v>
      </c>
      <c r="G1558" s="15" t="s">
        <v>9375</v>
      </c>
      <c r="H1558" s="16" t="s">
        <v>9376</v>
      </c>
    </row>
    <row r="1559" spans="1:8" ht="33.75" x14ac:dyDescent="0.3">
      <c r="A1559" s="13">
        <v>23102</v>
      </c>
      <c r="B1559" s="14" t="s">
        <v>9377</v>
      </c>
      <c r="C1559" s="15" t="s">
        <v>9378</v>
      </c>
      <c r="D1559" s="15" t="s">
        <v>9379</v>
      </c>
      <c r="E1559" s="15" t="s">
        <v>9380</v>
      </c>
      <c r="F1559" s="15" t="s">
        <v>9381</v>
      </c>
      <c r="G1559" s="15" t="s">
        <v>9382</v>
      </c>
      <c r="H1559" s="16" t="s">
        <v>9383</v>
      </c>
    </row>
    <row r="1560" spans="1:8" ht="22.5" x14ac:dyDescent="0.3">
      <c r="A1560" s="13" t="s">
        <v>9384</v>
      </c>
      <c r="B1560" s="14" t="s">
        <v>19726</v>
      </c>
      <c r="C1560" s="15" t="s">
        <v>9385</v>
      </c>
      <c r="D1560" s="15" t="s">
        <v>9386</v>
      </c>
      <c r="E1560" s="15" t="s">
        <v>9387</v>
      </c>
      <c r="F1560" s="15" t="s">
        <v>9388</v>
      </c>
      <c r="G1560" s="15" t="s">
        <v>9389</v>
      </c>
      <c r="H1560" s="16" t="s">
        <v>9390</v>
      </c>
    </row>
    <row r="1561" spans="1:8" ht="22.5" x14ac:dyDescent="0.3">
      <c r="A1561" s="13">
        <v>23103</v>
      </c>
      <c r="B1561" s="14" t="s">
        <v>9391</v>
      </c>
      <c r="C1561" s="15" t="s">
        <v>9392</v>
      </c>
      <c r="D1561" s="15" t="s">
        <v>9393</v>
      </c>
      <c r="E1561" s="15" t="s">
        <v>9394</v>
      </c>
      <c r="F1561" s="15" t="s">
        <v>9395</v>
      </c>
      <c r="G1561" s="15" t="s">
        <v>9396</v>
      </c>
      <c r="H1561" s="16" t="s">
        <v>9397</v>
      </c>
    </row>
    <row r="1562" spans="1:8" ht="56.25" x14ac:dyDescent="0.3">
      <c r="A1562" s="13">
        <v>23104</v>
      </c>
      <c r="B1562" s="14" t="s">
        <v>9398</v>
      </c>
      <c r="C1562" s="15" t="s">
        <v>9399</v>
      </c>
      <c r="D1562" s="15" t="s">
        <v>9400</v>
      </c>
      <c r="E1562" s="15" t="s">
        <v>9401</v>
      </c>
      <c r="F1562" s="15" t="s">
        <v>9402</v>
      </c>
      <c r="G1562" s="15" t="s">
        <v>57</v>
      </c>
      <c r="H1562" s="16" t="s">
        <v>9403</v>
      </c>
    </row>
    <row r="1563" spans="1:8" ht="22.5" x14ac:dyDescent="0.3">
      <c r="A1563" s="13">
        <v>23105</v>
      </c>
      <c r="B1563" s="14" t="s">
        <v>9404</v>
      </c>
      <c r="C1563" s="15" t="s">
        <v>9405</v>
      </c>
      <c r="D1563" s="15" t="s">
        <v>9406</v>
      </c>
      <c r="E1563" s="15" t="s">
        <v>9407</v>
      </c>
      <c r="F1563" s="15" t="s">
        <v>9408</v>
      </c>
      <c r="G1563" s="15" t="s">
        <v>9409</v>
      </c>
      <c r="H1563" s="16" t="s">
        <v>9410</v>
      </c>
    </row>
    <row r="1564" spans="1:8" ht="33.75" x14ac:dyDescent="0.3">
      <c r="A1564" s="13" t="s">
        <v>9411</v>
      </c>
      <c r="B1564" s="14" t="s">
        <v>9412</v>
      </c>
      <c r="C1564" s="15" t="s">
        <v>9405</v>
      </c>
      <c r="D1564" s="15" t="s">
        <v>9413</v>
      </c>
      <c r="E1564" s="15" t="s">
        <v>9414</v>
      </c>
      <c r="F1564" s="15" t="s">
        <v>9415</v>
      </c>
      <c r="G1564" s="15" t="s">
        <v>9416</v>
      </c>
      <c r="H1564" s="16" t="s">
        <v>9417</v>
      </c>
    </row>
    <row r="1565" spans="1:8" ht="56.25" x14ac:dyDescent="0.3">
      <c r="A1565" s="13">
        <v>23106</v>
      </c>
      <c r="B1565" s="14" t="s">
        <v>9418</v>
      </c>
      <c r="C1565" s="15" t="s">
        <v>9419</v>
      </c>
      <c r="D1565" s="15" t="s">
        <v>9420</v>
      </c>
      <c r="E1565" s="15" t="s">
        <v>9418</v>
      </c>
      <c r="F1565" s="15" t="s">
        <v>9421</v>
      </c>
      <c r="G1565" s="15" t="s">
        <v>9422</v>
      </c>
      <c r="H1565" s="16" t="s">
        <v>9423</v>
      </c>
    </row>
    <row r="1566" spans="1:8" ht="22.5" x14ac:dyDescent="0.3">
      <c r="A1566" s="13">
        <v>23107</v>
      </c>
      <c r="B1566" s="14" t="s">
        <v>9424</v>
      </c>
      <c r="C1566" s="15" t="s">
        <v>9425</v>
      </c>
      <c r="D1566" s="15" t="s">
        <v>9426</v>
      </c>
      <c r="E1566" s="15" t="s">
        <v>9427</v>
      </c>
      <c r="F1566" s="15" t="s">
        <v>9428</v>
      </c>
      <c r="G1566" s="15" t="s">
        <v>9429</v>
      </c>
      <c r="H1566" s="16" t="s">
        <v>9430</v>
      </c>
    </row>
    <row r="1567" spans="1:8" ht="22.5" x14ac:dyDescent="0.3">
      <c r="A1567" s="13" t="s">
        <v>9431</v>
      </c>
      <c r="B1567" s="14" t="s">
        <v>9432</v>
      </c>
      <c r="C1567" s="15" t="s">
        <v>9433</v>
      </c>
      <c r="D1567" s="15" t="s">
        <v>9434</v>
      </c>
      <c r="E1567" s="15" t="s">
        <v>9435</v>
      </c>
      <c r="F1567" s="15" t="s">
        <v>9436</v>
      </c>
      <c r="G1567" s="15" t="s">
        <v>9437</v>
      </c>
      <c r="H1567" s="16" t="s">
        <v>9438</v>
      </c>
    </row>
    <row r="1568" spans="1:8" ht="22.5" x14ac:dyDescent="0.3">
      <c r="A1568" s="13">
        <v>23108</v>
      </c>
      <c r="B1568" s="14" t="s">
        <v>9439</v>
      </c>
      <c r="C1568" s="15" t="s">
        <v>9440</v>
      </c>
      <c r="D1568" s="15" t="s">
        <v>9441</v>
      </c>
      <c r="E1568" s="15" t="s">
        <v>9442</v>
      </c>
      <c r="F1568" s="15" t="s">
        <v>9443</v>
      </c>
      <c r="G1568" s="15" t="s">
        <v>9444</v>
      </c>
      <c r="H1568" s="16" t="s">
        <v>9445</v>
      </c>
    </row>
    <row r="1569" spans="1:8" ht="67.5" x14ac:dyDescent="0.3">
      <c r="A1569" s="13">
        <v>23109</v>
      </c>
      <c r="B1569" s="14" t="s">
        <v>9446</v>
      </c>
      <c r="C1569" s="15" t="s">
        <v>9447</v>
      </c>
      <c r="D1569" s="15" t="s">
        <v>9448</v>
      </c>
      <c r="E1569" s="15" t="s">
        <v>9446</v>
      </c>
      <c r="F1569" s="15" t="s">
        <v>9449</v>
      </c>
      <c r="G1569" s="15" t="s">
        <v>9450</v>
      </c>
      <c r="H1569" s="16" t="s">
        <v>9451</v>
      </c>
    </row>
    <row r="1570" spans="1:8" ht="33.75" x14ac:dyDescent="0.3">
      <c r="A1570" s="13">
        <v>23110</v>
      </c>
      <c r="B1570" s="14" t="s">
        <v>9452</v>
      </c>
      <c r="C1570" s="15" t="s">
        <v>9453</v>
      </c>
      <c r="D1570" s="15" t="s">
        <v>9454</v>
      </c>
      <c r="E1570" s="15" t="s">
        <v>9455</v>
      </c>
      <c r="F1570" s="15" t="s">
        <v>9456</v>
      </c>
      <c r="G1570" s="15" t="s">
        <v>9457</v>
      </c>
      <c r="H1570" s="16" t="s">
        <v>9458</v>
      </c>
    </row>
    <row r="1571" spans="1:8" ht="22.5" x14ac:dyDescent="0.3">
      <c r="A1571" s="13">
        <v>23111</v>
      </c>
      <c r="B1571" s="14" t="s">
        <v>9459</v>
      </c>
      <c r="C1571" s="15" t="s">
        <v>9460</v>
      </c>
      <c r="D1571" s="15" t="s">
        <v>9461</v>
      </c>
      <c r="E1571" s="15" t="s">
        <v>9462</v>
      </c>
      <c r="F1571" s="15" t="s">
        <v>9463</v>
      </c>
      <c r="G1571" s="15" t="s">
        <v>9464</v>
      </c>
      <c r="H1571" s="16" t="s">
        <v>9459</v>
      </c>
    </row>
    <row r="1572" spans="1:8" ht="45" x14ac:dyDescent="0.3">
      <c r="A1572" s="13">
        <v>23112</v>
      </c>
      <c r="B1572" s="14" t="s">
        <v>9465</v>
      </c>
      <c r="C1572" s="15" t="s">
        <v>9466</v>
      </c>
      <c r="D1572" s="15" t="s">
        <v>9467</v>
      </c>
      <c r="E1572" s="15" t="s">
        <v>9468</v>
      </c>
      <c r="F1572" s="15" t="s">
        <v>9469</v>
      </c>
      <c r="G1572" s="15" t="s">
        <v>9470</v>
      </c>
      <c r="H1572" s="16" t="s">
        <v>9471</v>
      </c>
    </row>
    <row r="1573" spans="1:8" ht="22.5" x14ac:dyDescent="0.3">
      <c r="A1573" s="13">
        <v>23113</v>
      </c>
      <c r="B1573" s="14" t="s">
        <v>9472</v>
      </c>
      <c r="C1573" s="15" t="s">
        <v>9473</v>
      </c>
      <c r="D1573" s="15" t="s">
        <v>9474</v>
      </c>
      <c r="E1573" s="15" t="s">
        <v>9475</v>
      </c>
      <c r="F1573" s="15" t="s">
        <v>9476</v>
      </c>
      <c r="G1573" s="15" t="s">
        <v>9477</v>
      </c>
      <c r="H1573" s="16" t="s">
        <v>9478</v>
      </c>
    </row>
    <row r="1574" spans="1:8" ht="22.5" x14ac:dyDescent="0.3">
      <c r="A1574" s="13" t="s">
        <v>9479</v>
      </c>
      <c r="B1574" s="14" t="s">
        <v>19726</v>
      </c>
      <c r="C1574" s="15" t="s">
        <v>9480</v>
      </c>
      <c r="D1574" s="15" t="s">
        <v>9481</v>
      </c>
      <c r="E1574" s="15" t="s">
        <v>9482</v>
      </c>
      <c r="F1574" s="15" t="s">
        <v>9483</v>
      </c>
      <c r="G1574" s="15" t="s">
        <v>9484</v>
      </c>
      <c r="H1574" s="16" t="s">
        <v>9485</v>
      </c>
    </row>
    <row r="1575" spans="1:8" ht="22.5" x14ac:dyDescent="0.3">
      <c r="A1575" s="13">
        <v>23114</v>
      </c>
      <c r="B1575" s="14" t="s">
        <v>7883</v>
      </c>
      <c r="C1575" s="15" t="s">
        <v>9486</v>
      </c>
      <c r="D1575" s="15" t="s">
        <v>9487</v>
      </c>
      <c r="E1575" s="15" t="s">
        <v>9488</v>
      </c>
      <c r="F1575" s="15" t="s">
        <v>9489</v>
      </c>
      <c r="G1575" s="15" t="s">
        <v>9490</v>
      </c>
      <c r="H1575" s="16" t="s">
        <v>9491</v>
      </c>
    </row>
    <row r="1576" spans="1:8" ht="33.75" x14ac:dyDescent="0.3">
      <c r="A1576" s="13">
        <v>23115</v>
      </c>
      <c r="B1576" s="14" t="s">
        <v>9492</v>
      </c>
      <c r="C1576" s="15" t="s">
        <v>9493</v>
      </c>
      <c r="D1576" s="15" t="s">
        <v>9494</v>
      </c>
      <c r="E1576" s="15" t="s">
        <v>9495</v>
      </c>
      <c r="F1576" s="15" t="s">
        <v>9496</v>
      </c>
      <c r="G1576" s="15" t="s">
        <v>9497</v>
      </c>
      <c r="H1576" s="16" t="s">
        <v>9498</v>
      </c>
    </row>
    <row r="1577" spans="1:8" x14ac:dyDescent="0.3">
      <c r="A1577" s="13">
        <v>23116</v>
      </c>
      <c r="B1577" s="14" t="s">
        <v>9499</v>
      </c>
      <c r="C1577" s="15" t="s">
        <v>9500</v>
      </c>
      <c r="D1577" s="15" t="s">
        <v>9501</v>
      </c>
      <c r="E1577" s="15" t="s">
        <v>9502</v>
      </c>
      <c r="F1577" s="15" t="s">
        <v>9503</v>
      </c>
      <c r="G1577" s="15" t="s">
        <v>9504</v>
      </c>
      <c r="H1577" s="16" t="s">
        <v>9505</v>
      </c>
    </row>
    <row r="1578" spans="1:8" ht="22.5" x14ac:dyDescent="0.3">
      <c r="A1578" s="13">
        <v>23117</v>
      </c>
      <c r="B1578" s="14" t="s">
        <v>9506</v>
      </c>
      <c r="C1578" s="15" t="s">
        <v>9507</v>
      </c>
      <c r="D1578" s="15" t="s">
        <v>9508</v>
      </c>
      <c r="E1578" s="15" t="s">
        <v>9509</v>
      </c>
      <c r="F1578" s="15" t="s">
        <v>9510</v>
      </c>
      <c r="G1578" s="15" t="s">
        <v>9511</v>
      </c>
      <c r="H1578" s="16" t="s">
        <v>9512</v>
      </c>
    </row>
    <row r="1579" spans="1:8" ht="22.5" x14ac:dyDescent="0.3">
      <c r="A1579" s="13" t="s">
        <v>9513</v>
      </c>
      <c r="B1579" s="14" t="s">
        <v>19725</v>
      </c>
      <c r="C1579" s="15" t="s">
        <v>9514</v>
      </c>
      <c r="D1579" s="15" t="s">
        <v>9515</v>
      </c>
      <c r="E1579" s="15" t="s">
        <v>9516</v>
      </c>
      <c r="F1579" s="15" t="s">
        <v>9516</v>
      </c>
      <c r="G1579" s="15" t="s">
        <v>9517</v>
      </c>
      <c r="H1579" s="16" t="s">
        <v>9518</v>
      </c>
    </row>
    <row r="1580" spans="1:8" x14ac:dyDescent="0.3">
      <c r="A1580" s="13" t="s">
        <v>9519</v>
      </c>
      <c r="B1580" s="14" t="s">
        <v>19726</v>
      </c>
      <c r="C1580" s="15" t="s">
        <v>9520</v>
      </c>
      <c r="D1580" s="15"/>
      <c r="E1580" s="15" t="s">
        <v>9521</v>
      </c>
      <c r="F1580" s="15" t="s">
        <v>9522</v>
      </c>
      <c r="G1580" s="15" t="s">
        <v>9523</v>
      </c>
      <c r="H1580" s="16" t="s">
        <v>9524</v>
      </c>
    </row>
    <row r="1581" spans="1:8" ht="33.75" x14ac:dyDescent="0.3">
      <c r="A1581" s="13">
        <v>23118</v>
      </c>
      <c r="B1581" s="14" t="s">
        <v>9525</v>
      </c>
      <c r="C1581" s="15" t="s">
        <v>9526</v>
      </c>
      <c r="D1581" s="15"/>
      <c r="E1581" s="15" t="s">
        <v>9527</v>
      </c>
      <c r="F1581" s="15" t="s">
        <v>9527</v>
      </c>
      <c r="G1581" s="15" t="s">
        <v>9528</v>
      </c>
      <c r="H1581" s="16" t="s">
        <v>9529</v>
      </c>
    </row>
    <row r="1582" spans="1:8" x14ac:dyDescent="0.3">
      <c r="A1582" s="13" t="s">
        <v>9530</v>
      </c>
      <c r="B1582" s="14" t="s">
        <v>19725</v>
      </c>
      <c r="C1582" s="15" t="s">
        <v>9531</v>
      </c>
      <c r="D1582" s="15" t="s">
        <v>9532</v>
      </c>
      <c r="E1582" s="15" t="s">
        <v>9533</v>
      </c>
      <c r="F1582" s="15" t="s">
        <v>9534</v>
      </c>
      <c r="G1582" s="15" t="s">
        <v>9535</v>
      </c>
      <c r="H1582" s="16" t="s">
        <v>9536</v>
      </c>
    </row>
    <row r="1583" spans="1:8" ht="22.5" x14ac:dyDescent="0.3">
      <c r="A1583" s="13" t="s">
        <v>9537</v>
      </c>
      <c r="B1583" s="14" t="s">
        <v>19726</v>
      </c>
      <c r="C1583" s="15" t="s">
        <v>9538</v>
      </c>
      <c r="D1583" s="15"/>
      <c r="E1583" s="15" t="s">
        <v>9539</v>
      </c>
      <c r="F1583" s="15" t="s">
        <v>9539</v>
      </c>
      <c r="G1583" s="15" t="s">
        <v>9540</v>
      </c>
      <c r="H1583" s="16" t="s">
        <v>9541</v>
      </c>
    </row>
    <row r="1584" spans="1:8" ht="22.5" x14ac:dyDescent="0.3">
      <c r="A1584" s="13">
        <v>23119</v>
      </c>
      <c r="B1584" s="14" t="s">
        <v>9542</v>
      </c>
      <c r="C1584" s="15" t="s">
        <v>9543</v>
      </c>
      <c r="D1584" s="15" t="s">
        <v>9544</v>
      </c>
      <c r="E1584" s="15" t="s">
        <v>9542</v>
      </c>
      <c r="F1584" s="15" t="s">
        <v>9545</v>
      </c>
      <c r="G1584" s="15" t="s">
        <v>9546</v>
      </c>
      <c r="H1584" s="16" t="s">
        <v>9547</v>
      </c>
    </row>
    <row r="1585" spans="1:8" x14ac:dyDescent="0.3">
      <c r="A1585" s="13">
        <v>23120</v>
      </c>
      <c r="B1585" s="14" t="s">
        <v>9548</v>
      </c>
      <c r="C1585" s="15" t="s">
        <v>9549</v>
      </c>
      <c r="D1585" s="15" t="s">
        <v>9550</v>
      </c>
      <c r="E1585" s="15" t="s">
        <v>9551</v>
      </c>
      <c r="F1585" s="15" t="s">
        <v>9548</v>
      </c>
      <c r="G1585" s="15" t="s">
        <v>9552</v>
      </c>
      <c r="H1585" s="16" t="s">
        <v>9553</v>
      </c>
    </row>
    <row r="1586" spans="1:8" ht="22.5" x14ac:dyDescent="0.3">
      <c r="A1586" s="13" t="s">
        <v>9554</v>
      </c>
      <c r="B1586" s="14" t="s">
        <v>19733</v>
      </c>
      <c r="C1586" s="15" t="s">
        <v>9555</v>
      </c>
      <c r="D1586" s="15" t="s">
        <v>9556</v>
      </c>
      <c r="E1586" s="15" t="s">
        <v>9551</v>
      </c>
      <c r="F1586" s="15" t="s">
        <v>9557</v>
      </c>
      <c r="G1586" s="15" t="s">
        <v>9558</v>
      </c>
      <c r="H1586" s="16" t="s">
        <v>9559</v>
      </c>
    </row>
    <row r="1587" spans="1:8" ht="33.75" x14ac:dyDescent="0.3">
      <c r="A1587" s="13">
        <v>23121</v>
      </c>
      <c r="B1587" s="14" t="s">
        <v>9560</v>
      </c>
      <c r="C1587" s="15" t="s">
        <v>9561</v>
      </c>
      <c r="D1587" s="15" t="s">
        <v>9562</v>
      </c>
      <c r="E1587" s="15" t="s">
        <v>9563</v>
      </c>
      <c r="F1587" s="15" t="s">
        <v>9564</v>
      </c>
      <c r="G1587" s="15" t="s">
        <v>9565</v>
      </c>
      <c r="H1587" s="16" t="s">
        <v>9566</v>
      </c>
    </row>
    <row r="1588" spans="1:8" ht="22.5" x14ac:dyDescent="0.3">
      <c r="A1588" s="13" t="s">
        <v>9567</v>
      </c>
      <c r="B1588" s="14" t="s">
        <v>9568</v>
      </c>
      <c r="C1588" s="15" t="s">
        <v>9569</v>
      </c>
      <c r="D1588" s="15" t="s">
        <v>9570</v>
      </c>
      <c r="E1588" s="15" t="s">
        <v>9571</v>
      </c>
      <c r="F1588" s="15" t="s">
        <v>9572</v>
      </c>
      <c r="G1588" s="15" t="s">
        <v>9568</v>
      </c>
      <c r="H1588" s="16" t="s">
        <v>9573</v>
      </c>
    </row>
    <row r="1589" spans="1:8" ht="22.5" x14ac:dyDescent="0.3">
      <c r="A1589" s="13">
        <v>23201</v>
      </c>
      <c r="B1589" s="14" t="s">
        <v>9574</v>
      </c>
      <c r="C1589" s="15" t="s">
        <v>9575</v>
      </c>
      <c r="D1589" s="15" t="s">
        <v>9576</v>
      </c>
      <c r="E1589" s="15" t="s">
        <v>9577</v>
      </c>
      <c r="F1589" s="15" t="s">
        <v>9578</v>
      </c>
      <c r="G1589" s="15" t="s">
        <v>9579</v>
      </c>
      <c r="H1589" s="16" t="s">
        <v>9580</v>
      </c>
    </row>
    <row r="1590" spans="1:8" x14ac:dyDescent="0.3">
      <c r="A1590" s="13">
        <v>23202</v>
      </c>
      <c r="B1590" s="14" t="s">
        <v>9581</v>
      </c>
      <c r="C1590" s="15" t="s">
        <v>9582</v>
      </c>
      <c r="D1590" s="15" t="s">
        <v>9583</v>
      </c>
      <c r="E1590" s="15" t="s">
        <v>9581</v>
      </c>
      <c r="F1590" s="15" t="s">
        <v>9584</v>
      </c>
      <c r="G1590" s="15" t="s">
        <v>9581</v>
      </c>
      <c r="H1590" s="16" t="s">
        <v>9585</v>
      </c>
    </row>
    <row r="1591" spans="1:8" ht="33.75" x14ac:dyDescent="0.3">
      <c r="A1591" s="13">
        <v>23203</v>
      </c>
      <c r="B1591" s="14" t="s">
        <v>9586</v>
      </c>
      <c r="C1591" s="15" t="s">
        <v>9587</v>
      </c>
      <c r="D1591" s="15" t="s">
        <v>9588</v>
      </c>
      <c r="E1591" s="15" t="s">
        <v>9589</v>
      </c>
      <c r="F1591" s="15" t="s">
        <v>9590</v>
      </c>
      <c r="G1591" s="15" t="s">
        <v>9591</v>
      </c>
      <c r="H1591" s="16" t="s">
        <v>9592</v>
      </c>
    </row>
    <row r="1592" spans="1:8" ht="45" x14ac:dyDescent="0.3">
      <c r="A1592" s="13">
        <v>23204</v>
      </c>
      <c r="B1592" s="14" t="s">
        <v>9593</v>
      </c>
      <c r="C1592" s="15" t="s">
        <v>9594</v>
      </c>
      <c r="D1592" s="15" t="s">
        <v>9595</v>
      </c>
      <c r="E1592" s="15" t="s">
        <v>9596</v>
      </c>
      <c r="F1592" s="15" t="s">
        <v>9597</v>
      </c>
      <c r="G1592" s="15" t="s">
        <v>9598</v>
      </c>
      <c r="H1592" s="16" t="s">
        <v>9599</v>
      </c>
    </row>
    <row r="1593" spans="1:8" ht="22.5" x14ac:dyDescent="0.3">
      <c r="A1593" s="13" t="s">
        <v>9600</v>
      </c>
      <c r="B1593" s="14" t="s">
        <v>9601</v>
      </c>
      <c r="C1593" s="15" t="s">
        <v>9602</v>
      </c>
      <c r="D1593" s="15" t="s">
        <v>9603</v>
      </c>
      <c r="E1593" s="15" t="s">
        <v>9604</v>
      </c>
      <c r="F1593" s="15" t="s">
        <v>9605</v>
      </c>
      <c r="G1593" s="15" t="s">
        <v>9606</v>
      </c>
      <c r="H1593" s="16" t="s">
        <v>9607</v>
      </c>
    </row>
    <row r="1594" spans="1:8" x14ac:dyDescent="0.3">
      <c r="A1594" s="13">
        <v>23205</v>
      </c>
      <c r="B1594" s="14" t="s">
        <v>9608</v>
      </c>
      <c r="C1594" s="15" t="s">
        <v>9609</v>
      </c>
      <c r="D1594" s="15" t="s">
        <v>9610</v>
      </c>
      <c r="E1594" s="15" t="s">
        <v>9611</v>
      </c>
      <c r="F1594" s="15" t="s">
        <v>9612</v>
      </c>
      <c r="G1594" s="15" t="s">
        <v>9613</v>
      </c>
      <c r="H1594" s="16" t="s">
        <v>9614</v>
      </c>
    </row>
    <row r="1595" spans="1:8" ht="22.5" x14ac:dyDescent="0.3">
      <c r="A1595" s="13">
        <v>23206</v>
      </c>
      <c r="B1595" s="14" t="s">
        <v>9615</v>
      </c>
      <c r="C1595" s="15" t="s">
        <v>9616</v>
      </c>
      <c r="D1595" s="15" t="s">
        <v>9617</v>
      </c>
      <c r="E1595" s="15" t="s">
        <v>9618</v>
      </c>
      <c r="F1595" s="15" t="s">
        <v>9618</v>
      </c>
      <c r="G1595" s="15" t="s">
        <v>9619</v>
      </c>
      <c r="H1595" s="16" t="s">
        <v>9620</v>
      </c>
    </row>
    <row r="1596" spans="1:8" ht="67.5" x14ac:dyDescent="0.3">
      <c r="A1596" s="13">
        <v>23207</v>
      </c>
      <c r="B1596" s="14" t="s">
        <v>9621</v>
      </c>
      <c r="C1596" s="15" t="s">
        <v>9622</v>
      </c>
      <c r="D1596" s="15" t="s">
        <v>9623</v>
      </c>
      <c r="E1596" s="15" t="s">
        <v>9624</v>
      </c>
      <c r="F1596" s="15" t="s">
        <v>9625</v>
      </c>
      <c r="G1596" s="15" t="s">
        <v>9626</v>
      </c>
      <c r="H1596" s="16" t="s">
        <v>9627</v>
      </c>
    </row>
    <row r="1597" spans="1:8" ht="33.75" x14ac:dyDescent="0.3">
      <c r="A1597" s="13">
        <v>23208</v>
      </c>
      <c r="B1597" s="14" t="s">
        <v>9628</v>
      </c>
      <c r="C1597" s="15" t="s">
        <v>9629</v>
      </c>
      <c r="D1597" s="15" t="s">
        <v>9630</v>
      </c>
      <c r="E1597" s="15" t="s">
        <v>9631</v>
      </c>
      <c r="F1597" s="15" t="s">
        <v>57</v>
      </c>
      <c r="G1597" s="15" t="s">
        <v>9632</v>
      </c>
      <c r="H1597" s="16" t="s">
        <v>9633</v>
      </c>
    </row>
    <row r="1598" spans="1:8" ht="45" x14ac:dyDescent="0.3">
      <c r="A1598" s="13">
        <v>23209</v>
      </c>
      <c r="B1598" s="14" t="s">
        <v>9634</v>
      </c>
      <c r="C1598" s="15" t="s">
        <v>9635</v>
      </c>
      <c r="D1598" s="15" t="s">
        <v>9636</v>
      </c>
      <c r="E1598" s="15" t="s">
        <v>9637</v>
      </c>
      <c r="F1598" s="15" t="s">
        <v>9638</v>
      </c>
      <c r="G1598" s="15" t="s">
        <v>9639</v>
      </c>
      <c r="H1598" s="16" t="s">
        <v>9640</v>
      </c>
    </row>
    <row r="1599" spans="1:8" ht="56.25" x14ac:dyDescent="0.3">
      <c r="A1599" s="13">
        <v>23210</v>
      </c>
      <c r="B1599" s="14" t="s">
        <v>9641</v>
      </c>
      <c r="C1599" s="15" t="s">
        <v>9642</v>
      </c>
      <c r="D1599" s="15" t="s">
        <v>9643</v>
      </c>
      <c r="E1599" s="15" t="s">
        <v>9644</v>
      </c>
      <c r="F1599" s="15" t="s">
        <v>9645</v>
      </c>
      <c r="G1599" s="15" t="s">
        <v>9646</v>
      </c>
      <c r="H1599" s="16" t="s">
        <v>9647</v>
      </c>
    </row>
    <row r="1600" spans="1:8" ht="33.75" x14ac:dyDescent="0.3">
      <c r="A1600" s="13">
        <v>23211</v>
      </c>
      <c r="B1600" s="14" t="s">
        <v>9648</v>
      </c>
      <c r="C1600" s="15" t="s">
        <v>9649</v>
      </c>
      <c r="D1600" s="15" t="s">
        <v>9650</v>
      </c>
      <c r="E1600" s="15" t="s">
        <v>9651</v>
      </c>
      <c r="F1600" s="15" t="s">
        <v>9652</v>
      </c>
      <c r="G1600" s="15" t="s">
        <v>9653</v>
      </c>
      <c r="H1600" s="16" t="s">
        <v>9654</v>
      </c>
    </row>
    <row r="1601" spans="1:8" ht="22.5" x14ac:dyDescent="0.3">
      <c r="A1601" s="13">
        <v>23212</v>
      </c>
      <c r="B1601" s="14" t="s">
        <v>9655</v>
      </c>
      <c r="C1601" s="15" t="s">
        <v>9656</v>
      </c>
      <c r="D1601" s="15" t="s">
        <v>9657</v>
      </c>
      <c r="E1601" s="15" t="s">
        <v>9658</v>
      </c>
      <c r="F1601" s="15" t="s">
        <v>57</v>
      </c>
      <c r="G1601" s="15" t="s">
        <v>9659</v>
      </c>
      <c r="H1601" s="16" t="s">
        <v>9660</v>
      </c>
    </row>
    <row r="1602" spans="1:8" ht="22.5" x14ac:dyDescent="0.3">
      <c r="A1602" s="13">
        <v>23213</v>
      </c>
      <c r="B1602" s="14" t="s">
        <v>9661</v>
      </c>
      <c r="C1602" s="15" t="s">
        <v>9662</v>
      </c>
      <c r="D1602" s="15" t="s">
        <v>57</v>
      </c>
      <c r="E1602" s="15" t="s">
        <v>57</v>
      </c>
      <c r="F1602" s="15" t="s">
        <v>9663</v>
      </c>
      <c r="G1602" s="15" t="s">
        <v>9664</v>
      </c>
      <c r="H1602" s="16" t="s">
        <v>9664</v>
      </c>
    </row>
    <row r="1603" spans="1:8" ht="45" x14ac:dyDescent="0.3">
      <c r="A1603" s="13">
        <v>23214</v>
      </c>
      <c r="B1603" s="14" t="s">
        <v>9665</v>
      </c>
      <c r="C1603" s="15" t="s">
        <v>9666</v>
      </c>
      <c r="D1603" s="15" t="s">
        <v>9667</v>
      </c>
      <c r="E1603" s="15" t="s">
        <v>57</v>
      </c>
      <c r="F1603" s="15" t="s">
        <v>9668</v>
      </c>
      <c r="G1603" s="15" t="s">
        <v>57</v>
      </c>
      <c r="H1603" s="16" t="s">
        <v>9669</v>
      </c>
    </row>
    <row r="1604" spans="1:8" x14ac:dyDescent="0.3">
      <c r="A1604" s="13">
        <v>23215</v>
      </c>
      <c r="B1604" s="14" t="s">
        <v>9670</v>
      </c>
      <c r="C1604" s="15" t="s">
        <v>9671</v>
      </c>
      <c r="D1604" s="15"/>
      <c r="E1604" s="15" t="s">
        <v>9672</v>
      </c>
      <c r="F1604" s="15" t="s">
        <v>9673</v>
      </c>
      <c r="G1604" s="15" t="s">
        <v>9674</v>
      </c>
      <c r="H1604" s="16" t="s">
        <v>9675</v>
      </c>
    </row>
    <row r="1605" spans="1:8" ht="45" x14ac:dyDescent="0.3">
      <c r="A1605" s="13">
        <v>23216</v>
      </c>
      <c r="B1605" s="14" t="s">
        <v>9676</v>
      </c>
      <c r="C1605" s="15" t="s">
        <v>9677</v>
      </c>
      <c r="D1605" s="15" t="s">
        <v>9678</v>
      </c>
      <c r="E1605" s="15" t="s">
        <v>9679</v>
      </c>
      <c r="F1605" s="15" t="s">
        <v>9680</v>
      </c>
      <c r="G1605" s="15" t="s">
        <v>9681</v>
      </c>
      <c r="H1605" s="16" t="s">
        <v>9682</v>
      </c>
    </row>
    <row r="1606" spans="1:8" ht="22.5" x14ac:dyDescent="0.3">
      <c r="A1606" s="13">
        <v>23217</v>
      </c>
      <c r="B1606" s="14" t="s">
        <v>9683</v>
      </c>
      <c r="C1606" s="15" t="s">
        <v>9684</v>
      </c>
      <c r="D1606" s="15"/>
      <c r="E1606" s="15" t="s">
        <v>9685</v>
      </c>
      <c r="F1606" s="15" t="s">
        <v>57</v>
      </c>
      <c r="G1606" s="15" t="s">
        <v>9686</v>
      </c>
      <c r="H1606" s="16" t="s">
        <v>9687</v>
      </c>
    </row>
    <row r="1607" spans="1:8" ht="22.5" x14ac:dyDescent="0.3">
      <c r="A1607" s="13" t="s">
        <v>9688</v>
      </c>
      <c r="B1607" s="14" t="s">
        <v>19726</v>
      </c>
      <c r="C1607" s="15" t="s">
        <v>9689</v>
      </c>
      <c r="D1607" s="15" t="s">
        <v>9690</v>
      </c>
      <c r="E1607" s="15" t="s">
        <v>9691</v>
      </c>
      <c r="F1607" s="15" t="s">
        <v>57</v>
      </c>
      <c r="G1607" s="15" t="s">
        <v>9692</v>
      </c>
      <c r="H1607" s="16" t="s">
        <v>9693</v>
      </c>
    </row>
    <row r="1608" spans="1:8" x14ac:dyDescent="0.3">
      <c r="A1608" s="13">
        <v>23218</v>
      </c>
      <c r="B1608" s="14" t="s">
        <v>9694</v>
      </c>
      <c r="C1608" s="15" t="s">
        <v>9695</v>
      </c>
      <c r="D1608" s="15" t="s">
        <v>9696</v>
      </c>
      <c r="E1608" s="15" t="s">
        <v>9697</v>
      </c>
      <c r="F1608" s="15" t="s">
        <v>9698</v>
      </c>
      <c r="G1608" s="15" t="s">
        <v>9699</v>
      </c>
      <c r="H1608" s="16" t="s">
        <v>9700</v>
      </c>
    </row>
    <row r="1609" spans="1:8" x14ac:dyDescent="0.3">
      <c r="A1609" s="13">
        <v>23219</v>
      </c>
      <c r="B1609" s="14" t="s">
        <v>9701</v>
      </c>
      <c r="C1609" s="15" t="s">
        <v>9702</v>
      </c>
      <c r="D1609" s="15" t="s">
        <v>9703</v>
      </c>
      <c r="E1609" s="15" t="s">
        <v>9701</v>
      </c>
      <c r="F1609" s="15" t="s">
        <v>9704</v>
      </c>
      <c r="G1609" s="15" t="s">
        <v>57</v>
      </c>
      <c r="H1609" s="16" t="s">
        <v>9705</v>
      </c>
    </row>
    <row r="1610" spans="1:8" ht="22.5" x14ac:dyDescent="0.3">
      <c r="A1610" s="13">
        <v>23220</v>
      </c>
      <c r="B1610" s="14" t="s">
        <v>9706</v>
      </c>
      <c r="C1610" s="15" t="s">
        <v>9707</v>
      </c>
      <c r="D1610" s="15" t="s">
        <v>9708</v>
      </c>
      <c r="E1610" s="15" t="s">
        <v>9709</v>
      </c>
      <c r="F1610" s="15" t="s">
        <v>57</v>
      </c>
      <c r="G1610" s="15" t="s">
        <v>57</v>
      </c>
      <c r="H1610" s="16" t="s">
        <v>9707</v>
      </c>
    </row>
    <row r="1611" spans="1:8" ht="33.75" x14ac:dyDescent="0.3">
      <c r="A1611" s="13" t="s">
        <v>9710</v>
      </c>
      <c r="B1611" s="14" t="s">
        <v>19726</v>
      </c>
      <c r="C1611" s="15" t="s">
        <v>9711</v>
      </c>
      <c r="D1611" s="15" t="s">
        <v>9712</v>
      </c>
      <c r="E1611" s="15" t="s">
        <v>9713</v>
      </c>
      <c r="F1611" s="15" t="s">
        <v>57</v>
      </c>
      <c r="G1611" s="15" t="s">
        <v>57</v>
      </c>
      <c r="H1611" s="16" t="s">
        <v>9714</v>
      </c>
    </row>
    <row r="1612" spans="1:8" x14ac:dyDescent="0.3">
      <c r="A1612" s="13">
        <v>23221</v>
      </c>
      <c r="B1612" s="14" t="s">
        <v>9715</v>
      </c>
      <c r="C1612" s="15" t="s">
        <v>9716</v>
      </c>
      <c r="D1612" s="15" t="s">
        <v>9717</v>
      </c>
      <c r="E1612" s="15" t="s">
        <v>9718</v>
      </c>
      <c r="F1612" s="15" t="s">
        <v>9719</v>
      </c>
      <c r="G1612" s="15" t="s">
        <v>57</v>
      </c>
      <c r="H1612" s="16" t="s">
        <v>9720</v>
      </c>
    </row>
    <row r="1613" spans="1:8" x14ac:dyDescent="0.3">
      <c r="A1613" s="13" t="s">
        <v>9721</v>
      </c>
      <c r="B1613" s="14" t="s">
        <v>19726</v>
      </c>
      <c r="C1613" s="15"/>
      <c r="D1613" s="15"/>
      <c r="E1613" s="15"/>
      <c r="F1613" s="15"/>
      <c r="G1613" s="15"/>
      <c r="H1613" s="16"/>
    </row>
    <row r="1614" spans="1:8" ht="22.5" x14ac:dyDescent="0.3">
      <c r="A1614" s="13">
        <v>23222</v>
      </c>
      <c r="B1614" s="14" t="s">
        <v>9722</v>
      </c>
      <c r="C1614" s="15" t="s">
        <v>9723</v>
      </c>
      <c r="D1614" s="15" t="s">
        <v>9724</v>
      </c>
      <c r="E1614" s="15" t="s">
        <v>9725</v>
      </c>
      <c r="F1614" s="15" t="s">
        <v>9726</v>
      </c>
      <c r="G1614" s="15" t="s">
        <v>9727</v>
      </c>
      <c r="H1614" s="16" t="s">
        <v>9728</v>
      </c>
    </row>
    <row r="1615" spans="1:8" ht="22.5" x14ac:dyDescent="0.3">
      <c r="A1615" s="13">
        <v>23223</v>
      </c>
      <c r="B1615" s="14" t="s">
        <v>9729</v>
      </c>
      <c r="C1615" s="15" t="s">
        <v>9730</v>
      </c>
      <c r="D1615" s="15" t="s">
        <v>9731</v>
      </c>
      <c r="E1615" s="15" t="s">
        <v>57</v>
      </c>
      <c r="F1615" s="15" t="s">
        <v>9732</v>
      </c>
      <c r="G1615" s="15" t="s">
        <v>57</v>
      </c>
      <c r="H1615" s="16" t="s">
        <v>57</v>
      </c>
    </row>
    <row r="1616" spans="1:8" ht="22.5" x14ac:dyDescent="0.3">
      <c r="A1616" s="13">
        <v>23224</v>
      </c>
      <c r="B1616" s="14" t="s">
        <v>9733</v>
      </c>
      <c r="C1616" s="15" t="s">
        <v>9734</v>
      </c>
      <c r="D1616" s="15" t="s">
        <v>57</v>
      </c>
      <c r="E1616" s="15" t="s">
        <v>9735</v>
      </c>
      <c r="F1616" s="15" t="s">
        <v>57</v>
      </c>
      <c r="G1616" s="15" t="s">
        <v>57</v>
      </c>
      <c r="H1616" s="16" t="s">
        <v>9736</v>
      </c>
    </row>
    <row r="1617" spans="1:8" x14ac:dyDescent="0.3">
      <c r="A1617" s="13">
        <v>23225</v>
      </c>
      <c r="B1617" s="14" t="s">
        <v>9737</v>
      </c>
      <c r="C1617" s="15" t="s">
        <v>57</v>
      </c>
      <c r="D1617" s="15" t="s">
        <v>9738</v>
      </c>
      <c r="E1617" s="15" t="s">
        <v>57</v>
      </c>
      <c r="F1617" s="15" t="s">
        <v>57</v>
      </c>
      <c r="G1617" s="15" t="s">
        <v>57</v>
      </c>
      <c r="H1617" s="16" t="s">
        <v>9739</v>
      </c>
    </row>
    <row r="1618" spans="1:8" ht="33.75" x14ac:dyDescent="0.3">
      <c r="A1618" s="13">
        <v>23226</v>
      </c>
      <c r="B1618" s="14" t="s">
        <v>9740</v>
      </c>
      <c r="C1618" s="15" t="s">
        <v>57</v>
      </c>
      <c r="D1618" s="15" t="s">
        <v>9741</v>
      </c>
      <c r="E1618" s="15" t="s">
        <v>57</v>
      </c>
      <c r="F1618" s="15" t="s">
        <v>57</v>
      </c>
      <c r="G1618" s="15" t="s">
        <v>9742</v>
      </c>
      <c r="H1618" s="16" t="s">
        <v>9743</v>
      </c>
    </row>
    <row r="1619" spans="1:8" ht="22.5" x14ac:dyDescent="0.3">
      <c r="A1619" s="13">
        <v>23227</v>
      </c>
      <c r="B1619" s="14" t="s">
        <v>9744</v>
      </c>
      <c r="C1619" s="15" t="s">
        <v>9745</v>
      </c>
      <c r="D1619" s="15" t="s">
        <v>9746</v>
      </c>
      <c r="E1619" s="15" t="s">
        <v>9747</v>
      </c>
      <c r="F1619" s="15" t="s">
        <v>9748</v>
      </c>
      <c r="G1619" s="15" t="s">
        <v>57</v>
      </c>
      <c r="H1619" s="16" t="s">
        <v>9749</v>
      </c>
    </row>
    <row r="1620" spans="1:8" x14ac:dyDescent="0.3">
      <c r="A1620" s="13">
        <v>23228</v>
      </c>
      <c r="B1620" s="14" t="s">
        <v>9750</v>
      </c>
      <c r="C1620" s="15"/>
      <c r="D1620" s="15" t="s">
        <v>57</v>
      </c>
      <c r="E1620" s="15" t="s">
        <v>57</v>
      </c>
      <c r="F1620" s="15" t="s">
        <v>57</v>
      </c>
      <c r="G1620" s="15" t="s">
        <v>9751</v>
      </c>
      <c r="H1620" s="16" t="s">
        <v>57</v>
      </c>
    </row>
    <row r="1621" spans="1:8" x14ac:dyDescent="0.3">
      <c r="A1621" s="13" t="s">
        <v>9752</v>
      </c>
      <c r="B1621" s="14" t="s">
        <v>19722</v>
      </c>
      <c r="C1621" s="15" t="s">
        <v>9753</v>
      </c>
      <c r="D1621" s="15" t="s">
        <v>9754</v>
      </c>
      <c r="E1621" s="15" t="s">
        <v>57</v>
      </c>
      <c r="F1621" s="15" t="s">
        <v>57</v>
      </c>
      <c r="G1621" s="15" t="s">
        <v>9755</v>
      </c>
      <c r="H1621" s="16"/>
    </row>
    <row r="1622" spans="1:8" x14ac:dyDescent="0.3">
      <c r="A1622" s="13">
        <v>23229</v>
      </c>
      <c r="B1622" s="14" t="s">
        <v>9756</v>
      </c>
      <c r="C1622" s="15" t="s">
        <v>9757</v>
      </c>
      <c r="D1622" s="15" t="s">
        <v>9756</v>
      </c>
      <c r="E1622" s="15" t="s">
        <v>57</v>
      </c>
      <c r="F1622" s="15" t="s">
        <v>57</v>
      </c>
      <c r="G1622" s="15" t="s">
        <v>57</v>
      </c>
      <c r="H1622" s="16" t="s">
        <v>57</v>
      </c>
    </row>
    <row r="1623" spans="1:8" ht="22.5" x14ac:dyDescent="0.3">
      <c r="A1623" s="13">
        <v>23230</v>
      </c>
      <c r="B1623" s="14" t="s">
        <v>9758</v>
      </c>
      <c r="C1623" s="15" t="s">
        <v>9757</v>
      </c>
      <c r="D1623" s="15" t="s">
        <v>9759</v>
      </c>
      <c r="E1623" s="15" t="s">
        <v>57</v>
      </c>
      <c r="F1623" s="15" t="s">
        <v>57</v>
      </c>
      <c r="G1623" s="15" t="s">
        <v>57</v>
      </c>
      <c r="H1623" s="16" t="s">
        <v>9760</v>
      </c>
    </row>
    <row r="1624" spans="1:8" ht="33.75" x14ac:dyDescent="0.3">
      <c r="A1624" s="13">
        <v>23231</v>
      </c>
      <c r="B1624" s="14" t="s">
        <v>9761</v>
      </c>
      <c r="C1624" s="15" t="s">
        <v>9762</v>
      </c>
      <c r="D1624" s="15" t="s">
        <v>9763</v>
      </c>
      <c r="E1624" s="15" t="s">
        <v>9764</v>
      </c>
      <c r="F1624" s="15" t="s">
        <v>9765</v>
      </c>
      <c r="G1624" s="15" t="s">
        <v>9766</v>
      </c>
      <c r="H1624" s="16" t="s">
        <v>9767</v>
      </c>
    </row>
    <row r="1625" spans="1:8" ht="22.5" x14ac:dyDescent="0.3">
      <c r="A1625" s="13">
        <v>23232</v>
      </c>
      <c r="B1625" s="14" t="s">
        <v>9768</v>
      </c>
      <c r="C1625" s="15" t="s">
        <v>9769</v>
      </c>
      <c r="D1625" s="15" t="s">
        <v>9770</v>
      </c>
      <c r="E1625" s="15" t="s">
        <v>9771</v>
      </c>
      <c r="F1625" s="15" t="s">
        <v>9768</v>
      </c>
      <c r="G1625" s="15" t="s">
        <v>9772</v>
      </c>
      <c r="H1625" s="16" t="s">
        <v>9773</v>
      </c>
    </row>
    <row r="1626" spans="1:8" x14ac:dyDescent="0.3">
      <c r="A1626" s="13">
        <v>23233</v>
      </c>
      <c r="B1626" s="14" t="s">
        <v>9774</v>
      </c>
      <c r="C1626" s="15" t="s">
        <v>9775</v>
      </c>
      <c r="D1626" s="15" t="s">
        <v>9776</v>
      </c>
      <c r="E1626" s="15" t="s">
        <v>9777</v>
      </c>
      <c r="F1626" s="15" t="s">
        <v>9777</v>
      </c>
      <c r="G1626" s="15" t="s">
        <v>9778</v>
      </c>
      <c r="H1626" s="16" t="s">
        <v>9777</v>
      </c>
    </row>
    <row r="1627" spans="1:8" ht="33.75" x14ac:dyDescent="0.3">
      <c r="A1627" s="13">
        <v>23301</v>
      </c>
      <c r="B1627" s="14" t="s">
        <v>9779</v>
      </c>
      <c r="C1627" s="15" t="s">
        <v>9780</v>
      </c>
      <c r="D1627" s="15" t="s">
        <v>9781</v>
      </c>
      <c r="E1627" s="15" t="s">
        <v>9779</v>
      </c>
      <c r="F1627" s="15" t="s">
        <v>9782</v>
      </c>
      <c r="G1627" s="15" t="s">
        <v>9783</v>
      </c>
      <c r="H1627" s="16" t="s">
        <v>9779</v>
      </c>
    </row>
    <row r="1628" spans="1:8" ht="33.75" x14ac:dyDescent="0.3">
      <c r="A1628" s="13">
        <v>23302</v>
      </c>
      <c r="B1628" s="14" t="s">
        <v>9784</v>
      </c>
      <c r="C1628" s="15" t="s">
        <v>9785</v>
      </c>
      <c r="D1628" s="15" t="s">
        <v>9786</v>
      </c>
      <c r="E1628" s="15" t="s">
        <v>9787</v>
      </c>
      <c r="F1628" s="15" t="s">
        <v>9788</v>
      </c>
      <c r="G1628" s="15" t="s">
        <v>9789</v>
      </c>
      <c r="H1628" s="16" t="s">
        <v>9790</v>
      </c>
    </row>
    <row r="1629" spans="1:8" x14ac:dyDescent="0.3">
      <c r="A1629" s="13">
        <v>23303</v>
      </c>
      <c r="B1629" s="14" t="s">
        <v>9791</v>
      </c>
      <c r="C1629" s="15" t="s">
        <v>9792</v>
      </c>
      <c r="D1629" s="15" t="s">
        <v>9793</v>
      </c>
      <c r="E1629" s="15" t="s">
        <v>9794</v>
      </c>
      <c r="F1629" s="15" t="s">
        <v>9795</v>
      </c>
      <c r="G1629" s="15" t="s">
        <v>9796</v>
      </c>
      <c r="H1629" s="16" t="s">
        <v>9791</v>
      </c>
    </row>
    <row r="1630" spans="1:8" ht="33.75" x14ac:dyDescent="0.3">
      <c r="A1630" s="13">
        <v>23304</v>
      </c>
      <c r="B1630" s="14" t="s">
        <v>9797</v>
      </c>
      <c r="C1630" s="15" t="s">
        <v>9798</v>
      </c>
      <c r="D1630" s="15" t="s">
        <v>9799</v>
      </c>
      <c r="E1630" s="15" t="s">
        <v>9800</v>
      </c>
      <c r="F1630" s="15" t="s">
        <v>9801</v>
      </c>
      <c r="G1630" s="15" t="s">
        <v>9802</v>
      </c>
      <c r="H1630" s="16" t="s">
        <v>9803</v>
      </c>
    </row>
    <row r="1631" spans="1:8" ht="45" x14ac:dyDescent="0.3">
      <c r="A1631" s="13">
        <v>23305</v>
      </c>
      <c r="B1631" s="14" t="s">
        <v>9804</v>
      </c>
      <c r="C1631" s="15" t="s">
        <v>9805</v>
      </c>
      <c r="D1631" s="15" t="s">
        <v>9806</v>
      </c>
      <c r="E1631" s="15" t="s">
        <v>9807</v>
      </c>
      <c r="F1631" s="15" t="s">
        <v>9808</v>
      </c>
      <c r="G1631" s="15" t="s">
        <v>9809</v>
      </c>
      <c r="H1631" s="16" t="s">
        <v>9810</v>
      </c>
    </row>
    <row r="1632" spans="1:8" ht="78.75" x14ac:dyDescent="0.3">
      <c r="A1632" s="13">
        <v>23306</v>
      </c>
      <c r="B1632" s="14" t="s">
        <v>9811</v>
      </c>
      <c r="C1632" s="15" t="s">
        <v>9812</v>
      </c>
      <c r="D1632" s="15" t="s">
        <v>9813</v>
      </c>
      <c r="E1632" s="15" t="s">
        <v>9814</v>
      </c>
      <c r="F1632" s="15" t="s">
        <v>9815</v>
      </c>
      <c r="G1632" s="15" t="s">
        <v>9816</v>
      </c>
      <c r="H1632" s="16" t="s">
        <v>9817</v>
      </c>
    </row>
    <row r="1633" spans="1:8" ht="33.75" x14ac:dyDescent="0.3">
      <c r="A1633" s="13">
        <v>23307</v>
      </c>
      <c r="B1633" s="14" t="s">
        <v>9818</v>
      </c>
      <c r="C1633" s="15" t="s">
        <v>9819</v>
      </c>
      <c r="D1633" s="15" t="s">
        <v>57</v>
      </c>
      <c r="E1633" s="15" t="s">
        <v>57</v>
      </c>
      <c r="F1633" s="15" t="s">
        <v>57</v>
      </c>
      <c r="G1633" s="15" t="s">
        <v>9820</v>
      </c>
      <c r="H1633" s="16" t="s">
        <v>57</v>
      </c>
    </row>
    <row r="1634" spans="1:8" ht="22.5" x14ac:dyDescent="0.3">
      <c r="A1634" s="13">
        <v>23308</v>
      </c>
      <c r="B1634" s="14" t="s">
        <v>9821</v>
      </c>
      <c r="C1634" s="15" t="s">
        <v>9822</v>
      </c>
      <c r="D1634" s="15" t="s">
        <v>9823</v>
      </c>
      <c r="E1634" s="15" t="s">
        <v>9824</v>
      </c>
      <c r="F1634" s="15" t="s">
        <v>9825</v>
      </c>
      <c r="G1634" s="15" t="s">
        <v>9826</v>
      </c>
      <c r="H1634" s="16" t="s">
        <v>9827</v>
      </c>
    </row>
    <row r="1635" spans="1:8" ht="45" x14ac:dyDescent="0.3">
      <c r="A1635" s="13" t="s">
        <v>9828</v>
      </c>
      <c r="B1635" s="14" t="s">
        <v>19725</v>
      </c>
      <c r="C1635" s="15" t="s">
        <v>9829</v>
      </c>
      <c r="D1635" s="15" t="s">
        <v>9830</v>
      </c>
      <c r="E1635" s="15" t="s">
        <v>9831</v>
      </c>
      <c r="F1635" s="15" t="s">
        <v>9832</v>
      </c>
      <c r="G1635" s="15" t="s">
        <v>9833</v>
      </c>
      <c r="H1635" s="16" t="s">
        <v>9834</v>
      </c>
    </row>
    <row r="1636" spans="1:8" ht="22.5" x14ac:dyDescent="0.3">
      <c r="A1636" s="13">
        <v>23309</v>
      </c>
      <c r="B1636" s="14" t="s">
        <v>9835</v>
      </c>
      <c r="C1636" s="15" t="s">
        <v>9836</v>
      </c>
      <c r="D1636" s="15" t="s">
        <v>9837</v>
      </c>
      <c r="E1636" s="15" t="s">
        <v>9838</v>
      </c>
      <c r="F1636" s="15" t="s">
        <v>9839</v>
      </c>
      <c r="G1636" s="15" t="s">
        <v>9840</v>
      </c>
      <c r="H1636" s="16" t="s">
        <v>9841</v>
      </c>
    </row>
    <row r="1637" spans="1:8" x14ac:dyDescent="0.3">
      <c r="A1637" s="13">
        <v>23310</v>
      </c>
      <c r="B1637" s="14" t="s">
        <v>9842</v>
      </c>
      <c r="C1637" s="15" t="s">
        <v>9843</v>
      </c>
      <c r="D1637" s="15" t="s">
        <v>9842</v>
      </c>
      <c r="E1637" s="15" t="s">
        <v>57</v>
      </c>
      <c r="F1637" s="15" t="s">
        <v>9844</v>
      </c>
      <c r="G1637" s="15" t="s">
        <v>57</v>
      </c>
      <c r="H1637" s="16" t="s">
        <v>57</v>
      </c>
    </row>
    <row r="1638" spans="1:8" ht="22.5" x14ac:dyDescent="0.3">
      <c r="A1638" s="13">
        <v>23311</v>
      </c>
      <c r="B1638" s="14" t="s">
        <v>9845</v>
      </c>
      <c r="C1638" s="15" t="s">
        <v>9846</v>
      </c>
      <c r="D1638" s="15" t="s">
        <v>9847</v>
      </c>
      <c r="E1638" s="15" t="s">
        <v>9848</v>
      </c>
      <c r="F1638" s="15" t="s">
        <v>9849</v>
      </c>
      <c r="G1638" s="15" t="s">
        <v>57</v>
      </c>
      <c r="H1638" s="16" t="s">
        <v>9850</v>
      </c>
    </row>
    <row r="1639" spans="1:8" ht="22.5" x14ac:dyDescent="0.3">
      <c r="A1639" s="13">
        <v>23312</v>
      </c>
      <c r="B1639" s="14" t="s">
        <v>9851</v>
      </c>
      <c r="C1639" s="15" t="s">
        <v>9852</v>
      </c>
      <c r="D1639" s="15" t="s">
        <v>9853</v>
      </c>
      <c r="E1639" s="15" t="s">
        <v>9854</v>
      </c>
      <c r="F1639" s="15" t="s">
        <v>9855</v>
      </c>
      <c r="G1639" s="15" t="s">
        <v>9851</v>
      </c>
      <c r="H1639" s="16" t="s">
        <v>9856</v>
      </c>
    </row>
    <row r="1640" spans="1:8" ht="45" x14ac:dyDescent="0.3">
      <c r="A1640" s="13">
        <v>23313</v>
      </c>
      <c r="B1640" s="14" t="s">
        <v>9857</v>
      </c>
      <c r="C1640" s="15" t="s">
        <v>9858</v>
      </c>
      <c r="D1640" s="15" t="s">
        <v>9859</v>
      </c>
      <c r="E1640" s="15" t="s">
        <v>9860</v>
      </c>
      <c r="F1640" s="15" t="s">
        <v>9861</v>
      </c>
      <c r="G1640" s="15" t="s">
        <v>9857</v>
      </c>
      <c r="H1640" s="16" t="s">
        <v>9857</v>
      </c>
    </row>
    <row r="1641" spans="1:8" ht="22.5" x14ac:dyDescent="0.3">
      <c r="A1641" s="13">
        <v>23314</v>
      </c>
      <c r="B1641" s="14" t="s">
        <v>9862</v>
      </c>
      <c r="C1641" s="15" t="s">
        <v>9863</v>
      </c>
      <c r="D1641" s="15" t="s">
        <v>9864</v>
      </c>
      <c r="E1641" s="15" t="s">
        <v>9865</v>
      </c>
      <c r="F1641" s="15" t="s">
        <v>9866</v>
      </c>
      <c r="G1641" s="15" t="s">
        <v>9867</v>
      </c>
      <c r="H1641" s="16" t="s">
        <v>9868</v>
      </c>
    </row>
    <row r="1642" spans="1:8" ht="33.75" x14ac:dyDescent="0.3">
      <c r="A1642" s="13">
        <v>23315</v>
      </c>
      <c r="B1642" s="14" t="s">
        <v>9869</v>
      </c>
      <c r="C1642" s="15" t="s">
        <v>9870</v>
      </c>
      <c r="D1642" s="15" t="s">
        <v>9871</v>
      </c>
      <c r="E1642" s="15"/>
      <c r="F1642" s="15" t="s">
        <v>9872</v>
      </c>
      <c r="G1642" s="15" t="s">
        <v>9873</v>
      </c>
      <c r="H1642" s="16" t="s">
        <v>9874</v>
      </c>
    </row>
    <row r="1643" spans="1:8" ht="45" x14ac:dyDescent="0.3">
      <c r="A1643" s="13">
        <v>23316</v>
      </c>
      <c r="B1643" s="14" t="s">
        <v>9875</v>
      </c>
      <c r="C1643" s="15" t="s">
        <v>9876</v>
      </c>
      <c r="D1643" s="15"/>
      <c r="E1643" s="15" t="s">
        <v>9877</v>
      </c>
      <c r="F1643" s="15" t="s">
        <v>9875</v>
      </c>
      <c r="G1643" s="15" t="s">
        <v>9878</v>
      </c>
      <c r="H1643" s="16" t="s">
        <v>9879</v>
      </c>
    </row>
    <row r="1644" spans="1:8" ht="56.25" x14ac:dyDescent="0.3">
      <c r="A1644" s="13" t="s">
        <v>9880</v>
      </c>
      <c r="B1644" s="14" t="s">
        <v>19726</v>
      </c>
      <c r="C1644" s="15" t="s">
        <v>9881</v>
      </c>
      <c r="D1644" s="15" t="s">
        <v>9882</v>
      </c>
      <c r="E1644" s="15" t="s">
        <v>9883</v>
      </c>
      <c r="F1644" s="15" t="s">
        <v>9884</v>
      </c>
      <c r="G1644" s="15" t="s">
        <v>9885</v>
      </c>
      <c r="H1644" s="16" t="s">
        <v>9886</v>
      </c>
    </row>
    <row r="1645" spans="1:8" ht="22.5" x14ac:dyDescent="0.3">
      <c r="A1645" s="13">
        <v>23317</v>
      </c>
      <c r="B1645" s="14" t="s">
        <v>9887</v>
      </c>
      <c r="C1645" s="15" t="s">
        <v>9888</v>
      </c>
      <c r="D1645" s="15"/>
      <c r="E1645" s="15" t="s">
        <v>9889</v>
      </c>
      <c r="F1645" s="15" t="s">
        <v>9890</v>
      </c>
      <c r="G1645" s="15" t="s">
        <v>9891</v>
      </c>
      <c r="H1645" s="16" t="s">
        <v>9892</v>
      </c>
    </row>
    <row r="1646" spans="1:8" ht="33.75" x14ac:dyDescent="0.3">
      <c r="A1646" s="13" t="s">
        <v>9893</v>
      </c>
      <c r="B1646" s="14" t="s">
        <v>19726</v>
      </c>
      <c r="C1646" s="15" t="s">
        <v>9894</v>
      </c>
      <c r="D1646" s="15" t="s">
        <v>9895</v>
      </c>
      <c r="E1646" s="15" t="s">
        <v>9896</v>
      </c>
      <c r="F1646" s="15" t="s">
        <v>9897</v>
      </c>
      <c r="G1646" s="15" t="s">
        <v>9898</v>
      </c>
      <c r="H1646" s="16" t="s">
        <v>9899</v>
      </c>
    </row>
    <row r="1647" spans="1:8" x14ac:dyDescent="0.3">
      <c r="A1647" s="13">
        <v>23318</v>
      </c>
      <c r="B1647" s="14" t="s">
        <v>9900</v>
      </c>
      <c r="C1647" s="15" t="s">
        <v>9901</v>
      </c>
      <c r="D1647" s="15" t="s">
        <v>9902</v>
      </c>
      <c r="E1647" s="15" t="s">
        <v>9903</v>
      </c>
      <c r="F1647" s="15" t="s">
        <v>9904</v>
      </c>
      <c r="G1647" s="15" t="s">
        <v>9905</v>
      </c>
      <c r="H1647" s="16" t="s">
        <v>9906</v>
      </c>
    </row>
    <row r="1648" spans="1:8" ht="67.5" x14ac:dyDescent="0.3">
      <c r="A1648" s="13">
        <v>23319</v>
      </c>
      <c r="B1648" s="14" t="s">
        <v>9907</v>
      </c>
      <c r="C1648" s="15" t="s">
        <v>9908</v>
      </c>
      <c r="D1648" s="15" t="s">
        <v>9909</v>
      </c>
      <c r="E1648" s="15" t="s">
        <v>9910</v>
      </c>
      <c r="F1648" s="15" t="s">
        <v>9911</v>
      </c>
      <c r="G1648" s="15" t="s">
        <v>9907</v>
      </c>
      <c r="H1648" s="16" t="s">
        <v>9912</v>
      </c>
    </row>
    <row r="1649" spans="1:8" ht="90" x14ac:dyDescent="0.3">
      <c r="A1649" s="13">
        <v>23320</v>
      </c>
      <c r="B1649" s="14" t="s">
        <v>9913</v>
      </c>
      <c r="C1649" s="15" t="s">
        <v>9914</v>
      </c>
      <c r="D1649" s="15" t="s">
        <v>9915</v>
      </c>
      <c r="E1649" s="15" t="s">
        <v>9916</v>
      </c>
      <c r="F1649" s="15" t="s">
        <v>9917</v>
      </c>
      <c r="G1649" s="15" t="s">
        <v>9918</v>
      </c>
      <c r="H1649" s="16" t="s">
        <v>9918</v>
      </c>
    </row>
    <row r="1650" spans="1:8" x14ac:dyDescent="0.3">
      <c r="A1650" s="13">
        <v>23321</v>
      </c>
      <c r="B1650" s="14" t="s">
        <v>9919</v>
      </c>
      <c r="C1650" s="15" t="s">
        <v>9920</v>
      </c>
      <c r="D1650" s="15" t="s">
        <v>9921</v>
      </c>
      <c r="E1650" s="15" t="s">
        <v>9921</v>
      </c>
      <c r="F1650" s="15" t="s">
        <v>9922</v>
      </c>
      <c r="G1650" s="15" t="s">
        <v>9921</v>
      </c>
      <c r="H1650" s="16" t="s">
        <v>9921</v>
      </c>
    </row>
    <row r="1651" spans="1:8" x14ac:dyDescent="0.3">
      <c r="A1651" s="13">
        <v>23322</v>
      </c>
      <c r="B1651" s="14" t="s">
        <v>9923</v>
      </c>
      <c r="C1651" s="15" t="s">
        <v>9924</v>
      </c>
      <c r="D1651" s="15" t="s">
        <v>9923</v>
      </c>
      <c r="E1651" s="15" t="s">
        <v>9925</v>
      </c>
      <c r="F1651" s="15" t="s">
        <v>9926</v>
      </c>
      <c r="G1651" s="15" t="s">
        <v>9927</v>
      </c>
      <c r="H1651" s="16" t="s">
        <v>9923</v>
      </c>
    </row>
    <row r="1652" spans="1:8" x14ac:dyDescent="0.3">
      <c r="A1652" s="13">
        <v>23323</v>
      </c>
      <c r="B1652" s="14" t="s">
        <v>9928</v>
      </c>
      <c r="C1652" s="15" t="s">
        <v>9929</v>
      </c>
      <c r="D1652" s="15" t="s">
        <v>9928</v>
      </c>
      <c r="E1652" s="15" t="s">
        <v>9928</v>
      </c>
      <c r="F1652" s="15" t="s">
        <v>9930</v>
      </c>
      <c r="G1652" s="15" t="s">
        <v>9931</v>
      </c>
      <c r="H1652" s="16" t="s">
        <v>9928</v>
      </c>
    </row>
    <row r="1653" spans="1:8" ht="22.5" x14ac:dyDescent="0.3">
      <c r="A1653" s="13">
        <v>23324</v>
      </c>
      <c r="B1653" s="14" t="s">
        <v>9932</v>
      </c>
      <c r="C1653" s="15" t="s">
        <v>9933</v>
      </c>
      <c r="D1653" s="15" t="s">
        <v>9934</v>
      </c>
      <c r="E1653" s="15" t="s">
        <v>9935</v>
      </c>
      <c r="F1653" s="15" t="s">
        <v>9936</v>
      </c>
      <c r="G1653" s="15" t="s">
        <v>9937</v>
      </c>
      <c r="H1653" s="16" t="s">
        <v>9938</v>
      </c>
    </row>
    <row r="1654" spans="1:8" ht="22.5" x14ac:dyDescent="0.3">
      <c r="A1654" s="13">
        <v>23325</v>
      </c>
      <c r="B1654" s="14" t="s">
        <v>9939</v>
      </c>
      <c r="C1654" s="15" t="s">
        <v>9940</v>
      </c>
      <c r="D1654" s="15" t="s">
        <v>9941</v>
      </c>
      <c r="E1654" s="15" t="s">
        <v>9939</v>
      </c>
      <c r="F1654" s="15" t="s">
        <v>9939</v>
      </c>
      <c r="G1654" s="15" t="s">
        <v>9942</v>
      </c>
      <c r="H1654" s="16" t="s">
        <v>9939</v>
      </c>
    </row>
    <row r="1655" spans="1:8" ht="22.5" x14ac:dyDescent="0.3">
      <c r="A1655" s="13">
        <v>23326</v>
      </c>
      <c r="B1655" s="14" t="s">
        <v>9943</v>
      </c>
      <c r="C1655" s="15" t="s">
        <v>9944</v>
      </c>
      <c r="D1655" s="15" t="s">
        <v>9945</v>
      </c>
      <c r="E1655" s="15" t="s">
        <v>9946</v>
      </c>
      <c r="F1655" s="15" t="s">
        <v>9947</v>
      </c>
      <c r="G1655" s="15" t="s">
        <v>9948</v>
      </c>
      <c r="H1655" s="16" t="s">
        <v>9943</v>
      </c>
    </row>
    <row r="1656" spans="1:8" ht="33.75" x14ac:dyDescent="0.3">
      <c r="A1656" s="13">
        <v>23327</v>
      </c>
      <c r="B1656" s="14" t="s">
        <v>9949</v>
      </c>
      <c r="C1656" s="15" t="s">
        <v>9950</v>
      </c>
      <c r="D1656" s="15" t="s">
        <v>9951</v>
      </c>
      <c r="E1656" s="15" t="s">
        <v>9951</v>
      </c>
      <c r="F1656" s="15" t="s">
        <v>9952</v>
      </c>
      <c r="G1656" s="15" t="s">
        <v>9953</v>
      </c>
      <c r="H1656" s="16" t="s">
        <v>9954</v>
      </c>
    </row>
    <row r="1657" spans="1:8" x14ac:dyDescent="0.3">
      <c r="A1657" s="13">
        <v>23328</v>
      </c>
      <c r="B1657" s="14" t="s">
        <v>9955</v>
      </c>
      <c r="C1657" s="15" t="s">
        <v>9956</v>
      </c>
      <c r="D1657" s="15" t="s">
        <v>9957</v>
      </c>
      <c r="E1657" s="15" t="s">
        <v>9958</v>
      </c>
      <c r="F1657" s="15" t="s">
        <v>9958</v>
      </c>
      <c r="G1657" s="15" t="s">
        <v>9959</v>
      </c>
      <c r="H1657" s="16" t="s">
        <v>9958</v>
      </c>
    </row>
    <row r="1658" spans="1:8" ht="22.5" x14ac:dyDescent="0.3">
      <c r="A1658" s="13">
        <v>23329</v>
      </c>
      <c r="B1658" s="14" t="s">
        <v>9960</v>
      </c>
      <c r="C1658" s="15" t="s">
        <v>9961</v>
      </c>
      <c r="D1658" s="15" t="s">
        <v>9962</v>
      </c>
      <c r="E1658" s="15" t="s">
        <v>9963</v>
      </c>
      <c r="F1658" s="15" t="s">
        <v>9963</v>
      </c>
      <c r="G1658" s="15" t="s">
        <v>9963</v>
      </c>
      <c r="H1658" s="16" t="s">
        <v>9963</v>
      </c>
    </row>
    <row r="1659" spans="1:8" ht="22.5" x14ac:dyDescent="0.3">
      <c r="A1659" s="13">
        <v>23330</v>
      </c>
      <c r="B1659" s="14" t="s">
        <v>9964</v>
      </c>
      <c r="C1659" s="15" t="s">
        <v>9965</v>
      </c>
      <c r="D1659" s="15" t="s">
        <v>9966</v>
      </c>
      <c r="E1659" s="15" t="s">
        <v>9967</v>
      </c>
      <c r="F1659" s="15" t="s">
        <v>9968</v>
      </c>
      <c r="G1659" s="15" t="s">
        <v>9968</v>
      </c>
      <c r="H1659" s="16" t="s">
        <v>9968</v>
      </c>
    </row>
    <row r="1660" spans="1:8" ht="22.5" x14ac:dyDescent="0.3">
      <c r="A1660" s="13">
        <v>23331</v>
      </c>
      <c r="B1660" s="14" t="s">
        <v>9969</v>
      </c>
      <c r="C1660" s="15" t="s">
        <v>9970</v>
      </c>
      <c r="D1660" s="15" t="s">
        <v>9971</v>
      </c>
      <c r="E1660" s="15" t="s">
        <v>9972</v>
      </c>
      <c r="F1660" s="15" t="s">
        <v>9973</v>
      </c>
      <c r="G1660" s="15" t="s">
        <v>9972</v>
      </c>
      <c r="H1660" s="16" t="s">
        <v>9972</v>
      </c>
    </row>
    <row r="1661" spans="1:8" x14ac:dyDescent="0.3">
      <c r="A1661" s="13">
        <v>23332</v>
      </c>
      <c r="B1661" s="14" t="s">
        <v>9974</v>
      </c>
      <c r="C1661" s="15" t="s">
        <v>9975</v>
      </c>
      <c r="D1661" s="15" t="s">
        <v>9976</v>
      </c>
      <c r="E1661" s="15" t="s">
        <v>9977</v>
      </c>
      <c r="F1661" s="15" t="s">
        <v>9978</v>
      </c>
      <c r="G1661" s="15" t="s">
        <v>9977</v>
      </c>
      <c r="H1661" s="16" t="s">
        <v>9977</v>
      </c>
    </row>
    <row r="1662" spans="1:8" x14ac:dyDescent="0.3">
      <c r="A1662" s="13">
        <v>23333</v>
      </c>
      <c r="B1662" s="14" t="s">
        <v>9979</v>
      </c>
      <c r="C1662" s="15" t="s">
        <v>9980</v>
      </c>
      <c r="D1662" s="15" t="s">
        <v>9981</v>
      </c>
      <c r="E1662" s="15" t="s">
        <v>9982</v>
      </c>
      <c r="F1662" s="15" t="s">
        <v>9983</v>
      </c>
      <c r="G1662" s="15" t="s">
        <v>9982</v>
      </c>
      <c r="H1662" s="16" t="s">
        <v>9982</v>
      </c>
    </row>
    <row r="1663" spans="1:8" x14ac:dyDescent="0.3">
      <c r="A1663" s="13">
        <v>23334</v>
      </c>
      <c r="B1663" s="14" t="s">
        <v>9984</v>
      </c>
      <c r="C1663" s="15" t="s">
        <v>9985</v>
      </c>
      <c r="D1663" s="15" t="s">
        <v>9986</v>
      </c>
      <c r="E1663" s="15" t="s">
        <v>9987</v>
      </c>
      <c r="F1663" s="15" t="s">
        <v>9987</v>
      </c>
      <c r="G1663" s="15" t="s">
        <v>9987</v>
      </c>
      <c r="H1663" s="16" t="s">
        <v>9987</v>
      </c>
    </row>
    <row r="1664" spans="1:8" x14ac:dyDescent="0.3">
      <c r="A1664" s="13">
        <v>23335</v>
      </c>
      <c r="B1664" s="14" t="s">
        <v>9988</v>
      </c>
      <c r="C1664" s="15" t="s">
        <v>9989</v>
      </c>
      <c r="D1664" s="15" t="s">
        <v>9990</v>
      </c>
      <c r="E1664" s="15" t="s">
        <v>9991</v>
      </c>
      <c r="F1664" s="15" t="s">
        <v>9991</v>
      </c>
      <c r="G1664" s="15" t="s">
        <v>9991</v>
      </c>
      <c r="H1664" s="16" t="s">
        <v>9992</v>
      </c>
    </row>
    <row r="1665" spans="1:8" x14ac:dyDescent="0.3">
      <c r="A1665" s="13">
        <v>23336</v>
      </c>
      <c r="B1665" s="14" t="s">
        <v>9993</v>
      </c>
      <c r="C1665" s="15" t="s">
        <v>9994</v>
      </c>
      <c r="D1665" s="15" t="s">
        <v>9995</v>
      </c>
      <c r="E1665" s="15" t="s">
        <v>9996</v>
      </c>
      <c r="F1665" s="15" t="s">
        <v>9996</v>
      </c>
      <c r="G1665" s="15" t="s">
        <v>9997</v>
      </c>
      <c r="H1665" s="16" t="s">
        <v>9998</v>
      </c>
    </row>
    <row r="1666" spans="1:8" x14ac:dyDescent="0.3">
      <c r="A1666" s="13">
        <v>23337</v>
      </c>
      <c r="B1666" s="14" t="s">
        <v>9999</v>
      </c>
      <c r="C1666" s="15" t="s">
        <v>10000</v>
      </c>
      <c r="D1666" s="15" t="s">
        <v>10001</v>
      </c>
      <c r="E1666" s="15" t="s">
        <v>9999</v>
      </c>
      <c r="F1666" s="15" t="s">
        <v>10002</v>
      </c>
      <c r="G1666" s="15" t="s">
        <v>10003</v>
      </c>
      <c r="H1666" s="16" t="s">
        <v>10004</v>
      </c>
    </row>
    <row r="1667" spans="1:8" x14ac:dyDescent="0.3">
      <c r="A1667" s="13">
        <v>23338</v>
      </c>
      <c r="B1667" s="14" t="s">
        <v>10005</v>
      </c>
      <c r="C1667" s="15" t="s">
        <v>10006</v>
      </c>
      <c r="D1667" s="15" t="s">
        <v>10005</v>
      </c>
      <c r="E1667" s="15" t="s">
        <v>10005</v>
      </c>
      <c r="F1667" s="15" t="s">
        <v>10005</v>
      </c>
      <c r="G1667" s="15" t="s">
        <v>10005</v>
      </c>
      <c r="H1667" s="16" t="s">
        <v>10005</v>
      </c>
    </row>
    <row r="1668" spans="1:8" ht="33.75" x14ac:dyDescent="0.3">
      <c r="A1668" s="13">
        <v>23339</v>
      </c>
      <c r="B1668" s="14" t="s">
        <v>10007</v>
      </c>
      <c r="C1668" s="15" t="s">
        <v>10008</v>
      </c>
      <c r="D1668" s="15" t="s">
        <v>10007</v>
      </c>
      <c r="E1668" s="15" t="s">
        <v>10007</v>
      </c>
      <c r="F1668" s="15" t="s">
        <v>10007</v>
      </c>
      <c r="G1668" s="15" t="s">
        <v>10007</v>
      </c>
      <c r="H1668" s="16" t="s">
        <v>10007</v>
      </c>
    </row>
    <row r="1669" spans="1:8" ht="33.75" x14ac:dyDescent="0.3">
      <c r="A1669" s="13">
        <v>23340</v>
      </c>
      <c r="B1669" s="14" t="s">
        <v>10009</v>
      </c>
      <c r="C1669" s="15" t="s">
        <v>10010</v>
      </c>
      <c r="D1669" s="15" t="s">
        <v>10009</v>
      </c>
      <c r="E1669" s="15" t="s">
        <v>10009</v>
      </c>
      <c r="F1669" s="15" t="s">
        <v>10009</v>
      </c>
      <c r="G1669" s="15" t="s">
        <v>10009</v>
      </c>
      <c r="H1669" s="16" t="s">
        <v>10009</v>
      </c>
    </row>
    <row r="1670" spans="1:8" ht="33.75" x14ac:dyDescent="0.3">
      <c r="A1670" s="13">
        <v>23341</v>
      </c>
      <c r="B1670" s="14" t="s">
        <v>10011</v>
      </c>
      <c r="C1670" s="15" t="s">
        <v>10012</v>
      </c>
      <c r="D1670" s="15" t="s">
        <v>10013</v>
      </c>
      <c r="E1670" s="15" t="s">
        <v>10011</v>
      </c>
      <c r="F1670" s="15" t="s">
        <v>10011</v>
      </c>
      <c r="G1670" s="15" t="s">
        <v>10011</v>
      </c>
      <c r="H1670" s="16" t="s">
        <v>10011</v>
      </c>
    </row>
    <row r="1671" spans="1:8" ht="33.75" x14ac:dyDescent="0.3">
      <c r="A1671" s="13">
        <v>23342</v>
      </c>
      <c r="B1671" s="14" t="s">
        <v>10014</v>
      </c>
      <c r="C1671" s="15" t="s">
        <v>10015</v>
      </c>
      <c r="D1671" s="15" t="s">
        <v>10016</v>
      </c>
      <c r="E1671" s="15" t="s">
        <v>10017</v>
      </c>
      <c r="F1671" s="15" t="s">
        <v>10018</v>
      </c>
      <c r="G1671" s="15" t="s">
        <v>10017</v>
      </c>
      <c r="H1671" s="16" t="s">
        <v>10017</v>
      </c>
    </row>
    <row r="1672" spans="1:8" ht="33.75" x14ac:dyDescent="0.3">
      <c r="A1672" s="13">
        <v>23343</v>
      </c>
      <c r="B1672" s="14" t="s">
        <v>10019</v>
      </c>
      <c r="C1672" s="15" t="s">
        <v>10020</v>
      </c>
      <c r="D1672" s="15" t="s">
        <v>10021</v>
      </c>
      <c r="E1672" s="15" t="s">
        <v>10022</v>
      </c>
      <c r="F1672" s="15" t="s">
        <v>10023</v>
      </c>
      <c r="G1672" s="15" t="s">
        <v>10024</v>
      </c>
      <c r="H1672" s="16" t="s">
        <v>10024</v>
      </c>
    </row>
    <row r="1673" spans="1:8" x14ac:dyDescent="0.3">
      <c r="A1673" s="13">
        <v>23344</v>
      </c>
      <c r="B1673" s="14" t="s">
        <v>10025</v>
      </c>
      <c r="C1673" s="15" t="s">
        <v>10026</v>
      </c>
      <c r="D1673" s="15" t="s">
        <v>10025</v>
      </c>
      <c r="E1673" s="15" t="s">
        <v>10025</v>
      </c>
      <c r="F1673" s="15" t="s">
        <v>10025</v>
      </c>
      <c r="G1673" s="15" t="s">
        <v>10025</v>
      </c>
      <c r="H1673" s="16" t="s">
        <v>10025</v>
      </c>
    </row>
    <row r="1674" spans="1:8" x14ac:dyDescent="0.3">
      <c r="A1674" s="13">
        <v>23345</v>
      </c>
      <c r="B1674" s="14" t="s">
        <v>10027</v>
      </c>
      <c r="C1674" s="15" t="s">
        <v>10028</v>
      </c>
      <c r="D1674" s="15" t="s">
        <v>10027</v>
      </c>
      <c r="E1674" s="15" t="s">
        <v>10027</v>
      </c>
      <c r="F1674" s="15" t="s">
        <v>10027</v>
      </c>
      <c r="G1674" s="15" t="s">
        <v>10027</v>
      </c>
      <c r="H1674" s="16" t="s">
        <v>10027</v>
      </c>
    </row>
    <row r="1675" spans="1:8" x14ac:dyDescent="0.3">
      <c r="A1675" s="13">
        <v>23346</v>
      </c>
      <c r="B1675" s="14" t="s">
        <v>10029</v>
      </c>
      <c r="C1675" s="15" t="s">
        <v>10030</v>
      </c>
      <c r="D1675" s="15" t="s">
        <v>10031</v>
      </c>
      <c r="E1675" s="15" t="s">
        <v>10032</v>
      </c>
      <c r="F1675" s="15" t="s">
        <v>10033</v>
      </c>
      <c r="G1675" s="15" t="s">
        <v>10029</v>
      </c>
      <c r="H1675" s="16" t="s">
        <v>10034</v>
      </c>
    </row>
    <row r="1676" spans="1:8" ht="22.5" x14ac:dyDescent="0.3">
      <c r="A1676" s="13">
        <v>23347</v>
      </c>
      <c r="B1676" s="14" t="s">
        <v>10035</v>
      </c>
      <c r="C1676" s="15" t="s">
        <v>10036</v>
      </c>
      <c r="D1676" s="15" t="s">
        <v>10037</v>
      </c>
      <c r="E1676" s="15" t="s">
        <v>10035</v>
      </c>
      <c r="F1676" s="15" t="s">
        <v>10038</v>
      </c>
      <c r="G1676" s="15" t="s">
        <v>10035</v>
      </c>
      <c r="H1676" s="16" t="s">
        <v>10035</v>
      </c>
    </row>
    <row r="1677" spans="1:8" ht="22.5" x14ac:dyDescent="0.3">
      <c r="A1677" s="13">
        <v>23348</v>
      </c>
      <c r="B1677" s="14" t="s">
        <v>10039</v>
      </c>
      <c r="C1677" s="15" t="s">
        <v>10040</v>
      </c>
      <c r="D1677" s="15"/>
      <c r="E1677" s="15" t="s">
        <v>10039</v>
      </c>
      <c r="F1677" s="15" t="s">
        <v>10041</v>
      </c>
      <c r="G1677" s="15" t="s">
        <v>10042</v>
      </c>
      <c r="H1677" s="16" t="s">
        <v>10043</v>
      </c>
    </row>
    <row r="1678" spans="1:8" ht="33.75" x14ac:dyDescent="0.3">
      <c r="A1678" s="13" t="s">
        <v>10044</v>
      </c>
      <c r="B1678" s="14" t="s">
        <v>10045</v>
      </c>
      <c r="C1678" s="15" t="s">
        <v>10046</v>
      </c>
      <c r="D1678" s="15" t="s">
        <v>10047</v>
      </c>
      <c r="E1678" s="15" t="s">
        <v>10047</v>
      </c>
      <c r="F1678" s="15" t="s">
        <v>10048</v>
      </c>
      <c r="G1678" s="15" t="s">
        <v>10047</v>
      </c>
      <c r="H1678" s="16" t="s">
        <v>10047</v>
      </c>
    </row>
    <row r="1679" spans="1:8" x14ac:dyDescent="0.3">
      <c r="A1679" s="13">
        <v>23349</v>
      </c>
      <c r="B1679" s="14" t="s">
        <v>10049</v>
      </c>
      <c r="C1679" s="15" t="s">
        <v>10050</v>
      </c>
      <c r="D1679" s="15" t="s">
        <v>10051</v>
      </c>
      <c r="E1679" s="15" t="s">
        <v>10051</v>
      </c>
      <c r="F1679" s="15" t="s">
        <v>10052</v>
      </c>
      <c r="G1679" s="15" t="s">
        <v>10051</v>
      </c>
      <c r="H1679" s="16" t="s">
        <v>10053</v>
      </c>
    </row>
    <row r="1680" spans="1:8" ht="22.5" x14ac:dyDescent="0.3">
      <c r="A1680" s="13" t="s">
        <v>10054</v>
      </c>
      <c r="B1680" s="14" t="s">
        <v>10055</v>
      </c>
      <c r="C1680" s="15" t="s">
        <v>10056</v>
      </c>
      <c r="D1680" s="15" t="s">
        <v>10057</v>
      </c>
      <c r="E1680" s="15" t="s">
        <v>10058</v>
      </c>
      <c r="F1680" s="15" t="s">
        <v>10058</v>
      </c>
      <c r="G1680" s="15" t="s">
        <v>10059</v>
      </c>
      <c r="H1680" s="16" t="s">
        <v>10059</v>
      </c>
    </row>
    <row r="1681" spans="1:8" ht="67.5" x14ac:dyDescent="0.3">
      <c r="A1681" s="13">
        <v>23350</v>
      </c>
      <c r="B1681" s="14" t="s">
        <v>10060</v>
      </c>
      <c r="C1681" s="15" t="s">
        <v>10061</v>
      </c>
      <c r="D1681" s="15" t="s">
        <v>10062</v>
      </c>
      <c r="E1681" s="15" t="s">
        <v>10063</v>
      </c>
      <c r="F1681" s="15" t="s">
        <v>10064</v>
      </c>
      <c r="G1681" s="15" t="s">
        <v>10065</v>
      </c>
      <c r="H1681" s="16" t="s">
        <v>10066</v>
      </c>
    </row>
    <row r="1682" spans="1:8" ht="67.5" x14ac:dyDescent="0.3">
      <c r="A1682" s="13">
        <v>23351</v>
      </c>
      <c r="B1682" s="14" t="s">
        <v>10067</v>
      </c>
      <c r="C1682" s="15" t="s">
        <v>10068</v>
      </c>
      <c r="D1682" s="15" t="s">
        <v>10069</v>
      </c>
      <c r="E1682" s="15" t="s">
        <v>10070</v>
      </c>
      <c r="F1682" s="15" t="s">
        <v>10071</v>
      </c>
      <c r="G1682" s="15" t="s">
        <v>10072</v>
      </c>
      <c r="H1682" s="16" t="s">
        <v>10073</v>
      </c>
    </row>
    <row r="1683" spans="1:8" ht="45" x14ac:dyDescent="0.3">
      <c r="A1683" s="13">
        <v>23352</v>
      </c>
      <c r="B1683" s="14" t="s">
        <v>10074</v>
      </c>
      <c r="C1683" s="15" t="s">
        <v>10075</v>
      </c>
      <c r="D1683" s="15" t="s">
        <v>10076</v>
      </c>
      <c r="E1683" s="15" t="s">
        <v>10077</v>
      </c>
      <c r="F1683" s="15" t="s">
        <v>10078</v>
      </c>
      <c r="G1683" s="15" t="s">
        <v>10079</v>
      </c>
      <c r="H1683" s="16" t="s">
        <v>10080</v>
      </c>
    </row>
    <row r="1684" spans="1:8" ht="22.5" x14ac:dyDescent="0.3">
      <c r="A1684" s="13">
        <v>23353</v>
      </c>
      <c r="B1684" s="14" t="s">
        <v>10081</v>
      </c>
      <c r="C1684" s="15" t="s">
        <v>10082</v>
      </c>
      <c r="D1684" s="15"/>
      <c r="E1684" s="15"/>
      <c r="F1684" s="15"/>
      <c r="G1684" s="15" t="s">
        <v>10083</v>
      </c>
      <c r="H1684" s="16" t="s">
        <v>10084</v>
      </c>
    </row>
    <row r="1685" spans="1:8" ht="33.75" x14ac:dyDescent="0.3">
      <c r="A1685" s="13">
        <v>23354</v>
      </c>
      <c r="B1685" s="14" t="s">
        <v>10085</v>
      </c>
      <c r="C1685" s="15" t="s">
        <v>10086</v>
      </c>
      <c r="D1685" s="15"/>
      <c r="E1685" s="15" t="s">
        <v>10087</v>
      </c>
      <c r="F1685" s="15" t="s">
        <v>10088</v>
      </c>
      <c r="G1685" s="15" t="s">
        <v>10089</v>
      </c>
      <c r="H1685" s="16" t="s">
        <v>10090</v>
      </c>
    </row>
    <row r="1686" spans="1:8" ht="45" x14ac:dyDescent="0.3">
      <c r="A1686" s="13">
        <v>23355</v>
      </c>
      <c r="B1686" s="14" t="s">
        <v>10091</v>
      </c>
      <c r="C1686" s="15" t="s">
        <v>10092</v>
      </c>
      <c r="D1686" s="15"/>
      <c r="E1686" s="15" t="s">
        <v>10093</v>
      </c>
      <c r="F1686" s="15" t="s">
        <v>10094</v>
      </c>
      <c r="G1686" s="15" t="s">
        <v>10095</v>
      </c>
      <c r="H1686" s="16" t="s">
        <v>10096</v>
      </c>
    </row>
    <row r="1687" spans="1:8" x14ac:dyDescent="0.3">
      <c r="A1687" s="13">
        <v>23401</v>
      </c>
      <c r="B1687" s="14" t="s">
        <v>10097</v>
      </c>
      <c r="C1687" s="15"/>
      <c r="D1687" s="15"/>
      <c r="E1687" s="15" t="s">
        <v>57</v>
      </c>
      <c r="F1687" s="15" t="s">
        <v>10098</v>
      </c>
      <c r="G1687" s="15" t="s">
        <v>10099</v>
      </c>
      <c r="H1687" s="16" t="s">
        <v>10100</v>
      </c>
    </row>
    <row r="1688" spans="1:8" x14ac:dyDescent="0.3">
      <c r="A1688" s="13" t="s">
        <v>10101</v>
      </c>
      <c r="B1688" s="14" t="s">
        <v>19724</v>
      </c>
      <c r="C1688" s="15" t="s">
        <v>10102</v>
      </c>
      <c r="D1688" s="15"/>
      <c r="E1688" s="15" t="s">
        <v>10103</v>
      </c>
      <c r="F1688" s="15" t="s">
        <v>10104</v>
      </c>
      <c r="G1688" s="15" t="s">
        <v>10105</v>
      </c>
      <c r="H1688" s="16" t="s">
        <v>10106</v>
      </c>
    </row>
    <row r="1689" spans="1:8" ht="22.5" x14ac:dyDescent="0.3">
      <c r="A1689" s="13" t="s">
        <v>10107</v>
      </c>
      <c r="B1689" s="14" t="s">
        <v>19725</v>
      </c>
      <c r="C1689" s="15" t="s">
        <v>10108</v>
      </c>
      <c r="D1689" s="15" t="s">
        <v>10109</v>
      </c>
      <c r="E1689" s="15" t="s">
        <v>10110</v>
      </c>
      <c r="F1689" s="15" t="s">
        <v>10111</v>
      </c>
      <c r="G1689" s="15" t="s">
        <v>10112</v>
      </c>
      <c r="H1689" s="16" t="s">
        <v>10113</v>
      </c>
    </row>
    <row r="1690" spans="1:8" ht="22.5" x14ac:dyDescent="0.3">
      <c r="A1690" s="13">
        <v>23402</v>
      </c>
      <c r="B1690" s="14" t="s">
        <v>10114</v>
      </c>
      <c r="C1690" s="15" t="s">
        <v>10115</v>
      </c>
      <c r="D1690" s="15"/>
      <c r="E1690" s="15" t="s">
        <v>10116</v>
      </c>
      <c r="F1690" s="15" t="s">
        <v>10117</v>
      </c>
      <c r="G1690" s="15" t="s">
        <v>10118</v>
      </c>
      <c r="H1690" s="16" t="s">
        <v>10119</v>
      </c>
    </row>
    <row r="1691" spans="1:8" ht="22.5" x14ac:dyDescent="0.3">
      <c r="A1691" s="13">
        <v>23403</v>
      </c>
      <c r="B1691" s="14" t="s">
        <v>10120</v>
      </c>
      <c r="C1691" s="15" t="s">
        <v>10121</v>
      </c>
      <c r="D1691" s="15" t="s">
        <v>10122</v>
      </c>
      <c r="E1691" s="15" t="s">
        <v>10123</v>
      </c>
      <c r="F1691" s="15" t="s">
        <v>10124</v>
      </c>
      <c r="G1691" s="15" t="s">
        <v>10125</v>
      </c>
      <c r="H1691" s="16" t="s">
        <v>10126</v>
      </c>
    </row>
    <row r="1692" spans="1:8" ht="22.5" x14ac:dyDescent="0.3">
      <c r="A1692" s="13">
        <v>23404</v>
      </c>
      <c r="B1692" s="14" t="s">
        <v>10127</v>
      </c>
      <c r="C1692" s="15" t="s">
        <v>10128</v>
      </c>
      <c r="D1692" s="15" t="s">
        <v>10127</v>
      </c>
      <c r="E1692" s="15" t="s">
        <v>10129</v>
      </c>
      <c r="F1692" s="15" t="s">
        <v>10130</v>
      </c>
      <c r="G1692" s="15" t="s">
        <v>10131</v>
      </c>
      <c r="H1692" s="16" t="s">
        <v>10127</v>
      </c>
    </row>
    <row r="1693" spans="1:8" ht="22.5" x14ac:dyDescent="0.3">
      <c r="A1693" s="13">
        <v>23405</v>
      </c>
      <c r="B1693" s="14" t="s">
        <v>10132</v>
      </c>
      <c r="C1693" s="15" t="s">
        <v>10133</v>
      </c>
      <c r="D1693" s="15" t="s">
        <v>10134</v>
      </c>
      <c r="E1693" s="15" t="s">
        <v>10135</v>
      </c>
      <c r="F1693" s="15" t="s">
        <v>10134</v>
      </c>
      <c r="G1693" s="15" t="s">
        <v>10134</v>
      </c>
      <c r="H1693" s="16" t="s">
        <v>10134</v>
      </c>
    </row>
    <row r="1694" spans="1:8" ht="22.5" x14ac:dyDescent="0.3">
      <c r="A1694" s="13">
        <v>23406</v>
      </c>
      <c r="B1694" s="14" t="s">
        <v>10136</v>
      </c>
      <c r="C1694" s="15" t="s">
        <v>10137</v>
      </c>
      <c r="D1694" s="15" t="s">
        <v>10138</v>
      </c>
      <c r="E1694" s="15" t="s">
        <v>10139</v>
      </c>
      <c r="F1694" s="15" t="s">
        <v>10140</v>
      </c>
      <c r="G1694" s="15" t="s">
        <v>10141</v>
      </c>
      <c r="H1694" s="16" t="s">
        <v>10142</v>
      </c>
    </row>
    <row r="1695" spans="1:8" ht="45" x14ac:dyDescent="0.3">
      <c r="A1695" s="13">
        <v>23407</v>
      </c>
      <c r="B1695" s="14" t="s">
        <v>10143</v>
      </c>
      <c r="C1695" s="15" t="s">
        <v>10144</v>
      </c>
      <c r="D1695" s="15" t="s">
        <v>10145</v>
      </c>
      <c r="E1695" s="15" t="s">
        <v>10146</v>
      </c>
      <c r="F1695" s="15" t="s">
        <v>10143</v>
      </c>
      <c r="G1695" s="15" t="s">
        <v>10143</v>
      </c>
      <c r="H1695" s="16" t="s">
        <v>10143</v>
      </c>
    </row>
    <row r="1696" spans="1:8" x14ac:dyDescent="0.3">
      <c r="A1696" s="13">
        <v>23408</v>
      </c>
      <c r="B1696" s="14" t="s">
        <v>10147</v>
      </c>
      <c r="C1696" s="15" t="s">
        <v>10148</v>
      </c>
      <c r="D1696" s="15" t="s">
        <v>10149</v>
      </c>
      <c r="E1696" s="15" t="s">
        <v>10147</v>
      </c>
      <c r="F1696" s="15" t="s">
        <v>10147</v>
      </c>
      <c r="G1696" s="15" t="s">
        <v>10147</v>
      </c>
      <c r="H1696" s="16" t="s">
        <v>10150</v>
      </c>
    </row>
    <row r="1697" spans="1:8" ht="22.5" x14ac:dyDescent="0.3">
      <c r="A1697" s="13">
        <v>23409</v>
      </c>
      <c r="B1697" s="14" t="s">
        <v>10151</v>
      </c>
      <c r="C1697" s="15" t="s">
        <v>10152</v>
      </c>
      <c r="D1697" s="15" t="s">
        <v>10153</v>
      </c>
      <c r="E1697" s="15" t="s">
        <v>10154</v>
      </c>
      <c r="F1697" s="15" t="s">
        <v>10155</v>
      </c>
      <c r="G1697" s="15" t="s">
        <v>10156</v>
      </c>
      <c r="H1697" s="16" t="s">
        <v>10155</v>
      </c>
    </row>
    <row r="1698" spans="1:8" ht="67.5" x14ac:dyDescent="0.3">
      <c r="A1698" s="13">
        <v>23410</v>
      </c>
      <c r="B1698" s="14" t="s">
        <v>10157</v>
      </c>
      <c r="C1698" s="15" t="s">
        <v>10158</v>
      </c>
      <c r="D1698" s="15" t="s">
        <v>10159</v>
      </c>
      <c r="E1698" s="15" t="s">
        <v>10159</v>
      </c>
      <c r="F1698" s="15" t="s">
        <v>57</v>
      </c>
      <c r="G1698" s="15" t="s">
        <v>10159</v>
      </c>
      <c r="H1698" s="16" t="s">
        <v>10160</v>
      </c>
    </row>
    <row r="1699" spans="1:8" ht="22.5" x14ac:dyDescent="0.3">
      <c r="A1699" s="13">
        <v>23411</v>
      </c>
      <c r="B1699" s="14" t="s">
        <v>10161</v>
      </c>
      <c r="C1699" s="15" t="s">
        <v>2536</v>
      </c>
      <c r="D1699" s="15" t="s">
        <v>10162</v>
      </c>
      <c r="E1699" s="15" t="s">
        <v>10163</v>
      </c>
      <c r="F1699" s="15" t="s">
        <v>10161</v>
      </c>
      <c r="G1699" s="15" t="s">
        <v>10161</v>
      </c>
      <c r="H1699" s="16" t="s">
        <v>10164</v>
      </c>
    </row>
    <row r="1700" spans="1:8" ht="33.75" x14ac:dyDescent="0.3">
      <c r="A1700" s="13">
        <v>23412</v>
      </c>
      <c r="B1700" s="14" t="s">
        <v>10165</v>
      </c>
      <c r="C1700" s="15" t="s">
        <v>10166</v>
      </c>
      <c r="D1700" s="15" t="s">
        <v>10167</v>
      </c>
      <c r="E1700" s="15" t="s">
        <v>10168</v>
      </c>
      <c r="F1700" s="15" t="s">
        <v>10169</v>
      </c>
      <c r="G1700" s="15" t="s">
        <v>10170</v>
      </c>
      <c r="H1700" s="16" t="s">
        <v>10171</v>
      </c>
    </row>
    <row r="1701" spans="1:8" ht="22.5" x14ac:dyDescent="0.3">
      <c r="A1701" s="13">
        <v>23413</v>
      </c>
      <c r="B1701" s="14" t="s">
        <v>10172</v>
      </c>
      <c r="C1701" s="15" t="s">
        <v>10173</v>
      </c>
      <c r="D1701" s="15"/>
      <c r="E1701" s="15" t="s">
        <v>10174</v>
      </c>
      <c r="F1701" s="15" t="s">
        <v>10175</v>
      </c>
      <c r="G1701" s="15" t="s">
        <v>10176</v>
      </c>
      <c r="H1701" s="16" t="s">
        <v>10177</v>
      </c>
    </row>
    <row r="1702" spans="1:8" ht="56.25" x14ac:dyDescent="0.3">
      <c r="A1702" s="13">
        <v>23414</v>
      </c>
      <c r="B1702" s="14" t="s">
        <v>10178</v>
      </c>
      <c r="C1702" s="15" t="s">
        <v>10179</v>
      </c>
      <c r="D1702" s="15" t="s">
        <v>10180</v>
      </c>
      <c r="E1702" s="15" t="s">
        <v>10181</v>
      </c>
      <c r="F1702" s="15" t="s">
        <v>10182</v>
      </c>
      <c r="G1702" s="15" t="s">
        <v>10183</v>
      </c>
      <c r="H1702" s="16" t="s">
        <v>10184</v>
      </c>
    </row>
    <row r="1703" spans="1:8" x14ac:dyDescent="0.3">
      <c r="A1703" s="13">
        <v>23415</v>
      </c>
      <c r="B1703" s="14" t="s">
        <v>10185</v>
      </c>
      <c r="C1703" s="15" t="s">
        <v>10186</v>
      </c>
      <c r="D1703" s="15" t="s">
        <v>10187</v>
      </c>
      <c r="E1703" s="15" t="s">
        <v>10187</v>
      </c>
      <c r="F1703" s="15" t="s">
        <v>10188</v>
      </c>
      <c r="G1703" s="15" t="s">
        <v>10189</v>
      </c>
      <c r="H1703" s="16" t="s">
        <v>10187</v>
      </c>
    </row>
    <row r="1704" spans="1:8" x14ac:dyDescent="0.3">
      <c r="A1704" s="13">
        <v>23416</v>
      </c>
      <c r="B1704" s="14" t="s">
        <v>10190</v>
      </c>
      <c r="C1704" s="15" t="s">
        <v>10191</v>
      </c>
      <c r="D1704" s="15" t="s">
        <v>10190</v>
      </c>
      <c r="E1704" s="15" t="s">
        <v>10192</v>
      </c>
      <c r="F1704" s="15" t="s">
        <v>10193</v>
      </c>
      <c r="G1704" s="15" t="s">
        <v>10194</v>
      </c>
      <c r="H1704" s="16" t="s">
        <v>10190</v>
      </c>
    </row>
    <row r="1705" spans="1:8" ht="33.75" x14ac:dyDescent="0.3">
      <c r="A1705" s="13">
        <v>23417</v>
      </c>
      <c r="B1705" s="14" t="s">
        <v>10195</v>
      </c>
      <c r="C1705" s="15" t="s">
        <v>10196</v>
      </c>
      <c r="D1705" s="15" t="s">
        <v>10197</v>
      </c>
      <c r="E1705" s="15" t="s">
        <v>10198</v>
      </c>
      <c r="F1705" s="15" t="s">
        <v>10199</v>
      </c>
      <c r="G1705" s="15" t="s">
        <v>10200</v>
      </c>
      <c r="H1705" s="16" t="s">
        <v>10201</v>
      </c>
    </row>
    <row r="1706" spans="1:8" ht="56.25" x14ac:dyDescent="0.3">
      <c r="A1706" s="13">
        <v>23418</v>
      </c>
      <c r="B1706" s="14" t="s">
        <v>10202</v>
      </c>
      <c r="C1706" s="15" t="s">
        <v>10203</v>
      </c>
      <c r="D1706" s="15" t="s">
        <v>10204</v>
      </c>
      <c r="E1706" s="15" t="s">
        <v>10205</v>
      </c>
      <c r="F1706" s="15" t="s">
        <v>10206</v>
      </c>
      <c r="G1706" s="15" t="s">
        <v>10207</v>
      </c>
      <c r="H1706" s="16" t="s">
        <v>10208</v>
      </c>
    </row>
    <row r="1707" spans="1:8" ht="45" x14ac:dyDescent="0.3">
      <c r="A1707" s="13">
        <v>23419</v>
      </c>
      <c r="B1707" s="14" t="s">
        <v>10209</v>
      </c>
      <c r="C1707" s="15" t="s">
        <v>10210</v>
      </c>
      <c r="D1707" s="15" t="s">
        <v>10211</v>
      </c>
      <c r="E1707" s="15" t="s">
        <v>10212</v>
      </c>
      <c r="F1707" s="15" t="s">
        <v>10213</v>
      </c>
      <c r="G1707" s="15" t="s">
        <v>10214</v>
      </c>
      <c r="H1707" s="16" t="s">
        <v>10215</v>
      </c>
    </row>
    <row r="1708" spans="1:8" ht="22.5" x14ac:dyDescent="0.3">
      <c r="A1708" s="13">
        <v>23420</v>
      </c>
      <c r="B1708" s="14" t="s">
        <v>10216</v>
      </c>
      <c r="C1708" s="15" t="s">
        <v>10217</v>
      </c>
      <c r="D1708" s="15" t="s">
        <v>10218</v>
      </c>
      <c r="E1708" s="15" t="s">
        <v>10219</v>
      </c>
      <c r="F1708" s="15" t="s">
        <v>10220</v>
      </c>
      <c r="G1708" s="15" t="s">
        <v>10221</v>
      </c>
      <c r="H1708" s="16" t="s">
        <v>10222</v>
      </c>
    </row>
    <row r="1709" spans="1:8" ht="22.5" x14ac:dyDescent="0.3">
      <c r="A1709" s="13">
        <v>23421</v>
      </c>
      <c r="B1709" s="14" t="s">
        <v>10223</v>
      </c>
      <c r="C1709" s="15" t="s">
        <v>10224</v>
      </c>
      <c r="D1709" s="15" t="s">
        <v>10225</v>
      </c>
      <c r="E1709" s="15" t="s">
        <v>10226</v>
      </c>
      <c r="F1709" s="15" t="s">
        <v>10227</v>
      </c>
      <c r="G1709" s="15" t="s">
        <v>10228</v>
      </c>
      <c r="H1709" s="16" t="s">
        <v>10229</v>
      </c>
    </row>
    <row r="1710" spans="1:8" ht="22.5" x14ac:dyDescent="0.3">
      <c r="A1710" s="13">
        <v>23422</v>
      </c>
      <c r="B1710" s="14" t="s">
        <v>10230</v>
      </c>
      <c r="C1710" s="15" t="s">
        <v>10231</v>
      </c>
      <c r="D1710" s="15" t="s">
        <v>10232</v>
      </c>
      <c r="E1710" s="15" t="s">
        <v>10233</v>
      </c>
      <c r="F1710" s="15" t="s">
        <v>10234</v>
      </c>
      <c r="G1710" s="15" t="s">
        <v>10235</v>
      </c>
      <c r="H1710" s="16" t="s">
        <v>10236</v>
      </c>
    </row>
    <row r="1711" spans="1:8" ht="45" x14ac:dyDescent="0.3">
      <c r="A1711" s="13">
        <v>23423</v>
      </c>
      <c r="B1711" s="14" t="s">
        <v>10237</v>
      </c>
      <c r="C1711" s="15" t="s">
        <v>10238</v>
      </c>
      <c r="D1711" s="15" t="s">
        <v>10239</v>
      </c>
      <c r="E1711" s="15" t="s">
        <v>10240</v>
      </c>
      <c r="F1711" s="15" t="s">
        <v>10241</v>
      </c>
      <c r="G1711" s="15" t="s">
        <v>10242</v>
      </c>
      <c r="H1711" s="16" t="s">
        <v>10243</v>
      </c>
    </row>
    <row r="1712" spans="1:8" ht="22.5" x14ac:dyDescent="0.3">
      <c r="A1712" s="13">
        <v>23424</v>
      </c>
      <c r="B1712" s="14" t="s">
        <v>10244</v>
      </c>
      <c r="C1712" s="15" t="s">
        <v>10245</v>
      </c>
      <c r="D1712" s="15" t="s">
        <v>10246</v>
      </c>
      <c r="E1712" s="15" t="s">
        <v>10244</v>
      </c>
      <c r="F1712" s="15" t="s">
        <v>10247</v>
      </c>
      <c r="G1712" s="15" t="s">
        <v>10248</v>
      </c>
      <c r="H1712" s="16" t="s">
        <v>10249</v>
      </c>
    </row>
    <row r="1713" spans="1:8" ht="22.5" x14ac:dyDescent="0.3">
      <c r="A1713" s="13">
        <v>23425</v>
      </c>
      <c r="B1713" s="14" t="s">
        <v>10250</v>
      </c>
      <c r="C1713" s="15" t="s">
        <v>10251</v>
      </c>
      <c r="D1713" s="15" t="s">
        <v>10252</v>
      </c>
      <c r="E1713" s="15" t="s">
        <v>10253</v>
      </c>
      <c r="F1713" s="15" t="s">
        <v>10254</v>
      </c>
      <c r="G1713" s="15" t="s">
        <v>10255</v>
      </c>
      <c r="H1713" s="16" t="s">
        <v>10256</v>
      </c>
    </row>
    <row r="1714" spans="1:8" ht="22.5" x14ac:dyDescent="0.3">
      <c r="A1714" s="13">
        <v>23426</v>
      </c>
      <c r="B1714" s="14" t="s">
        <v>10257</v>
      </c>
      <c r="C1714" s="15" t="s">
        <v>10258</v>
      </c>
      <c r="D1714" s="15" t="s">
        <v>10259</v>
      </c>
      <c r="E1714" s="15" t="s">
        <v>10260</v>
      </c>
      <c r="F1714" s="15" t="s">
        <v>10261</v>
      </c>
      <c r="G1714" s="15" t="s">
        <v>10262</v>
      </c>
      <c r="H1714" s="16" t="s">
        <v>10263</v>
      </c>
    </row>
    <row r="1715" spans="1:8" ht="22.5" x14ac:dyDescent="0.3">
      <c r="A1715" s="13">
        <v>23427</v>
      </c>
      <c r="B1715" s="14" t="s">
        <v>10264</v>
      </c>
      <c r="C1715" s="15" t="s">
        <v>10265</v>
      </c>
      <c r="D1715" s="15" t="s">
        <v>10266</v>
      </c>
      <c r="E1715" s="15" t="s">
        <v>10267</v>
      </c>
      <c r="F1715" s="15" t="s">
        <v>10268</v>
      </c>
      <c r="G1715" s="15" t="s">
        <v>10269</v>
      </c>
      <c r="H1715" s="16" t="s">
        <v>10270</v>
      </c>
    </row>
    <row r="1716" spans="1:8" x14ac:dyDescent="0.3">
      <c r="A1716" s="13">
        <v>23428</v>
      </c>
      <c r="B1716" s="14" t="s">
        <v>10271</v>
      </c>
      <c r="C1716" s="15" t="s">
        <v>10272</v>
      </c>
      <c r="D1716" s="15" t="s">
        <v>10273</v>
      </c>
      <c r="E1716" s="15" t="s">
        <v>10274</v>
      </c>
      <c r="F1716" s="15" t="s">
        <v>10274</v>
      </c>
      <c r="G1716" s="15" t="s">
        <v>10275</v>
      </c>
      <c r="H1716" s="16" t="s">
        <v>10274</v>
      </c>
    </row>
    <row r="1717" spans="1:8" ht="22.5" x14ac:dyDescent="0.3">
      <c r="A1717" s="13">
        <v>23429</v>
      </c>
      <c r="B1717" s="14" t="s">
        <v>10276</v>
      </c>
      <c r="C1717" s="15" t="s">
        <v>10277</v>
      </c>
      <c r="D1717" s="15" t="s">
        <v>10278</v>
      </c>
      <c r="E1717" s="15" t="s">
        <v>10279</v>
      </c>
      <c r="F1717" s="15" t="s">
        <v>10279</v>
      </c>
      <c r="G1717" s="15" t="s">
        <v>10280</v>
      </c>
      <c r="H1717" s="16" t="s">
        <v>10279</v>
      </c>
    </row>
    <row r="1718" spans="1:8" ht="45" x14ac:dyDescent="0.3">
      <c r="A1718" s="13">
        <v>23430</v>
      </c>
      <c r="B1718" s="14" t="s">
        <v>10281</v>
      </c>
      <c r="C1718" s="15" t="s">
        <v>10282</v>
      </c>
      <c r="D1718" s="15" t="s">
        <v>10283</v>
      </c>
      <c r="E1718" s="15" t="s">
        <v>10284</v>
      </c>
      <c r="F1718" s="15" t="s">
        <v>10285</v>
      </c>
      <c r="G1718" s="15" t="s">
        <v>10286</v>
      </c>
      <c r="H1718" s="16" t="s">
        <v>10287</v>
      </c>
    </row>
    <row r="1719" spans="1:8" ht="33.75" x14ac:dyDescent="0.3">
      <c r="A1719" s="13">
        <v>23431</v>
      </c>
      <c r="B1719" s="14" t="s">
        <v>10288</v>
      </c>
      <c r="C1719" s="15" t="s">
        <v>10289</v>
      </c>
      <c r="D1719" s="15" t="s">
        <v>10290</v>
      </c>
      <c r="E1719" s="15" t="s">
        <v>10291</v>
      </c>
      <c r="F1719" s="15" t="s">
        <v>3783</v>
      </c>
      <c r="G1719" s="15" t="s">
        <v>10292</v>
      </c>
      <c r="H1719" s="16" t="s">
        <v>10293</v>
      </c>
    </row>
    <row r="1720" spans="1:8" ht="33.75" x14ac:dyDescent="0.3">
      <c r="A1720" s="13" t="s">
        <v>10294</v>
      </c>
      <c r="B1720" s="14" t="s">
        <v>19729</v>
      </c>
      <c r="C1720" s="15" t="s">
        <v>10295</v>
      </c>
      <c r="D1720" s="15" t="s">
        <v>10296</v>
      </c>
      <c r="E1720" s="15" t="s">
        <v>10297</v>
      </c>
      <c r="F1720" s="15" t="s">
        <v>10298</v>
      </c>
      <c r="G1720" s="15" t="s">
        <v>10299</v>
      </c>
      <c r="H1720" s="16" t="s">
        <v>10300</v>
      </c>
    </row>
    <row r="1721" spans="1:8" ht="33.75" x14ac:dyDescent="0.3">
      <c r="A1721" s="13">
        <v>23432</v>
      </c>
      <c r="B1721" s="14" t="s">
        <v>10301</v>
      </c>
      <c r="C1721" s="15" t="s">
        <v>10302</v>
      </c>
      <c r="D1721" s="15" t="s">
        <v>10303</v>
      </c>
      <c r="E1721" s="15" t="s">
        <v>10304</v>
      </c>
      <c r="F1721" s="15" t="s">
        <v>10305</v>
      </c>
      <c r="G1721" s="15" t="s">
        <v>10306</v>
      </c>
      <c r="H1721" s="16" t="s">
        <v>10307</v>
      </c>
    </row>
    <row r="1722" spans="1:8" ht="33.75" x14ac:dyDescent="0.3">
      <c r="A1722" s="13">
        <v>23433</v>
      </c>
      <c r="B1722" s="14" t="s">
        <v>10308</v>
      </c>
      <c r="C1722" s="15" t="s">
        <v>10309</v>
      </c>
      <c r="D1722" s="15"/>
      <c r="E1722" s="15" t="s">
        <v>10310</v>
      </c>
      <c r="F1722" s="15" t="s">
        <v>10311</v>
      </c>
      <c r="G1722" s="15" t="s">
        <v>10312</v>
      </c>
      <c r="H1722" s="16" t="s">
        <v>10313</v>
      </c>
    </row>
    <row r="1723" spans="1:8" ht="22.5" x14ac:dyDescent="0.3">
      <c r="A1723" s="13">
        <v>23434</v>
      </c>
      <c r="B1723" s="14" t="s">
        <v>10314</v>
      </c>
      <c r="C1723" s="15" t="s">
        <v>10315</v>
      </c>
      <c r="D1723" s="15" t="s">
        <v>10316</v>
      </c>
      <c r="E1723" s="15" t="s">
        <v>10317</v>
      </c>
      <c r="F1723" s="15" t="s">
        <v>10318</v>
      </c>
      <c r="G1723" s="15" t="s">
        <v>10319</v>
      </c>
      <c r="H1723" s="16" t="s">
        <v>10314</v>
      </c>
    </row>
    <row r="1724" spans="1:8" x14ac:dyDescent="0.3">
      <c r="A1724" s="13">
        <v>23435</v>
      </c>
      <c r="B1724" s="14" t="s">
        <v>10320</v>
      </c>
      <c r="C1724" s="15" t="s">
        <v>10321</v>
      </c>
      <c r="D1724" s="15" t="s">
        <v>10322</v>
      </c>
      <c r="E1724" s="15" t="s">
        <v>10323</v>
      </c>
      <c r="F1724" s="15" t="s">
        <v>10324</v>
      </c>
      <c r="G1724" s="15" t="s">
        <v>10325</v>
      </c>
      <c r="H1724" s="16" t="s">
        <v>10323</v>
      </c>
    </row>
    <row r="1725" spans="1:8" ht="22.5" x14ac:dyDescent="0.3">
      <c r="A1725" s="13">
        <v>23436</v>
      </c>
      <c r="B1725" s="14" t="s">
        <v>10326</v>
      </c>
      <c r="C1725" s="15" t="s">
        <v>10327</v>
      </c>
      <c r="D1725" s="15"/>
      <c r="E1725" s="15" t="s">
        <v>10328</v>
      </c>
      <c r="F1725" s="15" t="s">
        <v>10329</v>
      </c>
      <c r="G1725" s="15" t="s">
        <v>10330</v>
      </c>
      <c r="H1725" s="16" t="s">
        <v>10331</v>
      </c>
    </row>
    <row r="1726" spans="1:8" ht="45" x14ac:dyDescent="0.3">
      <c r="A1726" s="13" t="s">
        <v>10332</v>
      </c>
      <c r="B1726" s="14" t="s">
        <v>19726</v>
      </c>
      <c r="C1726" s="15" t="s">
        <v>10333</v>
      </c>
      <c r="D1726" s="15" t="s">
        <v>10334</v>
      </c>
      <c r="E1726" s="15" t="s">
        <v>10335</v>
      </c>
      <c r="F1726" s="15" t="s">
        <v>10336</v>
      </c>
      <c r="G1726" s="15" t="s">
        <v>10337</v>
      </c>
      <c r="H1726" s="16" t="s">
        <v>10338</v>
      </c>
    </row>
    <row r="1727" spans="1:8" ht="33.75" x14ac:dyDescent="0.3">
      <c r="A1727" s="13">
        <v>23437</v>
      </c>
      <c r="B1727" s="14" t="s">
        <v>10339</v>
      </c>
      <c r="C1727" s="15" t="s">
        <v>10340</v>
      </c>
      <c r="D1727" s="15" t="s">
        <v>10341</v>
      </c>
      <c r="E1727" s="15" t="s">
        <v>10342</v>
      </c>
      <c r="F1727" s="15" t="s">
        <v>10343</v>
      </c>
      <c r="G1727" s="15" t="s">
        <v>10344</v>
      </c>
      <c r="H1727" s="16" t="s">
        <v>10345</v>
      </c>
    </row>
    <row r="1728" spans="1:8" ht="22.5" x14ac:dyDescent="0.3">
      <c r="A1728" s="13">
        <v>23438</v>
      </c>
      <c r="B1728" s="14" t="s">
        <v>10346</v>
      </c>
      <c r="C1728" s="15" t="s">
        <v>10347</v>
      </c>
      <c r="D1728" s="15" t="s">
        <v>10348</v>
      </c>
      <c r="E1728" s="15" t="s">
        <v>10349</v>
      </c>
      <c r="F1728" s="15" t="s">
        <v>10350</v>
      </c>
      <c r="G1728" s="15" t="s">
        <v>10351</v>
      </c>
      <c r="H1728" s="16" t="s">
        <v>10352</v>
      </c>
    </row>
    <row r="1729" spans="1:8" ht="22.5" x14ac:dyDescent="0.3">
      <c r="A1729" s="13">
        <v>23439</v>
      </c>
      <c r="B1729" s="14" t="s">
        <v>10353</v>
      </c>
      <c r="C1729" s="15" t="s">
        <v>10354</v>
      </c>
      <c r="D1729" s="15"/>
      <c r="E1729" s="15" t="s">
        <v>10355</v>
      </c>
      <c r="F1729" s="15" t="s">
        <v>10356</v>
      </c>
      <c r="G1729" s="15" t="s">
        <v>10357</v>
      </c>
      <c r="H1729" s="16" t="s">
        <v>10358</v>
      </c>
    </row>
    <row r="1730" spans="1:8" ht="33.75" x14ac:dyDescent="0.3">
      <c r="A1730" s="13">
        <v>23440</v>
      </c>
      <c r="B1730" s="14" t="s">
        <v>10359</v>
      </c>
      <c r="C1730" s="15" t="s">
        <v>10360</v>
      </c>
      <c r="D1730" s="15"/>
      <c r="E1730" s="15" t="s">
        <v>10361</v>
      </c>
      <c r="F1730" s="15" t="s">
        <v>10362</v>
      </c>
      <c r="G1730" s="15" t="s">
        <v>10363</v>
      </c>
      <c r="H1730" s="16" t="s">
        <v>10364</v>
      </c>
    </row>
    <row r="1731" spans="1:8" ht="45.75" thickBot="1" x14ac:dyDescent="0.35">
      <c r="A1731" s="17">
        <v>23441</v>
      </c>
      <c r="B1731" s="18" t="s">
        <v>10365</v>
      </c>
      <c r="C1731" s="19" t="s">
        <v>10366</v>
      </c>
      <c r="D1731" s="19" t="s">
        <v>10367</v>
      </c>
      <c r="E1731" s="19" t="s">
        <v>10365</v>
      </c>
      <c r="F1731" s="19" t="s">
        <v>10368</v>
      </c>
      <c r="G1731" s="19" t="s">
        <v>57</v>
      </c>
      <c r="H1731" s="20" t="s">
        <v>10369</v>
      </c>
    </row>
  </sheetData>
  <mergeCells count="2">
    <mergeCell ref="A2:H2"/>
    <mergeCell ref="A1:H1"/>
  </mergeCells>
  <phoneticPr fontId="18" type="noConversion"/>
  <printOptions horizontalCentered="1"/>
  <pageMargins left="1.1811023622047243" right="1.1811023622047243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1"/>
  <sheetViews>
    <sheetView workbookViewId="0">
      <selection activeCell="A2" sqref="A2:H2"/>
    </sheetView>
  </sheetViews>
  <sheetFormatPr defaultRowHeight="11.25" x14ac:dyDescent="0.3"/>
  <cols>
    <col min="1" max="1" width="7.625" style="6" customWidth="1"/>
    <col min="2" max="2" width="10.625" style="7" customWidth="1"/>
    <col min="3" max="8" width="14.625" style="6" customWidth="1"/>
    <col min="9" max="16384" width="9" style="6"/>
  </cols>
  <sheetData>
    <row r="1" spans="1:8" ht="17.25" thickBot="1" x14ac:dyDescent="0.35">
      <c r="A1" s="26" t="s">
        <v>19736</v>
      </c>
      <c r="B1" s="26"/>
      <c r="C1" s="26"/>
      <c r="D1" s="26"/>
      <c r="E1" s="26"/>
      <c r="F1" s="26"/>
      <c r="G1" s="26"/>
      <c r="H1" s="26"/>
    </row>
    <row r="2" spans="1:8" s="7" customFormat="1" ht="12" thickBot="1" x14ac:dyDescent="0.35">
      <c r="A2" s="27" t="s">
        <v>0</v>
      </c>
      <c r="B2" s="28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30" t="s">
        <v>7</v>
      </c>
    </row>
    <row r="3" spans="1:8" x14ac:dyDescent="0.3">
      <c r="A3" s="9">
        <v>31001</v>
      </c>
      <c r="B3" s="10" t="s">
        <v>10370</v>
      </c>
      <c r="C3" s="11" t="s">
        <v>10371</v>
      </c>
      <c r="D3" s="11"/>
      <c r="E3" s="11"/>
      <c r="F3" s="11"/>
      <c r="G3" s="11"/>
      <c r="H3" s="12"/>
    </row>
    <row r="4" spans="1:8" ht="45" x14ac:dyDescent="0.3">
      <c r="A4" s="13" t="s">
        <v>10372</v>
      </c>
      <c r="B4" s="14" t="s">
        <v>19714</v>
      </c>
      <c r="C4" s="15" t="s">
        <v>10373</v>
      </c>
      <c r="D4" s="15" t="s">
        <v>10374</v>
      </c>
      <c r="E4" s="15" t="s">
        <v>10375</v>
      </c>
      <c r="F4" s="15" t="s">
        <v>10376</v>
      </c>
      <c r="G4" s="15" t="s">
        <v>10377</v>
      </c>
      <c r="H4" s="16" t="s">
        <v>10378</v>
      </c>
    </row>
    <row r="5" spans="1:8" ht="45" x14ac:dyDescent="0.3">
      <c r="A5" s="13" t="s">
        <v>10379</v>
      </c>
      <c r="B5" s="14" t="s">
        <v>19715</v>
      </c>
      <c r="C5" s="15" t="s">
        <v>10380</v>
      </c>
      <c r="D5" s="15" t="s">
        <v>10381</v>
      </c>
      <c r="E5" s="15" t="s">
        <v>10382</v>
      </c>
      <c r="F5" s="15" t="s">
        <v>10383</v>
      </c>
      <c r="G5" s="15" t="s">
        <v>10384</v>
      </c>
      <c r="H5" s="16" t="s">
        <v>10385</v>
      </c>
    </row>
    <row r="6" spans="1:8" x14ac:dyDescent="0.3">
      <c r="A6" s="13">
        <v>31002</v>
      </c>
      <c r="B6" s="14" t="s">
        <v>10386</v>
      </c>
      <c r="C6" s="15" t="s">
        <v>10387</v>
      </c>
      <c r="D6" s="15"/>
      <c r="E6" s="15"/>
      <c r="F6" s="15"/>
      <c r="G6" s="15"/>
      <c r="H6" s="16"/>
    </row>
    <row r="7" spans="1:8" ht="45" x14ac:dyDescent="0.3">
      <c r="A7" s="13" t="s">
        <v>10388</v>
      </c>
      <c r="B7" s="14" t="s">
        <v>19714</v>
      </c>
      <c r="C7" s="15" t="s">
        <v>10389</v>
      </c>
      <c r="D7" s="15" t="s">
        <v>10387</v>
      </c>
      <c r="E7" s="15" t="s">
        <v>10390</v>
      </c>
      <c r="F7" s="15" t="s">
        <v>10391</v>
      </c>
      <c r="G7" s="15" t="s">
        <v>10392</v>
      </c>
      <c r="H7" s="16" t="s">
        <v>10393</v>
      </c>
    </row>
    <row r="8" spans="1:8" ht="45" x14ac:dyDescent="0.3">
      <c r="A8" s="13" t="s">
        <v>10394</v>
      </c>
      <c r="B8" s="14" t="s">
        <v>19715</v>
      </c>
      <c r="C8" s="15" t="s">
        <v>10395</v>
      </c>
      <c r="D8" s="15" t="s">
        <v>10396</v>
      </c>
      <c r="E8" s="15" t="s">
        <v>10397</v>
      </c>
      <c r="F8" s="15" t="s">
        <v>10398</v>
      </c>
      <c r="G8" s="15" t="s">
        <v>10399</v>
      </c>
      <c r="H8" s="16" t="s">
        <v>10400</v>
      </c>
    </row>
    <row r="9" spans="1:8" x14ac:dyDescent="0.3">
      <c r="A9" s="13">
        <v>31003</v>
      </c>
      <c r="B9" s="14" t="s">
        <v>10401</v>
      </c>
      <c r="C9" s="15" t="s">
        <v>10402</v>
      </c>
      <c r="D9" s="15"/>
      <c r="E9" s="15"/>
      <c r="F9" s="15"/>
      <c r="G9" s="15"/>
      <c r="H9" s="16"/>
    </row>
    <row r="10" spans="1:8" ht="45" x14ac:dyDescent="0.3">
      <c r="A10" s="13" t="s">
        <v>10403</v>
      </c>
      <c r="B10" s="14" t="s">
        <v>19714</v>
      </c>
      <c r="C10" s="15" t="s">
        <v>10404</v>
      </c>
      <c r="D10" s="15" t="s">
        <v>10405</v>
      </c>
      <c r="E10" s="15" t="s">
        <v>10406</v>
      </c>
      <c r="F10" s="15" t="s">
        <v>10407</v>
      </c>
      <c r="G10" s="15" t="s">
        <v>10408</v>
      </c>
      <c r="H10" s="16" t="s">
        <v>10409</v>
      </c>
    </row>
    <row r="11" spans="1:8" ht="22.5" x14ac:dyDescent="0.3">
      <c r="A11" s="13" t="s">
        <v>10410</v>
      </c>
      <c r="B11" s="14" t="s">
        <v>19715</v>
      </c>
      <c r="C11" s="15" t="s">
        <v>10411</v>
      </c>
      <c r="D11" s="15"/>
      <c r="E11" s="15"/>
      <c r="F11" s="15" t="s">
        <v>10412</v>
      </c>
      <c r="G11" s="15" t="s">
        <v>10413</v>
      </c>
      <c r="H11" s="16" t="s">
        <v>10414</v>
      </c>
    </row>
    <row r="12" spans="1:8" x14ac:dyDescent="0.3">
      <c r="A12" s="13">
        <v>31004</v>
      </c>
      <c r="B12" s="14" t="s">
        <v>10415</v>
      </c>
      <c r="C12" s="15" t="s">
        <v>10416</v>
      </c>
      <c r="D12" s="15"/>
      <c r="E12" s="15"/>
      <c r="F12" s="15"/>
      <c r="G12" s="15"/>
      <c r="H12" s="16"/>
    </row>
    <row r="13" spans="1:8" ht="45" x14ac:dyDescent="0.3">
      <c r="A13" s="13" t="s">
        <v>10417</v>
      </c>
      <c r="B13" s="14" t="s">
        <v>19714</v>
      </c>
      <c r="C13" s="15" t="s">
        <v>10418</v>
      </c>
      <c r="D13" s="15" t="s">
        <v>10419</v>
      </c>
      <c r="E13" s="15" t="s">
        <v>10420</v>
      </c>
      <c r="F13" s="15" t="s">
        <v>10421</v>
      </c>
      <c r="G13" s="15" t="s">
        <v>10422</v>
      </c>
      <c r="H13" s="16" t="s">
        <v>10423</v>
      </c>
    </row>
    <row r="14" spans="1:8" x14ac:dyDescent="0.3">
      <c r="A14" s="13" t="s">
        <v>10424</v>
      </c>
      <c r="B14" s="14" t="s">
        <v>19715</v>
      </c>
      <c r="C14" s="15" t="s">
        <v>10425</v>
      </c>
      <c r="D14" s="15"/>
      <c r="E14" s="15"/>
      <c r="F14" s="15" t="s">
        <v>10426</v>
      </c>
      <c r="G14" s="15" t="s">
        <v>10427</v>
      </c>
      <c r="H14" s="16" t="s">
        <v>10428</v>
      </c>
    </row>
    <row r="15" spans="1:8" x14ac:dyDescent="0.3">
      <c r="A15" s="13">
        <v>31005</v>
      </c>
      <c r="B15" s="14" t="s">
        <v>10429</v>
      </c>
      <c r="C15" s="15" t="s">
        <v>10430</v>
      </c>
      <c r="D15" s="15"/>
      <c r="E15" s="15"/>
      <c r="F15" s="15"/>
      <c r="G15" s="15"/>
      <c r="H15" s="16"/>
    </row>
    <row r="16" spans="1:8" ht="33.75" x14ac:dyDescent="0.3">
      <c r="A16" s="13" t="s">
        <v>10431</v>
      </c>
      <c r="B16" s="14" t="s">
        <v>19714</v>
      </c>
      <c r="C16" s="15" t="s">
        <v>10432</v>
      </c>
      <c r="D16" s="15"/>
      <c r="E16" s="15" t="s">
        <v>10433</v>
      </c>
      <c r="F16" s="15" t="s">
        <v>10434</v>
      </c>
      <c r="G16" s="15" t="s">
        <v>10435</v>
      </c>
      <c r="H16" s="16" t="s">
        <v>10436</v>
      </c>
    </row>
    <row r="17" spans="1:8" ht="22.5" x14ac:dyDescent="0.3">
      <c r="A17" s="13" t="s">
        <v>10437</v>
      </c>
      <c r="B17" s="14" t="s">
        <v>19715</v>
      </c>
      <c r="C17" s="15" t="s">
        <v>10438</v>
      </c>
      <c r="D17" s="15" t="s">
        <v>10439</v>
      </c>
      <c r="E17" s="15" t="s">
        <v>10440</v>
      </c>
      <c r="F17" s="15" t="s">
        <v>10441</v>
      </c>
      <c r="G17" s="15" t="s">
        <v>10442</v>
      </c>
      <c r="H17" s="16" t="s">
        <v>10443</v>
      </c>
    </row>
    <row r="18" spans="1:8" x14ac:dyDescent="0.3">
      <c r="A18" s="13">
        <v>31006</v>
      </c>
      <c r="B18" s="14" t="s">
        <v>10444</v>
      </c>
      <c r="C18" s="15"/>
      <c r="D18" s="15"/>
      <c r="E18" s="15"/>
      <c r="F18" s="15"/>
      <c r="G18" s="15"/>
      <c r="H18" s="16"/>
    </row>
    <row r="19" spans="1:8" ht="22.5" x14ac:dyDescent="0.3">
      <c r="A19" s="13" t="s">
        <v>10445</v>
      </c>
      <c r="B19" s="14" t="s">
        <v>19714</v>
      </c>
      <c r="C19" s="15" t="s">
        <v>10446</v>
      </c>
      <c r="D19" s="15" t="s">
        <v>10447</v>
      </c>
      <c r="E19" s="15" t="s">
        <v>10448</v>
      </c>
      <c r="F19" s="15" t="s">
        <v>10449</v>
      </c>
      <c r="G19" s="15" t="s">
        <v>10450</v>
      </c>
      <c r="H19" s="16" t="s">
        <v>10451</v>
      </c>
    </row>
    <row r="20" spans="1:8" ht="22.5" x14ac:dyDescent="0.3">
      <c r="A20" s="13" t="s">
        <v>10452</v>
      </c>
      <c r="B20" s="14" t="s">
        <v>19715</v>
      </c>
      <c r="C20" s="15" t="s">
        <v>10453</v>
      </c>
      <c r="D20" s="15" t="s">
        <v>10454</v>
      </c>
      <c r="E20" s="15" t="s">
        <v>10455</v>
      </c>
      <c r="F20" s="15" t="s">
        <v>10456</v>
      </c>
      <c r="G20" s="15" t="s">
        <v>10457</v>
      </c>
      <c r="H20" s="16"/>
    </row>
    <row r="21" spans="1:8" x14ac:dyDescent="0.3">
      <c r="A21" s="13">
        <v>31007</v>
      </c>
      <c r="B21" s="14" t="s">
        <v>10458</v>
      </c>
      <c r="C21" s="15"/>
      <c r="D21" s="15"/>
      <c r="E21" s="15"/>
      <c r="F21" s="15"/>
      <c r="G21" s="15"/>
      <c r="H21" s="16"/>
    </row>
    <row r="22" spans="1:8" ht="22.5" x14ac:dyDescent="0.3">
      <c r="A22" s="13" t="s">
        <v>10459</v>
      </c>
      <c r="B22" s="14" t="s">
        <v>19714</v>
      </c>
      <c r="C22" s="15" t="s">
        <v>10460</v>
      </c>
      <c r="D22" s="15"/>
      <c r="E22" s="15" t="s">
        <v>10461</v>
      </c>
      <c r="F22" s="15" t="s">
        <v>10462</v>
      </c>
      <c r="G22" s="15" t="s">
        <v>10463</v>
      </c>
      <c r="H22" s="16" t="s">
        <v>10464</v>
      </c>
    </row>
    <row r="23" spans="1:8" x14ac:dyDescent="0.3">
      <c r="A23" s="13" t="s">
        <v>10465</v>
      </c>
      <c r="B23" s="14" t="s">
        <v>19715</v>
      </c>
      <c r="C23" s="15" t="s">
        <v>10466</v>
      </c>
      <c r="D23" s="15" t="s">
        <v>10467</v>
      </c>
      <c r="E23" s="15" t="s">
        <v>10468</v>
      </c>
      <c r="F23" s="15" t="s">
        <v>10469</v>
      </c>
      <c r="G23" s="15" t="s">
        <v>10470</v>
      </c>
      <c r="H23" s="16" t="s">
        <v>10471</v>
      </c>
    </row>
    <row r="24" spans="1:8" x14ac:dyDescent="0.3">
      <c r="A24" s="13">
        <v>31008</v>
      </c>
      <c r="B24" s="14" t="s">
        <v>10472</v>
      </c>
      <c r="C24" s="15" t="s">
        <v>10473</v>
      </c>
      <c r="D24" s="15"/>
      <c r="E24" s="15"/>
      <c r="F24" s="15"/>
      <c r="G24" s="15"/>
      <c r="H24" s="16"/>
    </row>
    <row r="25" spans="1:8" ht="22.5" x14ac:dyDescent="0.3">
      <c r="A25" s="13" t="s">
        <v>10474</v>
      </c>
      <c r="B25" s="14" t="s">
        <v>19714</v>
      </c>
      <c r="C25" s="15" t="s">
        <v>10475</v>
      </c>
      <c r="D25" s="15"/>
      <c r="E25" s="15" t="s">
        <v>10476</v>
      </c>
      <c r="F25" s="15" t="s">
        <v>10477</v>
      </c>
      <c r="G25" s="15" t="s">
        <v>10477</v>
      </c>
      <c r="H25" s="16" t="s">
        <v>10478</v>
      </c>
    </row>
    <row r="26" spans="1:8" x14ac:dyDescent="0.3">
      <c r="A26" s="13" t="s">
        <v>10479</v>
      </c>
      <c r="B26" s="14" t="s">
        <v>19715</v>
      </c>
      <c r="C26" s="15" t="s">
        <v>10480</v>
      </c>
      <c r="D26" s="15" t="s">
        <v>4156</v>
      </c>
      <c r="E26" s="15" t="s">
        <v>10481</v>
      </c>
      <c r="F26" s="15" t="s">
        <v>10482</v>
      </c>
      <c r="G26" s="15" t="s">
        <v>10483</v>
      </c>
      <c r="H26" s="16" t="s">
        <v>10484</v>
      </c>
    </row>
    <row r="27" spans="1:8" x14ac:dyDescent="0.3">
      <c r="A27" s="13">
        <v>31009</v>
      </c>
      <c r="B27" s="14" t="s">
        <v>10485</v>
      </c>
      <c r="C27" s="15"/>
      <c r="D27" s="15"/>
      <c r="E27" s="15"/>
      <c r="F27" s="15"/>
      <c r="G27" s="15"/>
      <c r="H27" s="16"/>
    </row>
    <row r="28" spans="1:8" ht="22.5" x14ac:dyDescent="0.3">
      <c r="A28" s="13" t="s">
        <v>10486</v>
      </c>
      <c r="B28" s="14" t="s">
        <v>19714</v>
      </c>
      <c r="C28" s="15" t="s">
        <v>10487</v>
      </c>
      <c r="D28" s="15"/>
      <c r="E28" s="15" t="s">
        <v>10488</v>
      </c>
      <c r="F28" s="15" t="s">
        <v>10488</v>
      </c>
      <c r="G28" s="15" t="s">
        <v>10489</v>
      </c>
      <c r="H28" s="16" t="s">
        <v>10490</v>
      </c>
    </row>
    <row r="29" spans="1:8" ht="22.5" x14ac:dyDescent="0.3">
      <c r="A29" s="13" t="s">
        <v>10491</v>
      </c>
      <c r="B29" s="14" t="s">
        <v>19715</v>
      </c>
      <c r="C29" s="15" t="s">
        <v>10492</v>
      </c>
      <c r="D29" s="15" t="s">
        <v>10493</v>
      </c>
      <c r="E29" s="15" t="s">
        <v>10494</v>
      </c>
      <c r="F29" s="15" t="s">
        <v>10495</v>
      </c>
      <c r="G29" s="15" t="s">
        <v>10496</v>
      </c>
      <c r="H29" s="16" t="s">
        <v>10497</v>
      </c>
    </row>
    <row r="30" spans="1:8" x14ac:dyDescent="0.3">
      <c r="A30" s="13">
        <v>31010</v>
      </c>
      <c r="B30" s="14" t="s">
        <v>10498</v>
      </c>
      <c r="C30" s="15"/>
      <c r="D30" s="15"/>
      <c r="E30" s="15"/>
      <c r="F30" s="15"/>
      <c r="G30" s="15"/>
      <c r="H30" s="16"/>
    </row>
    <row r="31" spans="1:8" ht="22.5" x14ac:dyDescent="0.3">
      <c r="A31" s="13" t="s">
        <v>10499</v>
      </c>
      <c r="B31" s="14" t="s">
        <v>19714</v>
      </c>
      <c r="C31" s="15" t="s">
        <v>10500</v>
      </c>
      <c r="D31" s="15"/>
      <c r="E31" s="15" t="s">
        <v>10501</v>
      </c>
      <c r="F31" s="15" t="s">
        <v>10501</v>
      </c>
      <c r="G31" s="15" t="s">
        <v>10501</v>
      </c>
      <c r="H31" s="16" t="s">
        <v>10501</v>
      </c>
    </row>
    <row r="32" spans="1:8" ht="22.5" x14ac:dyDescent="0.3">
      <c r="A32" s="13" t="s">
        <v>10502</v>
      </c>
      <c r="B32" s="14" t="s">
        <v>19715</v>
      </c>
      <c r="C32" s="15" t="s">
        <v>10503</v>
      </c>
      <c r="D32" s="15" t="s">
        <v>10504</v>
      </c>
      <c r="E32" s="15" t="s">
        <v>10505</v>
      </c>
      <c r="F32" s="15" t="s">
        <v>10506</v>
      </c>
      <c r="G32" s="15" t="s">
        <v>10507</v>
      </c>
      <c r="H32" s="16" t="s">
        <v>10508</v>
      </c>
    </row>
    <row r="33" spans="1:8" x14ac:dyDescent="0.3">
      <c r="A33" s="13">
        <v>31011</v>
      </c>
      <c r="B33" s="14" t="s">
        <v>10509</v>
      </c>
      <c r="C33" s="15"/>
      <c r="D33" s="15"/>
      <c r="E33" s="15"/>
      <c r="F33" s="15"/>
      <c r="G33" s="15"/>
      <c r="H33" s="16"/>
    </row>
    <row r="34" spans="1:8" ht="22.5" x14ac:dyDescent="0.3">
      <c r="A34" s="13" t="s">
        <v>10510</v>
      </c>
      <c r="B34" s="14" t="s">
        <v>19714</v>
      </c>
      <c r="C34" s="15" t="s">
        <v>10511</v>
      </c>
      <c r="D34" s="15" t="s">
        <v>10512</v>
      </c>
      <c r="E34" s="15" t="s">
        <v>10513</v>
      </c>
      <c r="F34" s="15" t="s">
        <v>10514</v>
      </c>
      <c r="G34" s="15" t="s">
        <v>10515</v>
      </c>
      <c r="H34" s="16" t="s">
        <v>10516</v>
      </c>
    </row>
    <row r="35" spans="1:8" ht="22.5" x14ac:dyDescent="0.3">
      <c r="A35" s="13" t="s">
        <v>10517</v>
      </c>
      <c r="B35" s="14" t="s">
        <v>19715</v>
      </c>
      <c r="C35" s="15" t="s">
        <v>10518</v>
      </c>
      <c r="D35" s="15" t="s">
        <v>10519</v>
      </c>
      <c r="E35" s="15"/>
      <c r="F35" s="15" t="s">
        <v>10520</v>
      </c>
      <c r="G35" s="15" t="s">
        <v>10521</v>
      </c>
      <c r="H35" s="16" t="s">
        <v>10522</v>
      </c>
    </row>
    <row r="36" spans="1:8" x14ac:dyDescent="0.3">
      <c r="A36" s="13">
        <v>31012</v>
      </c>
      <c r="B36" s="14" t="s">
        <v>10523</v>
      </c>
      <c r="C36" s="15" t="s">
        <v>10524</v>
      </c>
      <c r="D36" s="15"/>
      <c r="E36" s="15"/>
      <c r="F36" s="15"/>
      <c r="G36" s="15"/>
      <c r="H36" s="16"/>
    </row>
    <row r="37" spans="1:8" ht="33.75" x14ac:dyDescent="0.3">
      <c r="A37" s="13" t="s">
        <v>10525</v>
      </c>
      <c r="B37" s="14" t="s">
        <v>19714</v>
      </c>
      <c r="C37" s="15" t="s">
        <v>10526</v>
      </c>
      <c r="D37" s="15"/>
      <c r="E37" s="15" t="s">
        <v>10527</v>
      </c>
      <c r="F37" s="15" t="s">
        <v>10528</v>
      </c>
      <c r="G37" s="15" t="s">
        <v>10529</v>
      </c>
      <c r="H37" s="16" t="s">
        <v>10530</v>
      </c>
    </row>
    <row r="38" spans="1:8" ht="22.5" x14ac:dyDescent="0.3">
      <c r="A38" s="13" t="s">
        <v>10531</v>
      </c>
      <c r="B38" s="14" t="s">
        <v>19715</v>
      </c>
      <c r="C38" s="15" t="s">
        <v>10532</v>
      </c>
      <c r="D38" s="15" t="s">
        <v>10533</v>
      </c>
      <c r="E38" s="15" t="s">
        <v>10534</v>
      </c>
      <c r="F38" s="15" t="s">
        <v>10535</v>
      </c>
      <c r="G38" s="15" t="s">
        <v>10536</v>
      </c>
      <c r="H38" s="16" t="s">
        <v>10537</v>
      </c>
    </row>
    <row r="39" spans="1:8" ht="33.75" x14ac:dyDescent="0.3">
      <c r="A39" s="13">
        <v>31013</v>
      </c>
      <c r="B39" s="14" t="s">
        <v>10538</v>
      </c>
      <c r="C39" s="15" t="s">
        <v>10539</v>
      </c>
      <c r="D39" s="15"/>
      <c r="E39" s="15"/>
      <c r="F39" s="15"/>
      <c r="G39" s="15"/>
      <c r="H39" s="16"/>
    </row>
    <row r="40" spans="1:8" ht="45" x14ac:dyDescent="0.3">
      <c r="A40" s="13" t="s">
        <v>10540</v>
      </c>
      <c r="B40" s="14" t="s">
        <v>19714</v>
      </c>
      <c r="C40" s="15" t="s">
        <v>10541</v>
      </c>
      <c r="D40" s="15" t="s">
        <v>10542</v>
      </c>
      <c r="E40" s="15" t="s">
        <v>10543</v>
      </c>
      <c r="F40" s="15" t="s">
        <v>10544</v>
      </c>
      <c r="G40" s="15" t="s">
        <v>10545</v>
      </c>
      <c r="H40" s="16" t="s">
        <v>10545</v>
      </c>
    </row>
    <row r="41" spans="1:8" ht="33.75" x14ac:dyDescent="0.3">
      <c r="A41" s="13" t="s">
        <v>10546</v>
      </c>
      <c r="B41" s="14" t="s">
        <v>19715</v>
      </c>
      <c r="C41" s="15" t="s">
        <v>10547</v>
      </c>
      <c r="D41" s="15" t="s">
        <v>10548</v>
      </c>
      <c r="E41" s="15" t="s">
        <v>10549</v>
      </c>
      <c r="F41" s="15" t="s">
        <v>10550</v>
      </c>
      <c r="G41" s="15" t="s">
        <v>10551</v>
      </c>
      <c r="H41" s="16" t="s">
        <v>10552</v>
      </c>
    </row>
    <row r="42" spans="1:8" x14ac:dyDescent="0.3">
      <c r="A42" s="13">
        <v>31014</v>
      </c>
      <c r="B42" s="14" t="s">
        <v>10553</v>
      </c>
      <c r="C42" s="15" t="s">
        <v>10554</v>
      </c>
      <c r="D42" s="15"/>
      <c r="E42" s="15"/>
      <c r="F42" s="15"/>
      <c r="G42" s="15"/>
      <c r="H42" s="16"/>
    </row>
    <row r="43" spans="1:8" ht="45" x14ac:dyDescent="0.3">
      <c r="A43" s="13" t="s">
        <v>10555</v>
      </c>
      <c r="B43" s="14" t="s">
        <v>19714</v>
      </c>
      <c r="C43" s="15" t="s">
        <v>10556</v>
      </c>
      <c r="D43" s="15"/>
      <c r="E43" s="15" t="s">
        <v>10557</v>
      </c>
      <c r="F43" s="15" t="s">
        <v>10558</v>
      </c>
      <c r="G43" s="15" t="s">
        <v>10559</v>
      </c>
      <c r="H43" s="16" t="s">
        <v>10560</v>
      </c>
    </row>
    <row r="44" spans="1:8" ht="22.5" x14ac:dyDescent="0.3">
      <c r="A44" s="13" t="s">
        <v>10561</v>
      </c>
      <c r="B44" s="14" t="s">
        <v>19715</v>
      </c>
      <c r="C44" s="15" t="s">
        <v>10562</v>
      </c>
      <c r="D44" s="15" t="s">
        <v>10563</v>
      </c>
      <c r="E44" s="15"/>
      <c r="F44" s="15" t="s">
        <v>10557</v>
      </c>
      <c r="G44" s="15" t="s">
        <v>10557</v>
      </c>
      <c r="H44" s="16" t="s">
        <v>10564</v>
      </c>
    </row>
    <row r="45" spans="1:8" x14ac:dyDescent="0.3">
      <c r="A45" s="13">
        <v>31015</v>
      </c>
      <c r="B45" s="14" t="s">
        <v>10565</v>
      </c>
      <c r="C45" s="15" t="s">
        <v>10566</v>
      </c>
      <c r="D45" s="15"/>
      <c r="E45" s="15"/>
      <c r="F45" s="15"/>
      <c r="G45" s="15"/>
      <c r="H45" s="16"/>
    </row>
    <row r="46" spans="1:8" ht="22.5" x14ac:dyDescent="0.3">
      <c r="A46" s="13" t="s">
        <v>10567</v>
      </c>
      <c r="B46" s="14" t="s">
        <v>19714</v>
      </c>
      <c r="C46" s="15" t="s">
        <v>10568</v>
      </c>
      <c r="D46" s="15" t="s">
        <v>10569</v>
      </c>
      <c r="E46" s="15" t="s">
        <v>10570</v>
      </c>
      <c r="F46" s="15" t="s">
        <v>10571</v>
      </c>
      <c r="G46" s="15" t="s">
        <v>10572</v>
      </c>
      <c r="H46" s="16" t="s">
        <v>10573</v>
      </c>
    </row>
    <row r="47" spans="1:8" ht="45" x14ac:dyDescent="0.3">
      <c r="A47" s="13" t="s">
        <v>10574</v>
      </c>
      <c r="B47" s="14" t="s">
        <v>19715</v>
      </c>
      <c r="C47" s="15" t="s">
        <v>10575</v>
      </c>
      <c r="D47" s="15" t="s">
        <v>10576</v>
      </c>
      <c r="E47" s="15" t="s">
        <v>10577</v>
      </c>
      <c r="F47" s="15" t="s">
        <v>10578</v>
      </c>
      <c r="G47" s="15" t="s">
        <v>10579</v>
      </c>
      <c r="H47" s="16" t="s">
        <v>10580</v>
      </c>
    </row>
    <row r="48" spans="1:8" ht="45" x14ac:dyDescent="0.3">
      <c r="A48" s="13">
        <v>31016</v>
      </c>
      <c r="B48" s="14" t="s">
        <v>10581</v>
      </c>
      <c r="C48" s="15" t="s">
        <v>10582</v>
      </c>
      <c r="D48" s="15" t="s">
        <v>10583</v>
      </c>
      <c r="E48" s="15" t="s">
        <v>10584</v>
      </c>
      <c r="F48" s="15"/>
      <c r="G48" s="15"/>
      <c r="H48" s="16" t="s">
        <v>10585</v>
      </c>
    </row>
    <row r="49" spans="1:8" ht="22.5" x14ac:dyDescent="0.3">
      <c r="A49" s="13" t="s">
        <v>10586</v>
      </c>
      <c r="B49" s="14" t="s">
        <v>19714</v>
      </c>
      <c r="C49" s="15" t="s">
        <v>10587</v>
      </c>
      <c r="D49" s="15"/>
      <c r="E49" s="15" t="s">
        <v>10588</v>
      </c>
      <c r="F49" s="15" t="s">
        <v>10589</v>
      </c>
      <c r="G49" s="15" t="s">
        <v>10590</v>
      </c>
      <c r="H49" s="16"/>
    </row>
    <row r="50" spans="1:8" ht="67.5" x14ac:dyDescent="0.3">
      <c r="A50" s="13" t="s">
        <v>10591</v>
      </c>
      <c r="B50" s="14" t="s">
        <v>19715</v>
      </c>
      <c r="C50" s="15" t="s">
        <v>10592</v>
      </c>
      <c r="D50" s="15"/>
      <c r="E50" s="15" t="s">
        <v>10593</v>
      </c>
      <c r="F50" s="15" t="s">
        <v>10594</v>
      </c>
      <c r="G50" s="15" t="s">
        <v>10595</v>
      </c>
      <c r="H50" s="16"/>
    </row>
    <row r="51" spans="1:8" ht="45" x14ac:dyDescent="0.3">
      <c r="A51" s="13">
        <v>31017</v>
      </c>
      <c r="B51" s="14" t="s">
        <v>10596</v>
      </c>
      <c r="C51" s="15" t="s">
        <v>10597</v>
      </c>
      <c r="D51" s="15" t="s">
        <v>10598</v>
      </c>
      <c r="E51" s="15" t="s">
        <v>10599</v>
      </c>
      <c r="F51" s="15"/>
      <c r="G51" s="15"/>
      <c r="H51" s="16" t="s">
        <v>10600</v>
      </c>
    </row>
    <row r="52" spans="1:8" x14ac:dyDescent="0.3">
      <c r="A52" s="13" t="s">
        <v>10601</v>
      </c>
      <c r="B52" s="14" t="s">
        <v>19714</v>
      </c>
      <c r="C52" s="15" t="s">
        <v>10602</v>
      </c>
      <c r="D52" s="15"/>
      <c r="E52" s="15" t="s">
        <v>10603</v>
      </c>
      <c r="F52" s="15" t="s">
        <v>10604</v>
      </c>
      <c r="G52" s="15" t="s">
        <v>10605</v>
      </c>
      <c r="H52" s="16"/>
    </row>
    <row r="53" spans="1:8" ht="22.5" x14ac:dyDescent="0.3">
      <c r="A53" s="13" t="s">
        <v>10606</v>
      </c>
      <c r="B53" s="14" t="s">
        <v>19715</v>
      </c>
      <c r="C53" s="15" t="s">
        <v>10607</v>
      </c>
      <c r="D53" s="15"/>
      <c r="E53" s="15"/>
      <c r="F53" s="15" t="s">
        <v>10608</v>
      </c>
      <c r="G53" s="15" t="s">
        <v>10609</v>
      </c>
      <c r="H53" s="16"/>
    </row>
    <row r="54" spans="1:8" x14ac:dyDescent="0.3">
      <c r="A54" s="13">
        <v>31018</v>
      </c>
      <c r="B54" s="14" t="s">
        <v>10610</v>
      </c>
      <c r="C54" s="15"/>
      <c r="D54" s="15"/>
      <c r="E54" s="15"/>
      <c r="F54" s="15"/>
      <c r="G54" s="15"/>
      <c r="H54" s="16"/>
    </row>
    <row r="55" spans="1:8" ht="22.5" x14ac:dyDescent="0.3">
      <c r="A55" s="13" t="s">
        <v>10611</v>
      </c>
      <c r="B55" s="14" t="s">
        <v>19714</v>
      </c>
      <c r="C55" s="15" t="s">
        <v>10612</v>
      </c>
      <c r="D55" s="15" t="s">
        <v>10613</v>
      </c>
      <c r="E55" s="15" t="s">
        <v>10614</v>
      </c>
      <c r="F55" s="15" t="s">
        <v>10615</v>
      </c>
      <c r="G55" s="15" t="s">
        <v>10616</v>
      </c>
      <c r="H55" s="16" t="s">
        <v>10617</v>
      </c>
    </row>
    <row r="56" spans="1:8" ht="45" x14ac:dyDescent="0.3">
      <c r="A56" s="13" t="s">
        <v>10618</v>
      </c>
      <c r="B56" s="14" t="s">
        <v>19715</v>
      </c>
      <c r="C56" s="15" t="s">
        <v>10619</v>
      </c>
      <c r="D56" s="15" t="s">
        <v>10620</v>
      </c>
      <c r="E56" s="15" t="s">
        <v>10621</v>
      </c>
      <c r="F56" s="15" t="s">
        <v>10622</v>
      </c>
      <c r="G56" s="15" t="s">
        <v>10623</v>
      </c>
      <c r="H56" s="16" t="s">
        <v>10624</v>
      </c>
    </row>
    <row r="57" spans="1:8" x14ac:dyDescent="0.3">
      <c r="A57" s="13">
        <v>31019</v>
      </c>
      <c r="B57" s="14" t="s">
        <v>9694</v>
      </c>
      <c r="C57" s="15"/>
      <c r="D57" s="15" t="s">
        <v>10625</v>
      </c>
      <c r="E57" s="15"/>
      <c r="F57" s="15"/>
      <c r="G57" s="15"/>
      <c r="H57" s="16"/>
    </row>
    <row r="58" spans="1:8" ht="33.75" x14ac:dyDescent="0.3">
      <c r="A58" s="13" t="s">
        <v>10626</v>
      </c>
      <c r="B58" s="14" t="s">
        <v>19714</v>
      </c>
      <c r="C58" s="15" t="s">
        <v>10627</v>
      </c>
      <c r="D58" s="15" t="s">
        <v>10628</v>
      </c>
      <c r="E58" s="15" t="s">
        <v>10628</v>
      </c>
      <c r="F58" s="15" t="s">
        <v>10629</v>
      </c>
      <c r="G58" s="15" t="s">
        <v>10630</v>
      </c>
      <c r="H58" s="16" t="s">
        <v>10631</v>
      </c>
    </row>
    <row r="59" spans="1:8" ht="33.75" x14ac:dyDescent="0.3">
      <c r="A59" s="13" t="s">
        <v>10632</v>
      </c>
      <c r="B59" s="14" t="s">
        <v>19715</v>
      </c>
      <c r="C59" s="15" t="s">
        <v>10633</v>
      </c>
      <c r="D59" s="15"/>
      <c r="E59" s="15" t="s">
        <v>10634</v>
      </c>
      <c r="F59" s="15" t="s">
        <v>10635</v>
      </c>
      <c r="G59" s="15" t="s">
        <v>10636</v>
      </c>
      <c r="H59" s="16" t="s">
        <v>10637</v>
      </c>
    </row>
    <row r="60" spans="1:8" x14ac:dyDescent="0.3">
      <c r="A60" s="13">
        <v>31020</v>
      </c>
      <c r="B60" s="14" t="s">
        <v>10638</v>
      </c>
      <c r="C60" s="15"/>
      <c r="D60" s="15"/>
      <c r="E60" s="15"/>
      <c r="F60" s="15"/>
      <c r="G60" s="15"/>
      <c r="H60" s="16"/>
    </row>
    <row r="61" spans="1:8" ht="33.75" x14ac:dyDescent="0.3">
      <c r="A61" s="13" t="s">
        <v>10639</v>
      </c>
      <c r="B61" s="14" t="s">
        <v>19714</v>
      </c>
      <c r="C61" s="15" t="s">
        <v>10640</v>
      </c>
      <c r="D61" s="15" t="s">
        <v>10641</v>
      </c>
      <c r="E61" s="15" t="s">
        <v>10629</v>
      </c>
      <c r="F61" s="15" t="s">
        <v>10642</v>
      </c>
      <c r="G61" s="15" t="s">
        <v>10643</v>
      </c>
      <c r="H61" s="16" t="s">
        <v>10642</v>
      </c>
    </row>
    <row r="62" spans="1:8" ht="33.75" x14ac:dyDescent="0.3">
      <c r="A62" s="13" t="s">
        <v>10644</v>
      </c>
      <c r="B62" s="14" t="s">
        <v>19715</v>
      </c>
      <c r="C62" s="15" t="s">
        <v>10645</v>
      </c>
      <c r="D62" s="15" t="s">
        <v>10646</v>
      </c>
      <c r="E62" s="15" t="s">
        <v>10647</v>
      </c>
      <c r="F62" s="15" t="s">
        <v>10648</v>
      </c>
      <c r="G62" s="15" t="s">
        <v>10649</v>
      </c>
      <c r="H62" s="16" t="s">
        <v>10648</v>
      </c>
    </row>
    <row r="63" spans="1:8" x14ac:dyDescent="0.3">
      <c r="A63" s="13">
        <v>31021</v>
      </c>
      <c r="B63" s="14" t="s">
        <v>10650</v>
      </c>
      <c r="C63" s="15"/>
      <c r="D63" s="15"/>
      <c r="E63" s="15"/>
      <c r="F63" s="15"/>
      <c r="G63" s="15"/>
      <c r="H63" s="16"/>
    </row>
    <row r="64" spans="1:8" ht="45" x14ac:dyDescent="0.3">
      <c r="A64" s="13" t="s">
        <v>10651</v>
      </c>
      <c r="B64" s="14" t="s">
        <v>19714</v>
      </c>
      <c r="C64" s="15" t="s">
        <v>10652</v>
      </c>
      <c r="D64" s="15"/>
      <c r="E64" s="15" t="s">
        <v>10653</v>
      </c>
      <c r="F64" s="15" t="s">
        <v>10654</v>
      </c>
      <c r="G64" s="15" t="s">
        <v>10655</v>
      </c>
      <c r="H64" s="16" t="s">
        <v>10654</v>
      </c>
    </row>
    <row r="65" spans="1:8" ht="22.5" x14ac:dyDescent="0.3">
      <c r="A65" s="13" t="s">
        <v>10656</v>
      </c>
      <c r="B65" s="14" t="s">
        <v>19715</v>
      </c>
      <c r="C65" s="15" t="s">
        <v>10657</v>
      </c>
      <c r="D65" s="15" t="s">
        <v>10658</v>
      </c>
      <c r="E65" s="15" t="s">
        <v>10659</v>
      </c>
      <c r="F65" s="15" t="s">
        <v>10660</v>
      </c>
      <c r="G65" s="15" t="s">
        <v>10661</v>
      </c>
      <c r="H65" s="16" t="s">
        <v>4606</v>
      </c>
    </row>
    <row r="66" spans="1:8" x14ac:dyDescent="0.3">
      <c r="A66" s="13">
        <v>31022</v>
      </c>
      <c r="B66" s="14" t="s">
        <v>10662</v>
      </c>
      <c r="C66" s="15"/>
      <c r="D66" s="15"/>
      <c r="E66" s="15"/>
      <c r="F66" s="15" t="s">
        <v>10663</v>
      </c>
      <c r="G66" s="15"/>
      <c r="H66" s="16"/>
    </row>
    <row r="67" spans="1:8" ht="22.5" x14ac:dyDescent="0.3">
      <c r="A67" s="13" t="s">
        <v>10664</v>
      </c>
      <c r="B67" s="14" t="s">
        <v>19714</v>
      </c>
      <c r="C67" s="15" t="s">
        <v>10665</v>
      </c>
      <c r="D67" s="15"/>
      <c r="E67" s="15" t="s">
        <v>10666</v>
      </c>
      <c r="F67" s="15" t="s">
        <v>10667</v>
      </c>
      <c r="G67" s="15" t="s">
        <v>10668</v>
      </c>
      <c r="H67" s="16" t="s">
        <v>10669</v>
      </c>
    </row>
    <row r="68" spans="1:8" ht="22.5" x14ac:dyDescent="0.3">
      <c r="A68" s="13" t="s">
        <v>10670</v>
      </c>
      <c r="B68" s="14" t="s">
        <v>19715</v>
      </c>
      <c r="C68" s="15" t="s">
        <v>10671</v>
      </c>
      <c r="D68" s="15" t="s">
        <v>10672</v>
      </c>
      <c r="E68" s="15" t="s">
        <v>10673</v>
      </c>
      <c r="F68" s="15" t="s">
        <v>10674</v>
      </c>
      <c r="G68" s="15" t="s">
        <v>10675</v>
      </c>
      <c r="H68" s="16" t="s">
        <v>10676</v>
      </c>
    </row>
    <row r="69" spans="1:8" x14ac:dyDescent="0.3">
      <c r="A69" s="13">
        <v>31023</v>
      </c>
      <c r="B69" s="14" t="s">
        <v>10677</v>
      </c>
      <c r="C69" s="15"/>
      <c r="D69" s="15"/>
      <c r="E69" s="15"/>
      <c r="F69" s="15"/>
      <c r="G69" s="15"/>
      <c r="H69" s="16"/>
    </row>
    <row r="70" spans="1:8" ht="45" x14ac:dyDescent="0.3">
      <c r="A70" s="13" t="s">
        <v>10678</v>
      </c>
      <c r="B70" s="14" t="s">
        <v>19714</v>
      </c>
      <c r="C70" s="15" t="s">
        <v>10679</v>
      </c>
      <c r="D70" s="15" t="s">
        <v>10680</v>
      </c>
      <c r="E70" s="15" t="s">
        <v>10681</v>
      </c>
      <c r="F70" s="15" t="s">
        <v>10682</v>
      </c>
      <c r="G70" s="15" t="s">
        <v>10683</v>
      </c>
      <c r="H70" s="16" t="s">
        <v>10684</v>
      </c>
    </row>
    <row r="71" spans="1:8" x14ac:dyDescent="0.3">
      <c r="A71" s="13" t="s">
        <v>10685</v>
      </c>
      <c r="B71" s="14" t="s">
        <v>19715</v>
      </c>
      <c r="C71" s="15" t="s">
        <v>10686</v>
      </c>
      <c r="D71" s="15" t="s">
        <v>10687</v>
      </c>
      <c r="E71" s="15" t="s">
        <v>10688</v>
      </c>
      <c r="F71" s="15" t="s">
        <v>10689</v>
      </c>
      <c r="G71" s="15"/>
      <c r="H71" s="16" t="s">
        <v>10690</v>
      </c>
    </row>
    <row r="72" spans="1:8" x14ac:dyDescent="0.3">
      <c r="A72" s="13">
        <v>31024</v>
      </c>
      <c r="B72" s="14" t="s">
        <v>10691</v>
      </c>
      <c r="C72" s="15"/>
      <c r="D72" s="15"/>
      <c r="E72" s="15"/>
      <c r="F72" s="15"/>
      <c r="G72" s="15"/>
      <c r="H72" s="16"/>
    </row>
    <row r="73" spans="1:8" ht="45" x14ac:dyDescent="0.3">
      <c r="A73" s="13" t="s">
        <v>10692</v>
      </c>
      <c r="B73" s="14" t="s">
        <v>19714</v>
      </c>
      <c r="C73" s="15" t="s">
        <v>10693</v>
      </c>
      <c r="D73" s="15" t="s">
        <v>10694</v>
      </c>
      <c r="E73" s="15" t="s">
        <v>10695</v>
      </c>
      <c r="F73" s="15" t="s">
        <v>10696</v>
      </c>
      <c r="G73" s="15" t="s">
        <v>10697</v>
      </c>
      <c r="H73" s="16" t="s">
        <v>10698</v>
      </c>
    </row>
    <row r="74" spans="1:8" x14ac:dyDescent="0.3">
      <c r="A74" s="13" t="s">
        <v>10699</v>
      </c>
      <c r="B74" s="14" t="s">
        <v>19715</v>
      </c>
      <c r="C74" s="15" t="s">
        <v>10700</v>
      </c>
      <c r="D74" s="15" t="s">
        <v>10701</v>
      </c>
      <c r="E74" s="15" t="s">
        <v>10702</v>
      </c>
      <c r="F74" s="15" t="s">
        <v>10703</v>
      </c>
      <c r="G74" s="15" t="s">
        <v>10702</v>
      </c>
      <c r="H74" s="16" t="s">
        <v>10702</v>
      </c>
    </row>
    <row r="75" spans="1:8" x14ac:dyDescent="0.3">
      <c r="A75" s="13">
        <v>31025</v>
      </c>
      <c r="B75" s="14" t="s">
        <v>10704</v>
      </c>
      <c r="C75" s="15"/>
      <c r="D75" s="15"/>
      <c r="E75" s="15"/>
      <c r="F75" s="15"/>
      <c r="G75" s="15"/>
      <c r="H75" s="16"/>
    </row>
    <row r="76" spans="1:8" ht="45" x14ac:dyDescent="0.3">
      <c r="A76" s="13" t="s">
        <v>10705</v>
      </c>
      <c r="B76" s="14" t="s">
        <v>19714</v>
      </c>
      <c r="C76" s="15" t="s">
        <v>10706</v>
      </c>
      <c r="D76" s="15" t="s">
        <v>10707</v>
      </c>
      <c r="E76" s="15" t="s">
        <v>10708</v>
      </c>
      <c r="F76" s="15" t="s">
        <v>10709</v>
      </c>
      <c r="G76" s="15" t="s">
        <v>10710</v>
      </c>
      <c r="H76" s="16" t="s">
        <v>10711</v>
      </c>
    </row>
    <row r="77" spans="1:8" ht="33.75" x14ac:dyDescent="0.3">
      <c r="A77" s="13" t="s">
        <v>10712</v>
      </c>
      <c r="B77" s="14" t="s">
        <v>19715</v>
      </c>
      <c r="C77" s="15" t="s">
        <v>10713</v>
      </c>
      <c r="D77" s="15" t="s">
        <v>10714</v>
      </c>
      <c r="E77" s="15" t="s">
        <v>10715</v>
      </c>
      <c r="F77" s="15" t="s">
        <v>10716</v>
      </c>
      <c r="G77" s="15" t="s">
        <v>10717</v>
      </c>
      <c r="H77" s="16" t="s">
        <v>10717</v>
      </c>
    </row>
    <row r="78" spans="1:8" x14ac:dyDescent="0.3">
      <c r="A78" s="13">
        <v>31026</v>
      </c>
      <c r="B78" s="14" t="s">
        <v>10718</v>
      </c>
      <c r="C78" s="15"/>
      <c r="D78" s="15"/>
      <c r="E78" s="15"/>
      <c r="F78" s="15"/>
      <c r="G78" s="15"/>
      <c r="H78" s="16"/>
    </row>
    <row r="79" spans="1:8" ht="56.25" x14ac:dyDescent="0.3">
      <c r="A79" s="13" t="s">
        <v>10719</v>
      </c>
      <c r="B79" s="14" t="s">
        <v>19714</v>
      </c>
      <c r="C79" s="15" t="s">
        <v>10720</v>
      </c>
      <c r="D79" s="15" t="s">
        <v>10721</v>
      </c>
      <c r="E79" s="15" t="s">
        <v>10722</v>
      </c>
      <c r="F79" s="15" t="s">
        <v>10723</v>
      </c>
      <c r="G79" s="15" t="s">
        <v>10724</v>
      </c>
      <c r="H79" s="16" t="s">
        <v>10725</v>
      </c>
    </row>
    <row r="80" spans="1:8" x14ac:dyDescent="0.3">
      <c r="A80" s="13" t="s">
        <v>10726</v>
      </c>
      <c r="B80" s="14" t="s">
        <v>19715</v>
      </c>
      <c r="C80" s="15" t="s">
        <v>10727</v>
      </c>
      <c r="D80" s="15"/>
      <c r="E80" s="15" t="s">
        <v>10728</v>
      </c>
      <c r="F80" s="15" t="s">
        <v>10729</v>
      </c>
      <c r="G80" s="15" t="s">
        <v>10730</v>
      </c>
      <c r="H80" s="16" t="s">
        <v>10731</v>
      </c>
    </row>
    <row r="81" spans="1:8" x14ac:dyDescent="0.3">
      <c r="A81" s="13">
        <v>31027</v>
      </c>
      <c r="B81" s="14" t="s">
        <v>10732</v>
      </c>
      <c r="C81" s="15"/>
      <c r="D81" s="15"/>
      <c r="E81" s="15"/>
      <c r="F81" s="15"/>
      <c r="G81" s="15"/>
      <c r="H81" s="16"/>
    </row>
    <row r="82" spans="1:8" ht="33.75" x14ac:dyDescent="0.3">
      <c r="A82" s="13" t="s">
        <v>10733</v>
      </c>
      <c r="B82" s="14" t="s">
        <v>19714</v>
      </c>
      <c r="C82" s="15" t="s">
        <v>10734</v>
      </c>
      <c r="D82" s="15" t="s">
        <v>10735</v>
      </c>
      <c r="E82" s="15" t="s">
        <v>10736</v>
      </c>
      <c r="F82" s="15" t="s">
        <v>10737</v>
      </c>
      <c r="G82" s="15" t="s">
        <v>10738</v>
      </c>
      <c r="H82" s="16" t="s">
        <v>10739</v>
      </c>
    </row>
    <row r="83" spans="1:8" ht="67.5" x14ac:dyDescent="0.3">
      <c r="A83" s="13" t="s">
        <v>10740</v>
      </c>
      <c r="B83" s="14" t="s">
        <v>19715</v>
      </c>
      <c r="C83" s="15" t="s">
        <v>10741</v>
      </c>
      <c r="D83" s="15" t="s">
        <v>10742</v>
      </c>
      <c r="E83" s="15" t="s">
        <v>10743</v>
      </c>
      <c r="F83" s="15" t="s">
        <v>10744</v>
      </c>
      <c r="G83" s="15" t="s">
        <v>10745</v>
      </c>
      <c r="H83" s="16" t="s">
        <v>10746</v>
      </c>
    </row>
    <row r="84" spans="1:8" x14ac:dyDescent="0.3">
      <c r="A84" s="13">
        <v>31028</v>
      </c>
      <c r="B84" s="14" t="s">
        <v>10747</v>
      </c>
      <c r="C84" s="15"/>
      <c r="D84" s="15"/>
      <c r="E84" s="15"/>
      <c r="F84" s="15"/>
      <c r="G84" s="15"/>
      <c r="H84" s="16"/>
    </row>
    <row r="85" spans="1:8" ht="22.5" x14ac:dyDescent="0.3">
      <c r="A85" s="13" t="s">
        <v>10748</v>
      </c>
      <c r="B85" s="14" t="s">
        <v>19714</v>
      </c>
      <c r="C85" s="15" t="s">
        <v>10749</v>
      </c>
      <c r="D85" s="15"/>
      <c r="E85" s="15" t="s">
        <v>10750</v>
      </c>
      <c r="F85" s="15" t="s">
        <v>10751</v>
      </c>
      <c r="G85" s="15" t="s">
        <v>10752</v>
      </c>
      <c r="H85" s="16" t="s">
        <v>10753</v>
      </c>
    </row>
    <row r="86" spans="1:8" ht="56.25" x14ac:dyDescent="0.3">
      <c r="A86" s="13" t="s">
        <v>10754</v>
      </c>
      <c r="B86" s="14" t="s">
        <v>19715</v>
      </c>
      <c r="C86" s="15" t="s">
        <v>10755</v>
      </c>
      <c r="D86" s="15" t="s">
        <v>10756</v>
      </c>
      <c r="E86" s="15" t="s">
        <v>10757</v>
      </c>
      <c r="F86" s="15" t="s">
        <v>10758</v>
      </c>
      <c r="G86" s="15" t="s">
        <v>10759</v>
      </c>
      <c r="H86" s="16" t="s">
        <v>10760</v>
      </c>
    </row>
    <row r="87" spans="1:8" x14ac:dyDescent="0.3">
      <c r="A87" s="13">
        <v>31029</v>
      </c>
      <c r="B87" s="14" t="s">
        <v>10761</v>
      </c>
      <c r="C87" s="15"/>
      <c r="D87" s="15"/>
      <c r="E87" s="15"/>
      <c r="F87" s="15"/>
      <c r="G87" s="15"/>
      <c r="H87" s="16"/>
    </row>
    <row r="88" spans="1:8" ht="56.25" x14ac:dyDescent="0.3">
      <c r="A88" s="13" t="s">
        <v>10762</v>
      </c>
      <c r="B88" s="14" t="s">
        <v>19714</v>
      </c>
      <c r="C88" s="15" t="s">
        <v>10763</v>
      </c>
      <c r="D88" s="15" t="s">
        <v>10764</v>
      </c>
      <c r="E88" s="15" t="s">
        <v>10765</v>
      </c>
      <c r="F88" s="15" t="s">
        <v>10766</v>
      </c>
      <c r="G88" s="15" t="s">
        <v>10767</v>
      </c>
      <c r="H88" s="16" t="s">
        <v>10768</v>
      </c>
    </row>
    <row r="89" spans="1:8" ht="22.5" x14ac:dyDescent="0.3">
      <c r="A89" s="13" t="s">
        <v>10769</v>
      </c>
      <c r="B89" s="14" t="s">
        <v>19715</v>
      </c>
      <c r="C89" s="15" t="s">
        <v>10770</v>
      </c>
      <c r="D89" s="15" t="s">
        <v>10771</v>
      </c>
      <c r="E89" s="15" t="s">
        <v>10772</v>
      </c>
      <c r="F89" s="15" t="s">
        <v>10773</v>
      </c>
      <c r="G89" s="15" t="s">
        <v>10774</v>
      </c>
      <c r="H89" s="16" t="s">
        <v>10775</v>
      </c>
    </row>
    <row r="90" spans="1:8" x14ac:dyDescent="0.3">
      <c r="A90" s="13">
        <v>31030</v>
      </c>
      <c r="B90" s="14" t="s">
        <v>10776</v>
      </c>
      <c r="C90" s="15"/>
      <c r="D90" s="15"/>
      <c r="E90" s="15"/>
      <c r="F90" s="15"/>
      <c r="G90" s="15"/>
      <c r="H90" s="16"/>
    </row>
    <row r="91" spans="1:8" ht="56.25" x14ac:dyDescent="0.3">
      <c r="A91" s="13" t="s">
        <v>10777</v>
      </c>
      <c r="B91" s="14" t="s">
        <v>19714</v>
      </c>
      <c r="C91" s="15" t="s">
        <v>10778</v>
      </c>
      <c r="D91" s="15" t="s">
        <v>10779</v>
      </c>
      <c r="E91" s="15" t="s">
        <v>10780</v>
      </c>
      <c r="F91" s="15" t="s">
        <v>10781</v>
      </c>
      <c r="G91" s="15" t="s">
        <v>10782</v>
      </c>
      <c r="H91" s="16" t="s">
        <v>10783</v>
      </c>
    </row>
    <row r="92" spans="1:8" x14ac:dyDescent="0.3">
      <c r="A92" s="13" t="s">
        <v>10784</v>
      </c>
      <c r="B92" s="14" t="s">
        <v>19715</v>
      </c>
      <c r="C92" s="15" t="s">
        <v>10785</v>
      </c>
      <c r="D92" s="15"/>
      <c r="E92" s="15" t="s">
        <v>10786</v>
      </c>
      <c r="F92" s="15" t="s">
        <v>10787</v>
      </c>
      <c r="G92" s="15" t="s">
        <v>10788</v>
      </c>
      <c r="H92" s="16" t="s">
        <v>10789</v>
      </c>
    </row>
    <row r="93" spans="1:8" x14ac:dyDescent="0.3">
      <c r="A93" s="13">
        <v>31031</v>
      </c>
      <c r="B93" s="14" t="s">
        <v>10790</v>
      </c>
      <c r="C93" s="15"/>
      <c r="D93" s="15"/>
      <c r="E93" s="15"/>
      <c r="F93" s="15"/>
      <c r="G93" s="15"/>
      <c r="H93" s="16"/>
    </row>
    <row r="94" spans="1:8" ht="33.75" x14ac:dyDescent="0.3">
      <c r="A94" s="13" t="s">
        <v>10791</v>
      </c>
      <c r="B94" s="14" t="s">
        <v>19714</v>
      </c>
      <c r="C94" s="15" t="s">
        <v>10792</v>
      </c>
      <c r="D94" s="15"/>
      <c r="E94" s="15" t="s">
        <v>10793</v>
      </c>
      <c r="F94" s="15" t="s">
        <v>10794</v>
      </c>
      <c r="G94" s="15" t="s">
        <v>10795</v>
      </c>
      <c r="H94" s="16" t="s">
        <v>10796</v>
      </c>
    </row>
    <row r="95" spans="1:8" ht="22.5" x14ac:dyDescent="0.3">
      <c r="A95" s="13" t="s">
        <v>10797</v>
      </c>
      <c r="B95" s="14" t="s">
        <v>19715</v>
      </c>
      <c r="C95" s="15" t="s">
        <v>10798</v>
      </c>
      <c r="D95" s="15" t="s">
        <v>10799</v>
      </c>
      <c r="E95" s="15" t="s">
        <v>10800</v>
      </c>
      <c r="F95" s="15" t="s">
        <v>10801</v>
      </c>
      <c r="G95" s="15" t="s">
        <v>10802</v>
      </c>
      <c r="H95" s="16" t="s">
        <v>10803</v>
      </c>
    </row>
    <row r="96" spans="1:8" x14ac:dyDescent="0.3">
      <c r="A96" s="13">
        <v>31032</v>
      </c>
      <c r="B96" s="14" t="s">
        <v>10804</v>
      </c>
      <c r="C96" s="15"/>
      <c r="D96" s="15"/>
      <c r="E96" s="15"/>
      <c r="F96" s="15"/>
      <c r="G96" s="15"/>
      <c r="H96" s="16"/>
    </row>
    <row r="97" spans="1:8" x14ac:dyDescent="0.3">
      <c r="A97" s="13" t="s">
        <v>10805</v>
      </c>
      <c r="B97" s="14" t="s">
        <v>19714</v>
      </c>
      <c r="C97" s="15" t="s">
        <v>10806</v>
      </c>
      <c r="D97" s="15"/>
      <c r="E97" s="15" t="s">
        <v>10807</v>
      </c>
      <c r="F97" s="15" t="s">
        <v>10808</v>
      </c>
      <c r="G97" s="15" t="s">
        <v>10809</v>
      </c>
      <c r="H97" s="16" t="s">
        <v>10810</v>
      </c>
    </row>
    <row r="98" spans="1:8" ht="22.5" x14ac:dyDescent="0.3">
      <c r="A98" s="13" t="s">
        <v>10811</v>
      </c>
      <c r="B98" s="14" t="s">
        <v>19715</v>
      </c>
      <c r="C98" s="15" t="s">
        <v>10812</v>
      </c>
      <c r="D98" s="15" t="s">
        <v>4147</v>
      </c>
      <c r="E98" s="15" t="s">
        <v>4147</v>
      </c>
      <c r="F98" s="15" t="s">
        <v>10813</v>
      </c>
      <c r="G98" s="15" t="s">
        <v>4147</v>
      </c>
      <c r="H98" s="16" t="s">
        <v>10814</v>
      </c>
    </row>
    <row r="99" spans="1:8" x14ac:dyDescent="0.3">
      <c r="A99" s="13">
        <v>31033</v>
      </c>
      <c r="B99" s="14" t="s">
        <v>10815</v>
      </c>
      <c r="C99" s="15"/>
      <c r="D99" s="15"/>
      <c r="E99" s="15"/>
      <c r="F99" s="15"/>
      <c r="G99" s="15"/>
      <c r="H99" s="16"/>
    </row>
    <row r="100" spans="1:8" ht="33.75" x14ac:dyDescent="0.3">
      <c r="A100" s="13" t="s">
        <v>10816</v>
      </c>
      <c r="B100" s="14" t="s">
        <v>19714</v>
      </c>
      <c r="C100" s="15" t="s">
        <v>10817</v>
      </c>
      <c r="D100" s="15" t="s">
        <v>10818</v>
      </c>
      <c r="E100" s="15" t="s">
        <v>10819</v>
      </c>
      <c r="F100" s="15" t="s">
        <v>10820</v>
      </c>
      <c r="G100" s="15" t="s">
        <v>10488</v>
      </c>
      <c r="H100" s="16" t="s">
        <v>10821</v>
      </c>
    </row>
    <row r="101" spans="1:8" ht="22.5" x14ac:dyDescent="0.3">
      <c r="A101" s="13" t="s">
        <v>10822</v>
      </c>
      <c r="B101" s="14" t="s">
        <v>19715</v>
      </c>
      <c r="C101" s="15" t="s">
        <v>10823</v>
      </c>
      <c r="D101" s="15" t="s">
        <v>10824</v>
      </c>
      <c r="E101" s="15" t="s">
        <v>10825</v>
      </c>
      <c r="F101" s="15" t="s">
        <v>10826</v>
      </c>
      <c r="G101" s="15" t="s">
        <v>10827</v>
      </c>
      <c r="H101" s="16" t="s">
        <v>10828</v>
      </c>
    </row>
    <row r="102" spans="1:8" x14ac:dyDescent="0.3">
      <c r="A102" s="13">
        <v>31034</v>
      </c>
      <c r="B102" s="14" t="s">
        <v>10829</v>
      </c>
      <c r="C102" s="15"/>
      <c r="D102" s="15"/>
      <c r="E102" s="15"/>
      <c r="F102" s="15"/>
      <c r="G102" s="15"/>
      <c r="H102" s="16"/>
    </row>
    <row r="103" spans="1:8" ht="45" x14ac:dyDescent="0.3">
      <c r="A103" s="13" t="s">
        <v>10830</v>
      </c>
      <c r="B103" s="14" t="s">
        <v>19714</v>
      </c>
      <c r="C103" s="15" t="s">
        <v>10831</v>
      </c>
      <c r="D103" s="15" t="s">
        <v>10832</v>
      </c>
      <c r="E103" s="15" t="s">
        <v>10833</v>
      </c>
      <c r="F103" s="15" t="s">
        <v>10834</v>
      </c>
      <c r="G103" s="15" t="s">
        <v>10835</v>
      </c>
      <c r="H103" s="16" t="s">
        <v>10836</v>
      </c>
    </row>
    <row r="104" spans="1:8" ht="33.75" x14ac:dyDescent="0.3">
      <c r="A104" s="13" t="s">
        <v>10837</v>
      </c>
      <c r="B104" s="14" t="s">
        <v>19715</v>
      </c>
      <c r="C104" s="15" t="s">
        <v>10838</v>
      </c>
      <c r="D104" s="15" t="s">
        <v>10839</v>
      </c>
      <c r="E104" s="15" t="s">
        <v>4154</v>
      </c>
      <c r="F104" s="15" t="s">
        <v>10840</v>
      </c>
      <c r="G104" s="15" t="s">
        <v>10841</v>
      </c>
      <c r="H104" s="16" t="s">
        <v>10842</v>
      </c>
    </row>
    <row r="105" spans="1:8" x14ac:dyDescent="0.3">
      <c r="A105" s="13">
        <v>31035</v>
      </c>
      <c r="B105" s="14" t="s">
        <v>10843</v>
      </c>
      <c r="C105" s="15"/>
      <c r="D105" s="15"/>
      <c r="E105" s="15"/>
      <c r="F105" s="15"/>
      <c r="G105" s="15"/>
      <c r="H105" s="16"/>
    </row>
    <row r="106" spans="1:8" ht="22.5" x14ac:dyDescent="0.3">
      <c r="A106" s="13" t="s">
        <v>10844</v>
      </c>
      <c r="B106" s="14" t="s">
        <v>19714</v>
      </c>
      <c r="C106" s="15" t="s">
        <v>10845</v>
      </c>
      <c r="D106" s="15" t="s">
        <v>10846</v>
      </c>
      <c r="E106" s="15" t="s">
        <v>10847</v>
      </c>
      <c r="F106" s="15" t="s">
        <v>10848</v>
      </c>
      <c r="G106" s="15"/>
      <c r="H106" s="16" t="s">
        <v>10849</v>
      </c>
    </row>
    <row r="107" spans="1:8" ht="33.75" x14ac:dyDescent="0.3">
      <c r="A107" s="13" t="s">
        <v>10850</v>
      </c>
      <c r="B107" s="14" t="s">
        <v>19715</v>
      </c>
      <c r="C107" s="15" t="s">
        <v>10851</v>
      </c>
      <c r="D107" s="15"/>
      <c r="E107" s="15"/>
      <c r="F107" s="15" t="s">
        <v>10852</v>
      </c>
      <c r="G107" s="15" t="s">
        <v>10853</v>
      </c>
      <c r="H107" s="16" t="s">
        <v>10854</v>
      </c>
    </row>
    <row r="108" spans="1:8" ht="45" x14ac:dyDescent="0.3">
      <c r="A108" s="13" t="s">
        <v>10855</v>
      </c>
      <c r="B108" s="14" t="s">
        <v>19716</v>
      </c>
      <c r="C108" s="15" t="s">
        <v>10856</v>
      </c>
      <c r="D108" s="15" t="s">
        <v>10857</v>
      </c>
      <c r="E108" s="15"/>
      <c r="F108" s="15" t="s">
        <v>57</v>
      </c>
      <c r="G108" s="15" t="s">
        <v>10858</v>
      </c>
      <c r="H108" s="16"/>
    </row>
    <row r="109" spans="1:8" x14ac:dyDescent="0.3">
      <c r="A109" s="13">
        <v>31036</v>
      </c>
      <c r="B109" s="14" t="s">
        <v>10859</v>
      </c>
      <c r="C109" s="15"/>
      <c r="D109" s="15"/>
      <c r="E109" s="15"/>
      <c r="F109" s="15"/>
      <c r="G109" s="15"/>
      <c r="H109" s="16"/>
    </row>
    <row r="110" spans="1:8" ht="33.75" x14ac:dyDescent="0.3">
      <c r="A110" s="13" t="s">
        <v>10860</v>
      </c>
      <c r="B110" s="14" t="s">
        <v>19714</v>
      </c>
      <c r="C110" s="15" t="s">
        <v>10861</v>
      </c>
      <c r="D110" s="15" t="s">
        <v>10862</v>
      </c>
      <c r="E110" s="15" t="s">
        <v>10863</v>
      </c>
      <c r="F110" s="15" t="s">
        <v>57</v>
      </c>
      <c r="G110" s="15" t="s">
        <v>10864</v>
      </c>
      <c r="H110" s="16" t="s">
        <v>10865</v>
      </c>
    </row>
    <row r="111" spans="1:8" ht="22.5" x14ac:dyDescent="0.3">
      <c r="A111" s="13" t="s">
        <v>10866</v>
      </c>
      <c r="B111" s="14" t="s">
        <v>19715</v>
      </c>
      <c r="C111" s="15" t="s">
        <v>10867</v>
      </c>
      <c r="D111" s="15"/>
      <c r="E111" s="15" t="s">
        <v>10868</v>
      </c>
      <c r="F111" s="15" t="s">
        <v>10869</v>
      </c>
      <c r="G111" s="15" t="s">
        <v>10870</v>
      </c>
      <c r="H111" s="16" t="s">
        <v>10871</v>
      </c>
    </row>
    <row r="112" spans="1:8" ht="22.5" x14ac:dyDescent="0.3">
      <c r="A112" s="13" t="s">
        <v>10872</v>
      </c>
      <c r="B112" s="14" t="s">
        <v>19716</v>
      </c>
      <c r="C112" s="15" t="s">
        <v>10873</v>
      </c>
      <c r="D112" s="15"/>
      <c r="E112" s="15" t="s">
        <v>10874</v>
      </c>
      <c r="F112" s="15" t="s">
        <v>57</v>
      </c>
      <c r="G112" s="15" t="s">
        <v>10875</v>
      </c>
      <c r="H112" s="16" t="s">
        <v>10876</v>
      </c>
    </row>
    <row r="113" spans="1:8" x14ac:dyDescent="0.3">
      <c r="A113" s="13">
        <v>31037</v>
      </c>
      <c r="B113" s="14" t="s">
        <v>10877</v>
      </c>
      <c r="C113" s="15"/>
      <c r="D113" s="15"/>
      <c r="E113" s="15"/>
      <c r="F113" s="15"/>
      <c r="G113" s="15"/>
      <c r="H113" s="16"/>
    </row>
    <row r="114" spans="1:8" ht="33.75" x14ac:dyDescent="0.3">
      <c r="A114" s="13" t="s">
        <v>10878</v>
      </c>
      <c r="B114" s="14" t="s">
        <v>19714</v>
      </c>
      <c r="C114" s="15" t="s">
        <v>10879</v>
      </c>
      <c r="D114" s="15" t="s">
        <v>10880</v>
      </c>
      <c r="E114" s="15" t="s">
        <v>10881</v>
      </c>
      <c r="F114" s="15" t="s">
        <v>10882</v>
      </c>
      <c r="G114" s="15" t="s">
        <v>10883</v>
      </c>
      <c r="H114" s="16" t="s">
        <v>10884</v>
      </c>
    </row>
    <row r="115" spans="1:8" ht="22.5" x14ac:dyDescent="0.3">
      <c r="A115" s="13" t="s">
        <v>10885</v>
      </c>
      <c r="B115" s="14" t="s">
        <v>19715</v>
      </c>
      <c r="C115" s="15" t="s">
        <v>10886</v>
      </c>
      <c r="D115" s="15"/>
      <c r="E115" s="15" t="s">
        <v>10887</v>
      </c>
      <c r="F115" s="15" t="s">
        <v>57</v>
      </c>
      <c r="G115" s="15" t="s">
        <v>10888</v>
      </c>
      <c r="H115" s="16" t="s">
        <v>10889</v>
      </c>
    </row>
    <row r="116" spans="1:8" x14ac:dyDescent="0.3">
      <c r="A116" s="13" t="s">
        <v>10890</v>
      </c>
      <c r="B116" s="14" t="s">
        <v>19716</v>
      </c>
      <c r="C116" s="15" t="s">
        <v>10891</v>
      </c>
      <c r="D116" s="15"/>
      <c r="E116" s="15" t="s">
        <v>10892</v>
      </c>
      <c r="F116" s="15" t="s">
        <v>57</v>
      </c>
      <c r="G116" s="15" t="s">
        <v>10893</v>
      </c>
      <c r="H116" s="16" t="s">
        <v>10894</v>
      </c>
    </row>
    <row r="117" spans="1:8" x14ac:dyDescent="0.3">
      <c r="A117" s="13">
        <v>31038</v>
      </c>
      <c r="B117" s="14" t="s">
        <v>10895</v>
      </c>
      <c r="C117" s="15"/>
      <c r="D117" s="15"/>
      <c r="E117" s="15"/>
      <c r="F117" s="15"/>
      <c r="G117" s="15"/>
      <c r="H117" s="16"/>
    </row>
    <row r="118" spans="1:8" x14ac:dyDescent="0.3">
      <c r="A118" s="13" t="s">
        <v>10896</v>
      </c>
      <c r="B118" s="14" t="s">
        <v>19714</v>
      </c>
      <c r="C118" s="15" t="s">
        <v>10897</v>
      </c>
      <c r="D118" s="15" t="s">
        <v>10898</v>
      </c>
      <c r="E118" s="15" t="s">
        <v>10899</v>
      </c>
      <c r="F118" s="15" t="s">
        <v>57</v>
      </c>
      <c r="G118" s="15" t="s">
        <v>10900</v>
      </c>
      <c r="H118" s="16" t="s">
        <v>10901</v>
      </c>
    </row>
    <row r="119" spans="1:8" ht="22.5" x14ac:dyDescent="0.3">
      <c r="A119" s="13" t="s">
        <v>10902</v>
      </c>
      <c r="B119" s="14" t="s">
        <v>19715</v>
      </c>
      <c r="C119" s="15" t="s">
        <v>10903</v>
      </c>
      <c r="D119" s="15"/>
      <c r="E119" s="15" t="s">
        <v>10904</v>
      </c>
      <c r="F119" s="15" t="s">
        <v>57</v>
      </c>
      <c r="G119" s="15" t="s">
        <v>10905</v>
      </c>
      <c r="H119" s="16" t="s">
        <v>10906</v>
      </c>
    </row>
    <row r="120" spans="1:8" ht="78.75" x14ac:dyDescent="0.3">
      <c r="A120" s="13" t="s">
        <v>10907</v>
      </c>
      <c r="B120" s="14" t="s">
        <v>19716</v>
      </c>
      <c r="C120" s="15" t="s">
        <v>10908</v>
      </c>
      <c r="D120" s="15" t="s">
        <v>10909</v>
      </c>
      <c r="E120" s="15" t="s">
        <v>10910</v>
      </c>
      <c r="F120" s="15" t="s">
        <v>10906</v>
      </c>
      <c r="G120" s="15" t="s">
        <v>10911</v>
      </c>
      <c r="H120" s="16" t="s">
        <v>10912</v>
      </c>
    </row>
    <row r="121" spans="1:8" x14ac:dyDescent="0.3">
      <c r="A121" s="13">
        <v>31039</v>
      </c>
      <c r="B121" s="14" t="s">
        <v>10913</v>
      </c>
      <c r="C121" s="15"/>
      <c r="D121" s="15"/>
      <c r="E121" s="15"/>
      <c r="F121" s="15"/>
      <c r="G121" s="15"/>
      <c r="H121" s="16"/>
    </row>
    <row r="122" spans="1:8" ht="22.5" x14ac:dyDescent="0.3">
      <c r="A122" s="13" t="s">
        <v>10914</v>
      </c>
      <c r="B122" s="14" t="s">
        <v>19714</v>
      </c>
      <c r="C122" s="15" t="s">
        <v>10915</v>
      </c>
      <c r="D122" s="15" t="s">
        <v>10916</v>
      </c>
      <c r="E122" s="15"/>
      <c r="F122" s="15" t="s">
        <v>57</v>
      </c>
      <c r="G122" s="15" t="s">
        <v>10917</v>
      </c>
      <c r="H122" s="16" t="s">
        <v>10918</v>
      </c>
    </row>
    <row r="123" spans="1:8" x14ac:dyDescent="0.3">
      <c r="A123" s="13" t="s">
        <v>10919</v>
      </c>
      <c r="B123" s="14" t="s">
        <v>19715</v>
      </c>
      <c r="C123" s="15" t="s">
        <v>10920</v>
      </c>
      <c r="D123" s="15"/>
      <c r="E123" s="15" t="s">
        <v>10921</v>
      </c>
      <c r="F123" s="15" t="s">
        <v>10922</v>
      </c>
      <c r="G123" s="15" t="s">
        <v>10923</v>
      </c>
      <c r="H123" s="16" t="s">
        <v>10924</v>
      </c>
    </row>
    <row r="124" spans="1:8" ht="22.5" x14ac:dyDescent="0.3">
      <c r="A124" s="13" t="s">
        <v>10925</v>
      </c>
      <c r="B124" s="14" t="s">
        <v>19716</v>
      </c>
      <c r="C124" s="15" t="s">
        <v>10926</v>
      </c>
      <c r="D124" s="15" t="s">
        <v>10927</v>
      </c>
      <c r="E124" s="15" t="s">
        <v>10928</v>
      </c>
      <c r="F124" s="15" t="s">
        <v>10929</v>
      </c>
      <c r="G124" s="15" t="s">
        <v>10930</v>
      </c>
      <c r="H124" s="16" t="s">
        <v>10931</v>
      </c>
    </row>
    <row r="125" spans="1:8" x14ac:dyDescent="0.3">
      <c r="A125" s="13">
        <v>31040</v>
      </c>
      <c r="B125" s="14" t="s">
        <v>10932</v>
      </c>
      <c r="C125" s="15"/>
      <c r="D125" s="15"/>
      <c r="E125" s="15"/>
      <c r="F125" s="15"/>
      <c r="G125" s="15"/>
      <c r="H125" s="16"/>
    </row>
    <row r="126" spans="1:8" ht="22.5" x14ac:dyDescent="0.3">
      <c r="A126" s="13" t="s">
        <v>10933</v>
      </c>
      <c r="B126" s="14" t="s">
        <v>19714</v>
      </c>
      <c r="C126" s="15" t="s">
        <v>10934</v>
      </c>
      <c r="D126" s="15" t="s">
        <v>10935</v>
      </c>
      <c r="E126" s="15" t="s">
        <v>10936</v>
      </c>
      <c r="F126" s="15" t="s">
        <v>10937</v>
      </c>
      <c r="G126" s="15" t="s">
        <v>10938</v>
      </c>
      <c r="H126" s="16" t="s">
        <v>10939</v>
      </c>
    </row>
    <row r="127" spans="1:8" ht="33.75" x14ac:dyDescent="0.3">
      <c r="A127" s="13" t="s">
        <v>10940</v>
      </c>
      <c r="B127" s="14" t="s">
        <v>19715</v>
      </c>
      <c r="C127" s="15" t="s">
        <v>10941</v>
      </c>
      <c r="D127" s="15"/>
      <c r="E127" s="15" t="s">
        <v>10942</v>
      </c>
      <c r="F127" s="15" t="s">
        <v>10943</v>
      </c>
      <c r="G127" s="15" t="s">
        <v>10944</v>
      </c>
      <c r="H127" s="16" t="s">
        <v>10945</v>
      </c>
    </row>
    <row r="128" spans="1:8" x14ac:dyDescent="0.3">
      <c r="A128" s="13" t="s">
        <v>10946</v>
      </c>
      <c r="B128" s="14" t="s">
        <v>19716</v>
      </c>
      <c r="C128" s="15" t="s">
        <v>10947</v>
      </c>
      <c r="D128" s="15"/>
      <c r="E128" s="15"/>
      <c r="F128" s="15" t="s">
        <v>57</v>
      </c>
      <c r="G128" s="15" t="s">
        <v>10948</v>
      </c>
      <c r="H128" s="16" t="s">
        <v>10949</v>
      </c>
    </row>
    <row r="129" spans="1:8" x14ac:dyDescent="0.3">
      <c r="A129" s="13">
        <v>31041</v>
      </c>
      <c r="B129" s="14" t="s">
        <v>10950</v>
      </c>
      <c r="C129" s="15"/>
      <c r="D129" s="15"/>
      <c r="E129" s="15"/>
      <c r="F129" s="15"/>
      <c r="G129" s="15"/>
      <c r="H129" s="16"/>
    </row>
    <row r="130" spans="1:8" ht="22.5" x14ac:dyDescent="0.3">
      <c r="A130" s="13" t="s">
        <v>10951</v>
      </c>
      <c r="B130" s="14" t="s">
        <v>19714</v>
      </c>
      <c r="C130" s="15" t="s">
        <v>10952</v>
      </c>
      <c r="D130" s="15" t="s">
        <v>10953</v>
      </c>
      <c r="E130" s="15" t="s">
        <v>10954</v>
      </c>
      <c r="F130" s="15" t="s">
        <v>57</v>
      </c>
      <c r="G130" s="15" t="s">
        <v>10955</v>
      </c>
      <c r="H130" s="16" t="s">
        <v>10956</v>
      </c>
    </row>
    <row r="131" spans="1:8" ht="22.5" x14ac:dyDescent="0.3">
      <c r="A131" s="13" t="s">
        <v>10957</v>
      </c>
      <c r="B131" s="14" t="s">
        <v>19715</v>
      </c>
      <c r="C131" s="15" t="s">
        <v>10958</v>
      </c>
      <c r="D131" s="15"/>
      <c r="E131" s="15" t="s">
        <v>10959</v>
      </c>
      <c r="F131" s="15" t="s">
        <v>10960</v>
      </c>
      <c r="G131" s="15" t="s">
        <v>10961</v>
      </c>
      <c r="H131" s="16" t="s">
        <v>10962</v>
      </c>
    </row>
    <row r="132" spans="1:8" ht="22.5" x14ac:dyDescent="0.3">
      <c r="A132" s="13" t="s">
        <v>10963</v>
      </c>
      <c r="B132" s="14" t="s">
        <v>19716</v>
      </c>
      <c r="C132" s="15" t="s">
        <v>10964</v>
      </c>
      <c r="D132" s="15" t="s">
        <v>10965</v>
      </c>
      <c r="E132" s="15"/>
      <c r="F132" s="15" t="s">
        <v>10966</v>
      </c>
      <c r="G132" s="15" t="s">
        <v>10967</v>
      </c>
      <c r="H132" s="16" t="s">
        <v>10968</v>
      </c>
    </row>
    <row r="133" spans="1:8" x14ac:dyDescent="0.3">
      <c r="A133" s="13">
        <v>31042</v>
      </c>
      <c r="B133" s="14" t="s">
        <v>10969</v>
      </c>
      <c r="C133" s="15"/>
      <c r="D133" s="15"/>
      <c r="E133" s="15"/>
      <c r="F133" s="15"/>
      <c r="G133" s="15"/>
      <c r="H133" s="16"/>
    </row>
    <row r="134" spans="1:8" ht="22.5" x14ac:dyDescent="0.3">
      <c r="A134" s="13" t="s">
        <v>10970</v>
      </c>
      <c r="B134" s="14" t="s">
        <v>19714</v>
      </c>
      <c r="C134" s="15" t="s">
        <v>10971</v>
      </c>
      <c r="D134" s="15" t="s">
        <v>10972</v>
      </c>
      <c r="E134" s="15" t="s">
        <v>10973</v>
      </c>
      <c r="F134" s="15" t="s">
        <v>10974</v>
      </c>
      <c r="G134" s="15" t="s">
        <v>10975</v>
      </c>
      <c r="H134" s="16" t="s">
        <v>10976</v>
      </c>
    </row>
    <row r="135" spans="1:8" ht="33.75" x14ac:dyDescent="0.3">
      <c r="A135" s="13" t="s">
        <v>10977</v>
      </c>
      <c r="B135" s="14" t="s">
        <v>19715</v>
      </c>
      <c r="C135" s="15" t="s">
        <v>10978</v>
      </c>
      <c r="D135" s="15" t="s">
        <v>10979</v>
      </c>
      <c r="E135" s="15" t="s">
        <v>10980</v>
      </c>
      <c r="F135" s="15" t="s">
        <v>10972</v>
      </c>
      <c r="G135" s="15" t="s">
        <v>10981</v>
      </c>
      <c r="H135" s="16" t="s">
        <v>10982</v>
      </c>
    </row>
    <row r="136" spans="1:8" ht="22.5" x14ac:dyDescent="0.3">
      <c r="A136" s="13" t="s">
        <v>10983</v>
      </c>
      <c r="B136" s="14" t="s">
        <v>19716</v>
      </c>
      <c r="C136" s="15" t="s">
        <v>10984</v>
      </c>
      <c r="D136" s="15"/>
      <c r="E136" s="15"/>
      <c r="F136" s="15"/>
      <c r="G136" s="15" t="s">
        <v>10985</v>
      </c>
      <c r="H136" s="16" t="s">
        <v>10986</v>
      </c>
    </row>
    <row r="137" spans="1:8" x14ac:dyDescent="0.3">
      <c r="A137" s="13">
        <v>31043</v>
      </c>
      <c r="B137" s="14" t="s">
        <v>10987</v>
      </c>
      <c r="C137" s="15"/>
      <c r="D137" s="15"/>
      <c r="E137" s="15"/>
      <c r="F137" s="15"/>
      <c r="G137" s="15"/>
      <c r="H137" s="16"/>
    </row>
    <row r="138" spans="1:8" ht="33.75" x14ac:dyDescent="0.3">
      <c r="A138" s="13" t="s">
        <v>10988</v>
      </c>
      <c r="B138" s="14" t="s">
        <v>19714</v>
      </c>
      <c r="C138" s="15" t="s">
        <v>10989</v>
      </c>
      <c r="D138" s="15"/>
      <c r="E138" s="15" t="s">
        <v>10990</v>
      </c>
      <c r="F138" s="15" t="s">
        <v>10991</v>
      </c>
      <c r="G138" s="15" t="s">
        <v>10992</v>
      </c>
      <c r="H138" s="16" t="s">
        <v>10993</v>
      </c>
    </row>
    <row r="139" spans="1:8" ht="22.5" x14ac:dyDescent="0.3">
      <c r="A139" s="13" t="s">
        <v>10994</v>
      </c>
      <c r="B139" s="14" t="s">
        <v>19715</v>
      </c>
      <c r="C139" s="15" t="s">
        <v>10995</v>
      </c>
      <c r="D139" s="15"/>
      <c r="E139" s="15"/>
      <c r="F139" s="15" t="s">
        <v>57</v>
      </c>
      <c r="G139" s="15" t="s">
        <v>10996</v>
      </c>
      <c r="H139" s="16"/>
    </row>
    <row r="140" spans="1:8" ht="22.5" x14ac:dyDescent="0.3">
      <c r="A140" s="13" t="s">
        <v>10997</v>
      </c>
      <c r="B140" s="14" t="s">
        <v>19716</v>
      </c>
      <c r="C140" s="15"/>
      <c r="D140" s="15" t="s">
        <v>10998</v>
      </c>
      <c r="E140" s="15"/>
      <c r="F140" s="15" t="s">
        <v>57</v>
      </c>
      <c r="G140" s="15" t="s">
        <v>10999</v>
      </c>
      <c r="H140" s="16"/>
    </row>
    <row r="141" spans="1:8" x14ac:dyDescent="0.3">
      <c r="A141" s="13">
        <v>31044</v>
      </c>
      <c r="B141" s="14" t="s">
        <v>11000</v>
      </c>
      <c r="C141" s="15"/>
      <c r="D141" s="15"/>
      <c r="E141" s="15"/>
      <c r="F141" s="15"/>
      <c r="G141" s="15"/>
      <c r="H141" s="16"/>
    </row>
    <row r="142" spans="1:8" ht="22.5" x14ac:dyDescent="0.3">
      <c r="A142" s="13" t="s">
        <v>11001</v>
      </c>
      <c r="B142" s="14" t="s">
        <v>19714</v>
      </c>
      <c r="C142" s="15" t="s">
        <v>11002</v>
      </c>
      <c r="D142" s="15"/>
      <c r="E142" s="15" t="s">
        <v>11003</v>
      </c>
      <c r="F142" s="15" t="s">
        <v>11004</v>
      </c>
      <c r="G142" s="15" t="s">
        <v>11005</v>
      </c>
      <c r="H142" s="16" t="s">
        <v>11006</v>
      </c>
    </row>
    <row r="143" spans="1:8" ht="22.5" x14ac:dyDescent="0.3">
      <c r="A143" s="13" t="s">
        <v>11007</v>
      </c>
      <c r="B143" s="14" t="s">
        <v>19715</v>
      </c>
      <c r="C143" s="15" t="s">
        <v>11008</v>
      </c>
      <c r="D143" s="15" t="s">
        <v>11009</v>
      </c>
      <c r="E143" s="15"/>
      <c r="F143" s="15" t="s">
        <v>57</v>
      </c>
      <c r="G143" s="15" t="s">
        <v>11010</v>
      </c>
      <c r="H143" s="16" t="s">
        <v>11011</v>
      </c>
    </row>
    <row r="144" spans="1:8" ht="45" x14ac:dyDescent="0.3">
      <c r="A144" s="13" t="s">
        <v>11012</v>
      </c>
      <c r="B144" s="14" t="s">
        <v>19716</v>
      </c>
      <c r="C144" s="15" t="s">
        <v>11013</v>
      </c>
      <c r="D144" s="15"/>
      <c r="E144" s="15"/>
      <c r="F144" s="15" t="s">
        <v>57</v>
      </c>
      <c r="G144" s="15" t="s">
        <v>11014</v>
      </c>
      <c r="H144" s="16" t="s">
        <v>11015</v>
      </c>
    </row>
    <row r="145" spans="1:8" x14ac:dyDescent="0.3">
      <c r="A145" s="13">
        <v>31045</v>
      </c>
      <c r="B145" s="14" t="s">
        <v>11016</v>
      </c>
      <c r="C145" s="15"/>
      <c r="D145" s="15"/>
      <c r="E145" s="15"/>
      <c r="F145" s="15"/>
      <c r="G145" s="15"/>
      <c r="H145" s="16"/>
    </row>
    <row r="146" spans="1:8" x14ac:dyDescent="0.3">
      <c r="A146" s="13" t="s">
        <v>11017</v>
      </c>
      <c r="B146" s="14" t="s">
        <v>19714</v>
      </c>
      <c r="C146" s="15" t="s">
        <v>11018</v>
      </c>
      <c r="D146" s="15"/>
      <c r="E146" s="15" t="s">
        <v>11019</v>
      </c>
      <c r="F146" s="15"/>
      <c r="G146" s="15" t="s">
        <v>11020</v>
      </c>
      <c r="H146" s="16" t="s">
        <v>11021</v>
      </c>
    </row>
    <row r="147" spans="1:8" ht="33.75" x14ac:dyDescent="0.3">
      <c r="A147" s="13" t="s">
        <v>11022</v>
      </c>
      <c r="B147" s="14" t="s">
        <v>19715</v>
      </c>
      <c r="C147" s="15" t="s">
        <v>11023</v>
      </c>
      <c r="D147" s="15"/>
      <c r="E147" s="15"/>
      <c r="F147" s="15" t="s">
        <v>11024</v>
      </c>
      <c r="G147" s="15" t="s">
        <v>11025</v>
      </c>
      <c r="H147" s="16" t="s">
        <v>11026</v>
      </c>
    </row>
    <row r="148" spans="1:8" x14ac:dyDescent="0.3">
      <c r="A148" s="13" t="s">
        <v>11027</v>
      </c>
      <c r="B148" s="14" t="s">
        <v>19716</v>
      </c>
      <c r="C148" s="15" t="s">
        <v>11028</v>
      </c>
      <c r="D148" s="15"/>
      <c r="E148" s="15"/>
      <c r="F148" s="15" t="s">
        <v>57</v>
      </c>
      <c r="G148" s="15" t="s">
        <v>11029</v>
      </c>
      <c r="H148" s="16"/>
    </row>
    <row r="149" spans="1:8" x14ac:dyDescent="0.3">
      <c r="A149" s="13">
        <v>31046</v>
      </c>
      <c r="B149" s="14" t="s">
        <v>11030</v>
      </c>
      <c r="C149" s="15"/>
      <c r="D149" s="15"/>
      <c r="E149" s="15"/>
      <c r="F149" s="15"/>
      <c r="G149" s="15"/>
      <c r="H149" s="16"/>
    </row>
    <row r="150" spans="1:8" ht="45" x14ac:dyDescent="0.3">
      <c r="A150" s="13" t="s">
        <v>11031</v>
      </c>
      <c r="B150" s="14" t="s">
        <v>19714</v>
      </c>
      <c r="C150" s="15" t="s">
        <v>11032</v>
      </c>
      <c r="D150" s="15" t="s">
        <v>11033</v>
      </c>
      <c r="E150" s="15" t="s">
        <v>11034</v>
      </c>
      <c r="F150" s="15" t="s">
        <v>11035</v>
      </c>
      <c r="G150" s="15" t="s">
        <v>11036</v>
      </c>
      <c r="H150" s="16" t="s">
        <v>11037</v>
      </c>
    </row>
    <row r="151" spans="1:8" ht="22.5" x14ac:dyDescent="0.3">
      <c r="A151" s="13" t="s">
        <v>11038</v>
      </c>
      <c r="B151" s="14" t="s">
        <v>19715</v>
      </c>
      <c r="C151" s="15" t="s">
        <v>11039</v>
      </c>
      <c r="D151" s="15" t="s">
        <v>11040</v>
      </c>
      <c r="E151" s="15"/>
      <c r="F151" s="15" t="s">
        <v>11041</v>
      </c>
      <c r="G151" s="15" t="s">
        <v>11042</v>
      </c>
      <c r="H151" s="16" t="s">
        <v>11043</v>
      </c>
    </row>
    <row r="152" spans="1:8" ht="33.75" x14ac:dyDescent="0.3">
      <c r="A152" s="13" t="s">
        <v>11044</v>
      </c>
      <c r="B152" s="14" t="s">
        <v>19716</v>
      </c>
      <c r="C152" s="15" t="s">
        <v>11045</v>
      </c>
      <c r="D152" s="15"/>
      <c r="E152" s="15" t="s">
        <v>11046</v>
      </c>
      <c r="F152" s="15" t="s">
        <v>57</v>
      </c>
      <c r="G152" s="15" t="s">
        <v>11047</v>
      </c>
      <c r="H152" s="16" t="s">
        <v>11048</v>
      </c>
    </row>
    <row r="153" spans="1:8" x14ac:dyDescent="0.3">
      <c r="A153" s="13">
        <v>31047</v>
      </c>
      <c r="B153" s="14" t="s">
        <v>11049</v>
      </c>
      <c r="C153" s="15"/>
      <c r="D153" s="15"/>
      <c r="E153" s="15"/>
      <c r="F153" s="15"/>
      <c r="G153" s="15"/>
      <c r="H153" s="16"/>
    </row>
    <row r="154" spans="1:8" ht="22.5" x14ac:dyDescent="0.3">
      <c r="A154" s="13" t="s">
        <v>11050</v>
      </c>
      <c r="B154" s="14" t="s">
        <v>19714</v>
      </c>
      <c r="C154" s="15" t="s">
        <v>11051</v>
      </c>
      <c r="D154" s="15"/>
      <c r="E154" s="15" t="s">
        <v>11052</v>
      </c>
      <c r="F154" s="15" t="s">
        <v>57</v>
      </c>
      <c r="G154" s="15" t="s">
        <v>11053</v>
      </c>
      <c r="H154" s="16" t="s">
        <v>11054</v>
      </c>
    </row>
    <row r="155" spans="1:8" ht="22.5" x14ac:dyDescent="0.3">
      <c r="A155" s="13" t="s">
        <v>11055</v>
      </c>
      <c r="B155" s="14" t="s">
        <v>19715</v>
      </c>
      <c r="C155" s="15" t="s">
        <v>11056</v>
      </c>
      <c r="D155" s="15"/>
      <c r="E155" s="15"/>
      <c r="F155" s="15" t="s">
        <v>11057</v>
      </c>
      <c r="G155" s="15" t="s">
        <v>11058</v>
      </c>
      <c r="H155" s="16" t="s">
        <v>11059</v>
      </c>
    </row>
    <row r="156" spans="1:8" ht="45" x14ac:dyDescent="0.3">
      <c r="A156" s="13" t="s">
        <v>11060</v>
      </c>
      <c r="B156" s="14" t="s">
        <v>19716</v>
      </c>
      <c r="C156" s="15" t="s">
        <v>11061</v>
      </c>
      <c r="D156" s="15"/>
      <c r="E156" s="15"/>
      <c r="F156" s="15" t="s">
        <v>57</v>
      </c>
      <c r="G156" s="15" t="s">
        <v>11062</v>
      </c>
      <c r="H156" s="16" t="s">
        <v>11063</v>
      </c>
    </row>
    <row r="157" spans="1:8" x14ac:dyDescent="0.3">
      <c r="A157" s="13">
        <v>31048</v>
      </c>
      <c r="B157" s="14" t="s">
        <v>11064</v>
      </c>
      <c r="C157" s="15"/>
      <c r="D157" s="15"/>
      <c r="E157" s="15"/>
      <c r="F157" s="15"/>
      <c r="G157" s="15"/>
      <c r="H157" s="16"/>
    </row>
    <row r="158" spans="1:8" ht="22.5" x14ac:dyDescent="0.3">
      <c r="A158" s="13" t="s">
        <v>11065</v>
      </c>
      <c r="B158" s="14" t="s">
        <v>19714</v>
      </c>
      <c r="C158" s="15" t="s">
        <v>11066</v>
      </c>
      <c r="D158" s="15" t="s">
        <v>11067</v>
      </c>
      <c r="E158" s="15" t="s">
        <v>11068</v>
      </c>
      <c r="F158" s="15" t="s">
        <v>57</v>
      </c>
      <c r="G158" s="15" t="s">
        <v>11069</v>
      </c>
      <c r="H158" s="16" t="s">
        <v>11070</v>
      </c>
    </row>
    <row r="159" spans="1:8" ht="33.75" x14ac:dyDescent="0.3">
      <c r="A159" s="13" t="s">
        <v>11071</v>
      </c>
      <c r="B159" s="14" t="s">
        <v>19715</v>
      </c>
      <c r="C159" s="15" t="s">
        <v>11072</v>
      </c>
      <c r="D159" s="15" t="s">
        <v>11073</v>
      </c>
      <c r="E159" s="15" t="s">
        <v>11074</v>
      </c>
      <c r="F159" s="15" t="s">
        <v>11075</v>
      </c>
      <c r="G159" s="15" t="s">
        <v>11076</v>
      </c>
      <c r="H159" s="16" t="s">
        <v>11077</v>
      </c>
    </row>
    <row r="160" spans="1:8" ht="33.75" x14ac:dyDescent="0.3">
      <c r="A160" s="13" t="s">
        <v>11078</v>
      </c>
      <c r="B160" s="14" t="s">
        <v>19716</v>
      </c>
      <c r="C160" s="15" t="s">
        <v>11079</v>
      </c>
      <c r="D160" s="15"/>
      <c r="E160" s="15" t="s">
        <v>11080</v>
      </c>
      <c r="F160" s="15" t="s">
        <v>11081</v>
      </c>
      <c r="G160" s="15" t="s">
        <v>11082</v>
      </c>
      <c r="H160" s="16" t="s">
        <v>11083</v>
      </c>
    </row>
    <row r="161" spans="1:8" ht="22.5" x14ac:dyDescent="0.3">
      <c r="A161" s="13">
        <v>31049</v>
      </c>
      <c r="B161" s="14" t="s">
        <v>11084</v>
      </c>
      <c r="C161" s="15"/>
      <c r="D161" s="15" t="s">
        <v>11085</v>
      </c>
      <c r="E161" s="15"/>
      <c r="F161" s="15"/>
      <c r="G161" s="15"/>
      <c r="H161" s="16"/>
    </row>
    <row r="162" spans="1:8" ht="45" x14ac:dyDescent="0.3">
      <c r="A162" s="13" t="s">
        <v>11086</v>
      </c>
      <c r="B162" s="14" t="s">
        <v>19714</v>
      </c>
      <c r="C162" s="15" t="s">
        <v>11087</v>
      </c>
      <c r="D162" s="15"/>
      <c r="E162" s="15" t="s">
        <v>11088</v>
      </c>
      <c r="F162" s="15" t="s">
        <v>57</v>
      </c>
      <c r="G162" s="15" t="s">
        <v>11089</v>
      </c>
      <c r="H162" s="16" t="s">
        <v>11090</v>
      </c>
    </row>
    <row r="163" spans="1:8" ht="78.75" x14ac:dyDescent="0.3">
      <c r="A163" s="13" t="s">
        <v>11091</v>
      </c>
      <c r="B163" s="14" t="s">
        <v>19715</v>
      </c>
      <c r="C163" s="15" t="s">
        <v>11092</v>
      </c>
      <c r="D163" s="15" t="s">
        <v>11093</v>
      </c>
      <c r="E163" s="15" t="s">
        <v>11094</v>
      </c>
      <c r="F163" s="15" t="s">
        <v>57</v>
      </c>
      <c r="G163" s="15" t="s">
        <v>11095</v>
      </c>
      <c r="H163" s="16" t="s">
        <v>11096</v>
      </c>
    </row>
    <row r="164" spans="1:8" ht="33.75" x14ac:dyDescent="0.3">
      <c r="A164" s="13" t="s">
        <v>11097</v>
      </c>
      <c r="B164" s="14" t="s">
        <v>19716</v>
      </c>
      <c r="C164" s="15" t="s">
        <v>11098</v>
      </c>
      <c r="D164" s="15" t="s">
        <v>11099</v>
      </c>
      <c r="E164" s="15"/>
      <c r="F164" s="15" t="s">
        <v>11100</v>
      </c>
      <c r="G164" s="15" t="s">
        <v>11101</v>
      </c>
      <c r="H164" s="16"/>
    </row>
    <row r="165" spans="1:8" x14ac:dyDescent="0.3">
      <c r="A165" s="13">
        <v>31050</v>
      </c>
      <c r="B165" s="14" t="s">
        <v>11102</v>
      </c>
      <c r="C165" s="15"/>
      <c r="D165" s="15"/>
      <c r="E165" s="15"/>
      <c r="F165" s="15"/>
      <c r="G165" s="15"/>
      <c r="H165" s="16"/>
    </row>
    <row r="166" spans="1:8" ht="22.5" x14ac:dyDescent="0.3">
      <c r="A166" s="13" t="s">
        <v>11103</v>
      </c>
      <c r="B166" s="14" t="s">
        <v>19714</v>
      </c>
      <c r="C166" s="15" t="s">
        <v>11104</v>
      </c>
      <c r="D166" s="15"/>
      <c r="E166" s="15" t="s">
        <v>11105</v>
      </c>
      <c r="F166" s="15" t="s">
        <v>11106</v>
      </c>
      <c r="G166" s="15" t="s">
        <v>11107</v>
      </c>
      <c r="H166" s="16" t="s">
        <v>11108</v>
      </c>
    </row>
    <row r="167" spans="1:8" ht="22.5" x14ac:dyDescent="0.3">
      <c r="A167" s="13" t="s">
        <v>11109</v>
      </c>
      <c r="B167" s="14" t="s">
        <v>19715</v>
      </c>
      <c r="C167" s="15" t="s">
        <v>11110</v>
      </c>
      <c r="D167" s="15" t="s">
        <v>11106</v>
      </c>
      <c r="E167" s="15" t="s">
        <v>11111</v>
      </c>
      <c r="F167" s="15" t="s">
        <v>57</v>
      </c>
      <c r="G167" s="15" t="s">
        <v>11112</v>
      </c>
      <c r="H167" s="16" t="s">
        <v>11113</v>
      </c>
    </row>
    <row r="168" spans="1:8" ht="22.5" x14ac:dyDescent="0.3">
      <c r="A168" s="13" t="s">
        <v>11114</v>
      </c>
      <c r="B168" s="14" t="s">
        <v>19716</v>
      </c>
      <c r="C168" s="15" t="s">
        <v>11115</v>
      </c>
      <c r="D168" s="15"/>
      <c r="E168" s="15" t="s">
        <v>11116</v>
      </c>
      <c r="F168" s="15" t="s">
        <v>11117</v>
      </c>
      <c r="G168" s="15"/>
      <c r="H168" s="16" t="s">
        <v>11118</v>
      </c>
    </row>
    <row r="169" spans="1:8" x14ac:dyDescent="0.3">
      <c r="A169" s="13">
        <v>31051</v>
      </c>
      <c r="B169" s="14" t="s">
        <v>11119</v>
      </c>
      <c r="C169" s="15"/>
      <c r="D169" s="15"/>
      <c r="E169" s="15"/>
      <c r="F169" s="15"/>
      <c r="G169" s="15"/>
      <c r="H169" s="16"/>
    </row>
    <row r="170" spans="1:8" ht="22.5" x14ac:dyDescent="0.3">
      <c r="A170" s="13" t="s">
        <v>11120</v>
      </c>
      <c r="B170" s="14" t="s">
        <v>19714</v>
      </c>
      <c r="C170" s="15" t="s">
        <v>11121</v>
      </c>
      <c r="D170" s="15" t="s">
        <v>11122</v>
      </c>
      <c r="E170" s="15" t="s">
        <v>11123</v>
      </c>
      <c r="F170" s="15" t="s">
        <v>11124</v>
      </c>
      <c r="G170" s="15" t="s">
        <v>11125</v>
      </c>
      <c r="H170" s="16" t="s">
        <v>11126</v>
      </c>
    </row>
    <row r="171" spans="1:8" ht="22.5" x14ac:dyDescent="0.3">
      <c r="A171" s="13" t="s">
        <v>11127</v>
      </c>
      <c r="B171" s="14" t="s">
        <v>19715</v>
      </c>
      <c r="C171" s="15" t="s">
        <v>11128</v>
      </c>
      <c r="D171" s="15"/>
      <c r="E171" s="15" t="s">
        <v>11129</v>
      </c>
      <c r="F171" s="15" t="s">
        <v>11130</v>
      </c>
      <c r="G171" s="15" t="s">
        <v>11131</v>
      </c>
      <c r="H171" s="16" t="s">
        <v>11132</v>
      </c>
    </row>
    <row r="172" spans="1:8" ht="22.5" x14ac:dyDescent="0.3">
      <c r="A172" s="13" t="s">
        <v>11133</v>
      </c>
      <c r="B172" s="14" t="s">
        <v>19716</v>
      </c>
      <c r="C172" s="15" t="s">
        <v>11134</v>
      </c>
      <c r="D172" s="15"/>
      <c r="E172" s="15" t="s">
        <v>11135</v>
      </c>
      <c r="F172" s="15" t="s">
        <v>57</v>
      </c>
      <c r="G172" s="15" t="s">
        <v>11136</v>
      </c>
      <c r="H172" s="16" t="s">
        <v>11137</v>
      </c>
    </row>
    <row r="173" spans="1:8" x14ac:dyDescent="0.3">
      <c r="A173" s="13">
        <v>31052</v>
      </c>
      <c r="B173" s="14" t="s">
        <v>11138</v>
      </c>
      <c r="C173" s="15"/>
      <c r="D173" s="15"/>
      <c r="E173" s="15"/>
      <c r="F173" s="15"/>
      <c r="G173" s="15"/>
      <c r="H173" s="16"/>
    </row>
    <row r="174" spans="1:8" ht="33.75" x14ac:dyDescent="0.3">
      <c r="A174" s="13" t="s">
        <v>11139</v>
      </c>
      <c r="B174" s="14" t="s">
        <v>19714</v>
      </c>
      <c r="C174" s="15" t="s">
        <v>11140</v>
      </c>
      <c r="D174" s="15" t="s">
        <v>11141</v>
      </c>
      <c r="E174" s="15" t="s">
        <v>11142</v>
      </c>
      <c r="F174" s="15" t="s">
        <v>11143</v>
      </c>
      <c r="G174" s="15" t="s">
        <v>11144</v>
      </c>
      <c r="H174" s="16" t="s">
        <v>11145</v>
      </c>
    </row>
    <row r="175" spans="1:8" ht="22.5" x14ac:dyDescent="0.3">
      <c r="A175" s="13" t="s">
        <v>11146</v>
      </c>
      <c r="B175" s="14" t="s">
        <v>19715</v>
      </c>
      <c r="C175" s="15" t="s">
        <v>11147</v>
      </c>
      <c r="D175" s="15" t="s">
        <v>11148</v>
      </c>
      <c r="E175" s="15" t="s">
        <v>11149</v>
      </c>
      <c r="F175" s="15" t="s">
        <v>11150</v>
      </c>
      <c r="G175" s="15" t="s">
        <v>11151</v>
      </c>
      <c r="H175" s="16" t="s">
        <v>11152</v>
      </c>
    </row>
    <row r="176" spans="1:8" ht="22.5" x14ac:dyDescent="0.3">
      <c r="A176" s="13" t="s">
        <v>11153</v>
      </c>
      <c r="B176" s="14" t="s">
        <v>19716</v>
      </c>
      <c r="C176" s="15" t="s">
        <v>11154</v>
      </c>
      <c r="D176" s="15"/>
      <c r="E176" s="15" t="s">
        <v>11155</v>
      </c>
      <c r="F176" s="15" t="s">
        <v>57</v>
      </c>
      <c r="G176" s="15" t="s">
        <v>11156</v>
      </c>
      <c r="H176" s="16" t="s">
        <v>11157</v>
      </c>
    </row>
    <row r="177" spans="1:8" x14ac:dyDescent="0.3">
      <c r="A177" s="13">
        <v>31053</v>
      </c>
      <c r="B177" s="14" t="s">
        <v>11158</v>
      </c>
      <c r="C177" s="15" t="s">
        <v>11159</v>
      </c>
      <c r="D177" s="15"/>
      <c r="E177" s="15"/>
      <c r="F177" s="15"/>
      <c r="G177" s="15"/>
      <c r="H177" s="16"/>
    </row>
    <row r="178" spans="1:8" ht="45" x14ac:dyDescent="0.3">
      <c r="A178" s="13" t="s">
        <v>11160</v>
      </c>
      <c r="B178" s="14" t="s">
        <v>19714</v>
      </c>
      <c r="C178" s="15" t="s">
        <v>11161</v>
      </c>
      <c r="D178" s="15"/>
      <c r="E178" s="15" t="s">
        <v>11162</v>
      </c>
      <c r="F178" s="15" t="s">
        <v>11163</v>
      </c>
      <c r="G178" s="15" t="s">
        <v>11164</v>
      </c>
      <c r="H178" s="16" t="s">
        <v>11165</v>
      </c>
    </row>
    <row r="179" spans="1:8" ht="22.5" x14ac:dyDescent="0.3">
      <c r="A179" s="13" t="s">
        <v>11166</v>
      </c>
      <c r="B179" s="14" t="s">
        <v>19715</v>
      </c>
      <c r="C179" s="15" t="s">
        <v>11167</v>
      </c>
      <c r="D179" s="15"/>
      <c r="E179" s="15" t="s">
        <v>11168</v>
      </c>
      <c r="F179" s="15" t="s">
        <v>11169</v>
      </c>
      <c r="G179" s="15" t="s">
        <v>11170</v>
      </c>
      <c r="H179" s="16" t="s">
        <v>11171</v>
      </c>
    </row>
    <row r="180" spans="1:8" x14ac:dyDescent="0.3">
      <c r="A180" s="13">
        <v>31054</v>
      </c>
      <c r="B180" s="14" t="s">
        <v>11172</v>
      </c>
      <c r="C180" s="15"/>
      <c r="D180" s="15"/>
      <c r="E180" s="15"/>
      <c r="F180" s="15"/>
      <c r="G180" s="15"/>
      <c r="H180" s="16"/>
    </row>
    <row r="181" spans="1:8" ht="45" x14ac:dyDescent="0.3">
      <c r="A181" s="13" t="s">
        <v>11173</v>
      </c>
      <c r="B181" s="14" t="s">
        <v>19714</v>
      </c>
      <c r="C181" s="15" t="s">
        <v>11174</v>
      </c>
      <c r="D181" s="15"/>
      <c r="E181" s="15" t="s">
        <v>11175</v>
      </c>
      <c r="F181" s="15"/>
      <c r="G181" s="15" t="s">
        <v>11175</v>
      </c>
      <c r="H181" s="16" t="s">
        <v>11175</v>
      </c>
    </row>
    <row r="182" spans="1:8" ht="56.25" x14ac:dyDescent="0.3">
      <c r="A182" s="13" t="s">
        <v>11176</v>
      </c>
      <c r="B182" s="14" t="s">
        <v>19715</v>
      </c>
      <c r="C182" s="15" t="s">
        <v>11177</v>
      </c>
      <c r="D182" s="15"/>
      <c r="E182" s="15" t="s">
        <v>11178</v>
      </c>
      <c r="F182" s="15" t="s">
        <v>11179</v>
      </c>
      <c r="G182" s="15" t="s">
        <v>11180</v>
      </c>
      <c r="H182" s="16" t="s">
        <v>11181</v>
      </c>
    </row>
    <row r="183" spans="1:8" x14ac:dyDescent="0.3">
      <c r="A183" s="13">
        <v>31055</v>
      </c>
      <c r="B183" s="14" t="s">
        <v>10662</v>
      </c>
      <c r="C183" s="15"/>
      <c r="D183" s="15"/>
      <c r="E183" s="15"/>
      <c r="F183" s="15"/>
      <c r="G183" s="15"/>
      <c r="H183" s="16"/>
    </row>
    <row r="184" spans="1:8" ht="22.5" x14ac:dyDescent="0.3">
      <c r="A184" s="13" t="s">
        <v>11182</v>
      </c>
      <c r="B184" s="14" t="s">
        <v>19714</v>
      </c>
      <c r="C184" s="15" t="s">
        <v>11183</v>
      </c>
      <c r="D184" s="15" t="s">
        <v>11184</v>
      </c>
      <c r="E184" s="15" t="s">
        <v>11185</v>
      </c>
      <c r="F184" s="15" t="s">
        <v>10666</v>
      </c>
      <c r="G184" s="15" t="s">
        <v>11186</v>
      </c>
      <c r="H184" s="16" t="s">
        <v>11187</v>
      </c>
    </row>
    <row r="185" spans="1:8" ht="22.5" x14ac:dyDescent="0.3">
      <c r="A185" s="13" t="s">
        <v>11188</v>
      </c>
      <c r="B185" s="14" t="s">
        <v>19715</v>
      </c>
      <c r="C185" s="15" t="s">
        <v>11189</v>
      </c>
      <c r="D185" s="15" t="s">
        <v>11190</v>
      </c>
      <c r="E185" s="15"/>
      <c r="F185" s="15" t="s">
        <v>11191</v>
      </c>
      <c r="G185" s="15" t="s">
        <v>11192</v>
      </c>
      <c r="H185" s="16" t="s">
        <v>11193</v>
      </c>
    </row>
    <row r="186" spans="1:8" x14ac:dyDescent="0.3">
      <c r="A186" s="13">
        <v>31056</v>
      </c>
      <c r="B186" s="14" t="s">
        <v>11194</v>
      </c>
      <c r="C186" s="15"/>
      <c r="D186" s="15"/>
      <c r="E186" s="15"/>
      <c r="F186" s="15"/>
      <c r="G186" s="15"/>
      <c r="H186" s="16"/>
    </row>
    <row r="187" spans="1:8" ht="22.5" x14ac:dyDescent="0.3">
      <c r="A187" s="13" t="s">
        <v>11195</v>
      </c>
      <c r="B187" s="14" t="s">
        <v>19714</v>
      </c>
      <c r="C187" s="15" t="s">
        <v>11196</v>
      </c>
      <c r="D187" s="15"/>
      <c r="E187" s="15" t="s">
        <v>11197</v>
      </c>
      <c r="F187" s="15" t="s">
        <v>11198</v>
      </c>
      <c r="G187" s="15" t="s">
        <v>11199</v>
      </c>
      <c r="H187" s="16" t="s">
        <v>11200</v>
      </c>
    </row>
    <row r="188" spans="1:8" ht="33.75" x14ac:dyDescent="0.3">
      <c r="A188" s="13" t="s">
        <v>11201</v>
      </c>
      <c r="B188" s="14" t="s">
        <v>19715</v>
      </c>
      <c r="C188" s="15" t="s">
        <v>11202</v>
      </c>
      <c r="D188" s="15" t="s">
        <v>11203</v>
      </c>
      <c r="E188" s="15"/>
      <c r="F188" s="15" t="s">
        <v>11204</v>
      </c>
      <c r="G188" s="15" t="s">
        <v>11205</v>
      </c>
      <c r="H188" s="16" t="s">
        <v>11206</v>
      </c>
    </row>
    <row r="189" spans="1:8" x14ac:dyDescent="0.3">
      <c r="A189" s="13">
        <v>31057</v>
      </c>
      <c r="B189" s="14" t="s">
        <v>11207</v>
      </c>
      <c r="C189" s="15"/>
      <c r="D189" s="15"/>
      <c r="E189" s="15"/>
      <c r="F189" s="15"/>
      <c r="G189" s="15"/>
      <c r="H189" s="16"/>
    </row>
    <row r="190" spans="1:8" ht="33.75" x14ac:dyDescent="0.3">
      <c r="A190" s="13" t="s">
        <v>11208</v>
      </c>
      <c r="B190" s="14" t="s">
        <v>19714</v>
      </c>
      <c r="C190" s="15" t="s">
        <v>11209</v>
      </c>
      <c r="D190" s="15" t="s">
        <v>11210</v>
      </c>
      <c r="E190" s="15" t="s">
        <v>11211</v>
      </c>
      <c r="F190" s="15" t="s">
        <v>11212</v>
      </c>
      <c r="G190" s="15" t="s">
        <v>11213</v>
      </c>
      <c r="H190" s="16" t="s">
        <v>11214</v>
      </c>
    </row>
    <row r="191" spans="1:8" x14ac:dyDescent="0.3">
      <c r="A191" s="13" t="s">
        <v>11215</v>
      </c>
      <c r="B191" s="14" t="s">
        <v>19715</v>
      </c>
      <c r="C191" s="15" t="s">
        <v>11216</v>
      </c>
      <c r="D191" s="15"/>
      <c r="E191" s="15" t="s">
        <v>11217</v>
      </c>
      <c r="F191" s="15" t="s">
        <v>11218</v>
      </c>
      <c r="G191" s="15" t="s">
        <v>11219</v>
      </c>
      <c r="H191" s="16" t="s">
        <v>11218</v>
      </c>
    </row>
    <row r="192" spans="1:8" x14ac:dyDescent="0.3">
      <c r="A192" s="13">
        <v>31058</v>
      </c>
      <c r="B192" s="14" t="s">
        <v>11220</v>
      </c>
      <c r="C192" s="15"/>
      <c r="D192" s="15" t="s">
        <v>11221</v>
      </c>
      <c r="E192" s="15"/>
      <c r="F192" s="15"/>
      <c r="G192" s="15"/>
      <c r="H192" s="16"/>
    </row>
    <row r="193" spans="1:8" ht="22.5" x14ac:dyDescent="0.3">
      <c r="A193" s="13" t="s">
        <v>11222</v>
      </c>
      <c r="B193" s="14" t="s">
        <v>19714</v>
      </c>
      <c r="C193" s="15" t="s">
        <v>11223</v>
      </c>
      <c r="D193" s="15" t="s">
        <v>11224</v>
      </c>
      <c r="E193" s="15" t="s">
        <v>11225</v>
      </c>
      <c r="F193" s="15" t="s">
        <v>9262</v>
      </c>
      <c r="G193" s="15" t="s">
        <v>9262</v>
      </c>
      <c r="H193" s="16" t="s">
        <v>9262</v>
      </c>
    </row>
    <row r="194" spans="1:8" ht="22.5" x14ac:dyDescent="0.3">
      <c r="A194" s="13" t="s">
        <v>11226</v>
      </c>
      <c r="B194" s="14" t="s">
        <v>19715</v>
      </c>
      <c r="C194" s="15" t="s">
        <v>11227</v>
      </c>
      <c r="D194" s="15" t="s">
        <v>11228</v>
      </c>
      <c r="E194" s="15" t="s">
        <v>11229</v>
      </c>
      <c r="F194" s="15" t="s">
        <v>11230</v>
      </c>
      <c r="G194" s="15" t="s">
        <v>11231</v>
      </c>
      <c r="H194" s="16" t="s">
        <v>11232</v>
      </c>
    </row>
    <row r="195" spans="1:8" x14ac:dyDescent="0.3">
      <c r="A195" s="13">
        <v>31059</v>
      </c>
      <c r="B195" s="14" t="s">
        <v>11233</v>
      </c>
      <c r="C195" s="15"/>
      <c r="D195" s="15"/>
      <c r="E195" s="15"/>
      <c r="F195" s="15"/>
      <c r="G195" s="15"/>
      <c r="H195" s="16"/>
    </row>
    <row r="196" spans="1:8" ht="56.25" x14ac:dyDescent="0.3">
      <c r="A196" s="13" t="s">
        <v>11234</v>
      </c>
      <c r="B196" s="14" t="s">
        <v>19714</v>
      </c>
      <c r="C196" s="15" t="s">
        <v>11235</v>
      </c>
      <c r="D196" s="15" t="s">
        <v>11236</v>
      </c>
      <c r="E196" s="15" t="s">
        <v>11237</v>
      </c>
      <c r="F196" s="15" t="s">
        <v>11238</v>
      </c>
      <c r="G196" s="15" t="s">
        <v>11238</v>
      </c>
      <c r="H196" s="16" t="s">
        <v>11238</v>
      </c>
    </row>
    <row r="197" spans="1:8" ht="22.5" x14ac:dyDescent="0.3">
      <c r="A197" s="13" t="s">
        <v>11239</v>
      </c>
      <c r="B197" s="14" t="s">
        <v>19715</v>
      </c>
      <c r="C197" s="15" t="s">
        <v>11240</v>
      </c>
      <c r="D197" s="15"/>
      <c r="E197" s="15" t="s">
        <v>11241</v>
      </c>
      <c r="F197" s="15" t="s">
        <v>11242</v>
      </c>
      <c r="G197" s="15" t="s">
        <v>11242</v>
      </c>
      <c r="H197" s="16" t="s">
        <v>11243</v>
      </c>
    </row>
    <row r="198" spans="1:8" x14ac:dyDescent="0.3">
      <c r="A198" s="13">
        <v>31060</v>
      </c>
      <c r="B198" s="14" t="s">
        <v>11244</v>
      </c>
      <c r="C198" s="15"/>
      <c r="D198" s="15"/>
      <c r="E198" s="15"/>
      <c r="F198" s="15"/>
      <c r="G198" s="15"/>
      <c r="H198" s="16"/>
    </row>
    <row r="199" spans="1:8" ht="33.75" x14ac:dyDescent="0.3">
      <c r="A199" s="13" t="s">
        <v>11245</v>
      </c>
      <c r="B199" s="14" t="s">
        <v>19714</v>
      </c>
      <c r="C199" s="15" t="s">
        <v>11246</v>
      </c>
      <c r="D199" s="15" t="s">
        <v>11247</v>
      </c>
      <c r="E199" s="15" t="s">
        <v>11248</v>
      </c>
      <c r="F199" s="15" t="s">
        <v>11249</v>
      </c>
      <c r="G199" s="15" t="s">
        <v>11250</v>
      </c>
      <c r="H199" s="16" t="s">
        <v>11251</v>
      </c>
    </row>
    <row r="200" spans="1:8" ht="33.75" x14ac:dyDescent="0.3">
      <c r="A200" s="13" t="s">
        <v>11252</v>
      </c>
      <c r="B200" s="14" t="s">
        <v>19715</v>
      </c>
      <c r="C200" s="15" t="s">
        <v>11253</v>
      </c>
      <c r="D200" s="15"/>
      <c r="E200" s="15" t="s">
        <v>11254</v>
      </c>
      <c r="F200" s="15" t="s">
        <v>11255</v>
      </c>
      <c r="G200" s="15" t="s">
        <v>11256</v>
      </c>
      <c r="H200" s="16" t="s">
        <v>11257</v>
      </c>
    </row>
    <row r="201" spans="1:8" x14ac:dyDescent="0.3">
      <c r="A201" s="13">
        <v>31061</v>
      </c>
      <c r="B201" s="14" t="s">
        <v>11258</v>
      </c>
      <c r="C201" s="15"/>
      <c r="D201" s="15"/>
      <c r="E201" s="15"/>
      <c r="F201" s="15"/>
      <c r="G201" s="15"/>
      <c r="H201" s="16"/>
    </row>
    <row r="202" spans="1:8" ht="45" x14ac:dyDescent="0.3">
      <c r="A202" s="13" t="s">
        <v>11259</v>
      </c>
      <c r="B202" s="14" t="s">
        <v>19714</v>
      </c>
      <c r="C202" s="15" t="s">
        <v>11260</v>
      </c>
      <c r="D202" s="15" t="s">
        <v>11261</v>
      </c>
      <c r="E202" s="15" t="s">
        <v>11262</v>
      </c>
      <c r="F202" s="15" t="s">
        <v>11263</v>
      </c>
      <c r="G202" s="15" t="s">
        <v>11264</v>
      </c>
      <c r="H202" s="16" t="s">
        <v>11265</v>
      </c>
    </row>
    <row r="203" spans="1:8" ht="33.75" x14ac:dyDescent="0.3">
      <c r="A203" s="13" t="s">
        <v>11266</v>
      </c>
      <c r="B203" s="14" t="s">
        <v>19715</v>
      </c>
      <c r="C203" s="15" t="s">
        <v>11267</v>
      </c>
      <c r="D203" s="15" t="s">
        <v>11268</v>
      </c>
      <c r="E203" s="15" t="s">
        <v>11269</v>
      </c>
      <c r="F203" s="15" t="s">
        <v>11270</v>
      </c>
      <c r="G203" s="15" t="s">
        <v>11271</v>
      </c>
      <c r="H203" s="16" t="s">
        <v>11272</v>
      </c>
    </row>
    <row r="204" spans="1:8" x14ac:dyDescent="0.3">
      <c r="A204" s="13">
        <v>31062</v>
      </c>
      <c r="B204" s="14" t="s">
        <v>11273</v>
      </c>
      <c r="C204" s="15"/>
      <c r="D204" s="15"/>
      <c r="E204" s="15"/>
      <c r="F204" s="15"/>
      <c r="G204" s="15"/>
      <c r="H204" s="16"/>
    </row>
    <row r="205" spans="1:8" x14ac:dyDescent="0.3">
      <c r="A205" s="13" t="s">
        <v>11274</v>
      </c>
      <c r="B205" s="14" t="s">
        <v>19714</v>
      </c>
      <c r="C205" s="15" t="s">
        <v>11275</v>
      </c>
      <c r="D205" s="15"/>
      <c r="E205" s="15" t="s">
        <v>11276</v>
      </c>
      <c r="F205" s="15" t="s">
        <v>11277</v>
      </c>
      <c r="G205" s="15" t="s">
        <v>11278</v>
      </c>
      <c r="H205" s="16" t="s">
        <v>11279</v>
      </c>
    </row>
    <row r="206" spans="1:8" ht="22.5" x14ac:dyDescent="0.3">
      <c r="A206" s="13" t="s">
        <v>11280</v>
      </c>
      <c r="B206" s="14" t="s">
        <v>19715</v>
      </c>
      <c r="C206" s="15" t="s">
        <v>11281</v>
      </c>
      <c r="D206" s="15" t="s">
        <v>11282</v>
      </c>
      <c r="E206" s="15"/>
      <c r="F206" s="15" t="s">
        <v>11283</v>
      </c>
      <c r="G206" s="15" t="s">
        <v>11284</v>
      </c>
      <c r="H206" s="16" t="s">
        <v>11270</v>
      </c>
    </row>
    <row r="207" spans="1:8" x14ac:dyDescent="0.3">
      <c r="A207" s="13">
        <v>31063</v>
      </c>
      <c r="B207" s="14" t="s">
        <v>11285</v>
      </c>
      <c r="C207" s="15"/>
      <c r="D207" s="15"/>
      <c r="E207" s="15"/>
      <c r="F207" s="15"/>
      <c r="G207" s="15"/>
      <c r="H207" s="16"/>
    </row>
    <row r="208" spans="1:8" ht="33.75" x14ac:dyDescent="0.3">
      <c r="A208" s="13" t="s">
        <v>11286</v>
      </c>
      <c r="B208" s="14" t="s">
        <v>19714</v>
      </c>
      <c r="C208" s="15" t="s">
        <v>11287</v>
      </c>
      <c r="D208" s="15" t="s">
        <v>11288</v>
      </c>
      <c r="E208" s="15" t="s">
        <v>11289</v>
      </c>
      <c r="F208" s="15" t="s">
        <v>11290</v>
      </c>
      <c r="G208" s="15" t="s">
        <v>11291</v>
      </c>
      <c r="H208" s="16" t="s">
        <v>11292</v>
      </c>
    </row>
    <row r="209" spans="1:8" ht="33.75" x14ac:dyDescent="0.3">
      <c r="A209" s="13" t="s">
        <v>11293</v>
      </c>
      <c r="B209" s="14" t="s">
        <v>19715</v>
      </c>
      <c r="C209" s="15" t="s">
        <v>11294</v>
      </c>
      <c r="D209" s="15" t="s">
        <v>11295</v>
      </c>
      <c r="E209" s="15" t="s">
        <v>11296</v>
      </c>
      <c r="F209" s="15" t="s">
        <v>11292</v>
      </c>
      <c r="G209" s="15"/>
      <c r="H209" s="16" t="s">
        <v>11289</v>
      </c>
    </row>
    <row r="210" spans="1:8" x14ac:dyDescent="0.3">
      <c r="A210" s="13">
        <v>31064</v>
      </c>
      <c r="B210" s="14" t="s">
        <v>11297</v>
      </c>
      <c r="C210" s="15"/>
      <c r="D210" s="15"/>
      <c r="E210" s="15"/>
      <c r="F210" s="15"/>
      <c r="G210" s="15"/>
      <c r="H210" s="16"/>
    </row>
    <row r="211" spans="1:8" ht="22.5" x14ac:dyDescent="0.3">
      <c r="A211" s="13" t="s">
        <v>11298</v>
      </c>
      <c r="B211" s="14" t="s">
        <v>19714</v>
      </c>
      <c r="C211" s="15" t="s">
        <v>11299</v>
      </c>
      <c r="D211" s="15"/>
      <c r="E211" s="15" t="s">
        <v>11300</v>
      </c>
      <c r="F211" s="15" t="s">
        <v>11301</v>
      </c>
      <c r="G211" s="15" t="s">
        <v>11302</v>
      </c>
      <c r="H211" s="16" t="s">
        <v>11303</v>
      </c>
    </row>
    <row r="212" spans="1:8" ht="22.5" x14ac:dyDescent="0.3">
      <c r="A212" s="13" t="s">
        <v>11304</v>
      </c>
      <c r="B212" s="14" t="s">
        <v>19715</v>
      </c>
      <c r="C212" s="15" t="s">
        <v>11305</v>
      </c>
      <c r="D212" s="15" t="s">
        <v>11306</v>
      </c>
      <c r="E212" s="15" t="s">
        <v>11307</v>
      </c>
      <c r="F212" s="15"/>
      <c r="G212" s="15" t="s">
        <v>11308</v>
      </c>
      <c r="H212" s="16" t="s">
        <v>11309</v>
      </c>
    </row>
    <row r="213" spans="1:8" x14ac:dyDescent="0.3">
      <c r="A213" s="13">
        <v>31065</v>
      </c>
      <c r="B213" s="14" t="s">
        <v>11310</v>
      </c>
      <c r="C213" s="15"/>
      <c r="D213" s="15"/>
      <c r="E213" s="15"/>
      <c r="F213" s="15"/>
      <c r="G213" s="15"/>
      <c r="H213" s="16"/>
    </row>
    <row r="214" spans="1:8" ht="33.75" x14ac:dyDescent="0.3">
      <c r="A214" s="13" t="s">
        <v>11311</v>
      </c>
      <c r="B214" s="14" t="s">
        <v>19714</v>
      </c>
      <c r="C214" s="15" t="s">
        <v>11312</v>
      </c>
      <c r="D214" s="15" t="s">
        <v>11313</v>
      </c>
      <c r="E214" s="15" t="s">
        <v>11314</v>
      </c>
      <c r="F214" s="15" t="s">
        <v>11315</v>
      </c>
      <c r="G214" s="15" t="s">
        <v>11315</v>
      </c>
      <c r="H214" s="16" t="s">
        <v>11316</v>
      </c>
    </row>
    <row r="215" spans="1:8" x14ac:dyDescent="0.3">
      <c r="A215" s="13" t="s">
        <v>11317</v>
      </c>
      <c r="B215" s="14" t="s">
        <v>19715</v>
      </c>
      <c r="C215" s="15" t="s">
        <v>11318</v>
      </c>
      <c r="D215" s="15" t="s">
        <v>11319</v>
      </c>
      <c r="E215" s="15" t="s">
        <v>11320</v>
      </c>
      <c r="F215" s="15" t="s">
        <v>11321</v>
      </c>
      <c r="G215" s="15" t="s">
        <v>11322</v>
      </c>
      <c r="H215" s="16" t="s">
        <v>11322</v>
      </c>
    </row>
    <row r="216" spans="1:8" x14ac:dyDescent="0.3">
      <c r="A216" s="13">
        <v>31066</v>
      </c>
      <c r="B216" s="14" t="s">
        <v>11323</v>
      </c>
      <c r="C216" s="15"/>
      <c r="D216" s="15"/>
      <c r="E216" s="15"/>
      <c r="F216" s="15"/>
      <c r="G216" s="15"/>
      <c r="H216" s="16"/>
    </row>
    <row r="217" spans="1:8" x14ac:dyDescent="0.3">
      <c r="A217" s="13" t="s">
        <v>11324</v>
      </c>
      <c r="B217" s="14" t="s">
        <v>19714</v>
      </c>
      <c r="C217" s="15" t="s">
        <v>11325</v>
      </c>
      <c r="D217" s="15" t="s">
        <v>11326</v>
      </c>
      <c r="E217" s="15" t="s">
        <v>11327</v>
      </c>
      <c r="F217" s="15" t="s">
        <v>11328</v>
      </c>
      <c r="G217" s="15" t="s">
        <v>11329</v>
      </c>
      <c r="H217" s="16" t="s">
        <v>11329</v>
      </c>
    </row>
    <row r="218" spans="1:8" x14ac:dyDescent="0.3">
      <c r="A218" s="13" t="s">
        <v>11330</v>
      </c>
      <c r="B218" s="14" t="s">
        <v>19715</v>
      </c>
      <c r="C218" s="15" t="s">
        <v>11331</v>
      </c>
      <c r="D218" s="15"/>
      <c r="E218" s="15" t="s">
        <v>11332</v>
      </c>
      <c r="F218" s="15" t="s">
        <v>11333</v>
      </c>
      <c r="G218" s="15" t="s">
        <v>11334</v>
      </c>
      <c r="H218" s="16" t="s">
        <v>11334</v>
      </c>
    </row>
    <row r="219" spans="1:8" x14ac:dyDescent="0.3">
      <c r="A219" s="13">
        <v>31067</v>
      </c>
      <c r="B219" s="14" t="s">
        <v>11335</v>
      </c>
      <c r="C219" s="15"/>
      <c r="D219" s="15"/>
      <c r="E219" s="15"/>
      <c r="F219" s="15"/>
      <c r="G219" s="15"/>
      <c r="H219" s="16"/>
    </row>
    <row r="220" spans="1:8" ht="33.75" x14ac:dyDescent="0.3">
      <c r="A220" s="13" t="s">
        <v>11336</v>
      </c>
      <c r="B220" s="14" t="s">
        <v>19714</v>
      </c>
      <c r="C220" s="15" t="s">
        <v>11337</v>
      </c>
      <c r="D220" s="15"/>
      <c r="E220" s="15" t="s">
        <v>11338</v>
      </c>
      <c r="F220" s="15" t="s">
        <v>11339</v>
      </c>
      <c r="G220" s="15" t="s">
        <v>11339</v>
      </c>
      <c r="H220" s="16" t="s">
        <v>11339</v>
      </c>
    </row>
    <row r="221" spans="1:8" ht="22.5" x14ac:dyDescent="0.3">
      <c r="A221" s="13" t="s">
        <v>11340</v>
      </c>
      <c r="B221" s="14" t="s">
        <v>19715</v>
      </c>
      <c r="C221" s="15" t="s">
        <v>11341</v>
      </c>
      <c r="D221" s="15" t="s">
        <v>11342</v>
      </c>
      <c r="E221" s="15" t="s">
        <v>10637</v>
      </c>
      <c r="F221" s="15" t="s">
        <v>11343</v>
      </c>
      <c r="G221" s="15" t="s">
        <v>11343</v>
      </c>
      <c r="H221" s="16" t="s">
        <v>11343</v>
      </c>
    </row>
    <row r="222" spans="1:8" x14ac:dyDescent="0.3">
      <c r="A222" s="13">
        <v>31068</v>
      </c>
      <c r="B222" s="14" t="s">
        <v>11344</v>
      </c>
      <c r="C222" s="15"/>
      <c r="D222" s="15"/>
      <c r="E222" s="15"/>
      <c r="F222" s="15"/>
      <c r="G222" s="15"/>
      <c r="H222" s="16"/>
    </row>
    <row r="223" spans="1:8" ht="45" x14ac:dyDescent="0.3">
      <c r="A223" s="13" t="s">
        <v>11345</v>
      </c>
      <c r="B223" s="14" t="s">
        <v>19714</v>
      </c>
      <c r="C223" s="15" t="s">
        <v>11346</v>
      </c>
      <c r="D223" s="15" t="s">
        <v>11347</v>
      </c>
      <c r="E223" s="15" t="s">
        <v>11348</v>
      </c>
      <c r="F223" s="15" t="s">
        <v>57</v>
      </c>
      <c r="G223" s="15" t="s">
        <v>11349</v>
      </c>
      <c r="H223" s="16" t="s">
        <v>11350</v>
      </c>
    </row>
    <row r="224" spans="1:8" ht="22.5" x14ac:dyDescent="0.3">
      <c r="A224" s="13" t="s">
        <v>11351</v>
      </c>
      <c r="B224" s="14" t="s">
        <v>19715</v>
      </c>
      <c r="C224" s="15" t="s">
        <v>11352</v>
      </c>
      <c r="D224" s="15" t="s">
        <v>11353</v>
      </c>
      <c r="E224" s="15" t="s">
        <v>11354</v>
      </c>
      <c r="F224" s="15" t="s">
        <v>11355</v>
      </c>
      <c r="G224" s="15" t="s">
        <v>11356</v>
      </c>
      <c r="H224" s="16" t="s">
        <v>11357</v>
      </c>
    </row>
    <row r="225" spans="1:8" x14ac:dyDescent="0.3">
      <c r="A225" s="13">
        <v>31069</v>
      </c>
      <c r="B225" s="14" t="s">
        <v>11358</v>
      </c>
      <c r="C225" s="15"/>
      <c r="D225" s="15"/>
      <c r="E225" s="15"/>
      <c r="F225" s="15"/>
      <c r="G225" s="15"/>
      <c r="H225" s="16"/>
    </row>
    <row r="226" spans="1:8" ht="22.5" x14ac:dyDescent="0.3">
      <c r="A226" s="13" t="s">
        <v>11359</v>
      </c>
      <c r="B226" s="14" t="s">
        <v>19714</v>
      </c>
      <c r="C226" s="15" t="s">
        <v>11360</v>
      </c>
      <c r="D226" s="15"/>
      <c r="E226" s="15" t="s">
        <v>11361</v>
      </c>
      <c r="F226" s="15" t="s">
        <v>11362</v>
      </c>
      <c r="G226" s="15" t="s">
        <v>11363</v>
      </c>
      <c r="H226" s="16" t="s">
        <v>11364</v>
      </c>
    </row>
    <row r="227" spans="1:8" x14ac:dyDescent="0.3">
      <c r="A227" s="13" t="s">
        <v>11365</v>
      </c>
      <c r="B227" s="14" t="s">
        <v>19715</v>
      </c>
      <c r="C227" s="15" t="s">
        <v>11366</v>
      </c>
      <c r="D227" s="15" t="s">
        <v>11367</v>
      </c>
      <c r="E227" s="15"/>
      <c r="F227" s="15" t="s">
        <v>11368</v>
      </c>
      <c r="G227" s="15" t="s">
        <v>11369</v>
      </c>
      <c r="H227" s="16" t="s">
        <v>11370</v>
      </c>
    </row>
    <row r="228" spans="1:8" x14ac:dyDescent="0.3">
      <c r="A228" s="13">
        <v>31070</v>
      </c>
      <c r="B228" s="14" t="s">
        <v>11371</v>
      </c>
      <c r="C228" s="15"/>
      <c r="D228" s="15"/>
      <c r="E228" s="15"/>
      <c r="F228" s="15"/>
      <c r="G228" s="15"/>
      <c r="H228" s="16"/>
    </row>
    <row r="229" spans="1:8" ht="22.5" x14ac:dyDescent="0.3">
      <c r="A229" s="13" t="s">
        <v>11372</v>
      </c>
      <c r="B229" s="14" t="s">
        <v>19714</v>
      </c>
      <c r="C229" s="15" t="s">
        <v>11373</v>
      </c>
      <c r="D229" s="15" t="s">
        <v>11374</v>
      </c>
      <c r="E229" s="15" t="s">
        <v>11375</v>
      </c>
      <c r="F229" s="15" t="s">
        <v>11376</v>
      </c>
      <c r="G229" s="15" t="s">
        <v>11377</v>
      </c>
      <c r="H229" s="16" t="s">
        <v>11378</v>
      </c>
    </row>
    <row r="230" spans="1:8" ht="22.5" x14ac:dyDescent="0.3">
      <c r="A230" s="13" t="s">
        <v>11379</v>
      </c>
      <c r="B230" s="14" t="s">
        <v>19715</v>
      </c>
      <c r="C230" s="15" t="s">
        <v>11380</v>
      </c>
      <c r="D230" s="15" t="s">
        <v>11381</v>
      </c>
      <c r="E230" s="15"/>
      <c r="F230" s="15" t="s">
        <v>11382</v>
      </c>
      <c r="G230" s="15" t="s">
        <v>11383</v>
      </c>
      <c r="H230" s="16" t="s">
        <v>11384</v>
      </c>
    </row>
    <row r="231" spans="1:8" x14ac:dyDescent="0.3">
      <c r="A231" s="13">
        <v>31071</v>
      </c>
      <c r="B231" s="14" t="s">
        <v>11385</v>
      </c>
      <c r="C231" s="15"/>
      <c r="D231" s="15"/>
      <c r="E231" s="15"/>
      <c r="F231" s="15"/>
      <c r="G231" s="15"/>
      <c r="H231" s="16"/>
    </row>
    <row r="232" spans="1:8" ht="22.5" x14ac:dyDescent="0.3">
      <c r="A232" s="13" t="s">
        <v>11386</v>
      </c>
      <c r="B232" s="14" t="s">
        <v>19714</v>
      </c>
      <c r="C232" s="15" t="s">
        <v>11387</v>
      </c>
      <c r="D232" s="15"/>
      <c r="E232" s="15" t="s">
        <v>11388</v>
      </c>
      <c r="F232" s="15" t="s">
        <v>11389</v>
      </c>
      <c r="G232" s="15" t="s">
        <v>11390</v>
      </c>
      <c r="H232" s="16" t="s">
        <v>11391</v>
      </c>
    </row>
    <row r="233" spans="1:8" ht="22.5" x14ac:dyDescent="0.3">
      <c r="A233" s="13" t="s">
        <v>11392</v>
      </c>
      <c r="B233" s="14" t="s">
        <v>19715</v>
      </c>
      <c r="C233" s="15" t="s">
        <v>11393</v>
      </c>
      <c r="D233" s="15" t="s">
        <v>8854</v>
      </c>
      <c r="E233" s="15" t="s">
        <v>11394</v>
      </c>
      <c r="F233" s="15" t="s">
        <v>11395</v>
      </c>
      <c r="G233" s="15" t="s">
        <v>11396</v>
      </c>
      <c r="H233" s="16" t="s">
        <v>11397</v>
      </c>
    </row>
    <row r="234" spans="1:8" x14ac:dyDescent="0.3">
      <c r="A234" s="13">
        <v>31072</v>
      </c>
      <c r="B234" s="14" t="s">
        <v>11398</v>
      </c>
      <c r="C234" s="15"/>
      <c r="D234" s="15"/>
      <c r="E234" s="15"/>
      <c r="F234" s="15"/>
      <c r="G234" s="15"/>
      <c r="H234" s="16"/>
    </row>
    <row r="235" spans="1:8" ht="33.75" x14ac:dyDescent="0.3">
      <c r="A235" s="13" t="s">
        <v>11399</v>
      </c>
      <c r="B235" s="14" t="s">
        <v>19714</v>
      </c>
      <c r="C235" s="15" t="s">
        <v>11400</v>
      </c>
      <c r="D235" s="15"/>
      <c r="E235" s="15" t="s">
        <v>11401</v>
      </c>
      <c r="F235" s="15" t="s">
        <v>11389</v>
      </c>
      <c r="G235" s="15" t="s">
        <v>11402</v>
      </c>
      <c r="H235" s="16" t="s">
        <v>11403</v>
      </c>
    </row>
    <row r="236" spans="1:8" ht="33.75" x14ac:dyDescent="0.3">
      <c r="A236" s="13" t="s">
        <v>11404</v>
      </c>
      <c r="B236" s="14" t="s">
        <v>19715</v>
      </c>
      <c r="C236" s="15" t="s">
        <v>11405</v>
      </c>
      <c r="D236" s="15" t="s">
        <v>11406</v>
      </c>
      <c r="E236" s="15" t="s">
        <v>11407</v>
      </c>
      <c r="F236" s="15" t="s">
        <v>11407</v>
      </c>
      <c r="G236" s="15" t="s">
        <v>11408</v>
      </c>
      <c r="H236" s="16" t="s">
        <v>11409</v>
      </c>
    </row>
    <row r="237" spans="1:8" x14ac:dyDescent="0.3">
      <c r="A237" s="13">
        <v>31073</v>
      </c>
      <c r="B237" s="14" t="s">
        <v>11410</v>
      </c>
      <c r="C237" s="15"/>
      <c r="D237" s="15"/>
      <c r="E237" s="15"/>
      <c r="F237" s="15"/>
      <c r="G237" s="15"/>
      <c r="H237" s="16"/>
    </row>
    <row r="238" spans="1:8" ht="67.5" x14ac:dyDescent="0.3">
      <c r="A238" s="13" t="s">
        <v>11411</v>
      </c>
      <c r="B238" s="14" t="s">
        <v>19714</v>
      </c>
      <c r="C238" s="15" t="s">
        <v>11412</v>
      </c>
      <c r="D238" s="15" t="s">
        <v>11413</v>
      </c>
      <c r="E238" s="15" t="s">
        <v>11414</v>
      </c>
      <c r="F238" s="15" t="s">
        <v>11415</v>
      </c>
      <c r="G238" s="15" t="s">
        <v>11415</v>
      </c>
      <c r="H238" s="16" t="s">
        <v>11416</v>
      </c>
    </row>
    <row r="239" spans="1:8" ht="22.5" x14ac:dyDescent="0.3">
      <c r="A239" s="13" t="s">
        <v>11417</v>
      </c>
      <c r="B239" s="14" t="s">
        <v>19715</v>
      </c>
      <c r="C239" s="15" t="s">
        <v>11418</v>
      </c>
      <c r="D239" s="15"/>
      <c r="E239" s="15"/>
      <c r="F239" s="15" t="s">
        <v>11419</v>
      </c>
      <c r="G239" s="15" t="s">
        <v>11420</v>
      </c>
      <c r="H239" s="16" t="s">
        <v>11421</v>
      </c>
    </row>
    <row r="240" spans="1:8" x14ac:dyDescent="0.3">
      <c r="A240" s="13">
        <v>31074</v>
      </c>
      <c r="B240" s="14" t="s">
        <v>11422</v>
      </c>
      <c r="C240" s="15"/>
      <c r="D240" s="15"/>
      <c r="E240" s="15"/>
      <c r="F240" s="15"/>
      <c r="G240" s="15"/>
      <c r="H240" s="16"/>
    </row>
    <row r="241" spans="1:8" ht="33.75" x14ac:dyDescent="0.3">
      <c r="A241" s="13" t="s">
        <v>11423</v>
      </c>
      <c r="B241" s="14" t="s">
        <v>19714</v>
      </c>
      <c r="C241" s="15" t="s">
        <v>11424</v>
      </c>
      <c r="D241" s="15" t="s">
        <v>11425</v>
      </c>
      <c r="E241" s="15" t="s">
        <v>11426</v>
      </c>
      <c r="F241" s="15" t="s">
        <v>11427</v>
      </c>
      <c r="G241" s="15" t="s">
        <v>11428</v>
      </c>
      <c r="H241" s="16" t="s">
        <v>11429</v>
      </c>
    </row>
    <row r="242" spans="1:8" x14ac:dyDescent="0.3">
      <c r="A242" s="13" t="s">
        <v>11430</v>
      </c>
      <c r="B242" s="14" t="s">
        <v>19715</v>
      </c>
      <c r="C242" s="15" t="s">
        <v>11431</v>
      </c>
      <c r="D242" s="15"/>
      <c r="E242" s="15" t="s">
        <v>11432</v>
      </c>
      <c r="F242" s="15" t="s">
        <v>11433</v>
      </c>
      <c r="G242" s="15"/>
      <c r="H242" s="16" t="s">
        <v>11434</v>
      </c>
    </row>
    <row r="243" spans="1:8" x14ac:dyDescent="0.3">
      <c r="A243" s="13">
        <v>31075</v>
      </c>
      <c r="B243" s="14" t="s">
        <v>11435</v>
      </c>
      <c r="C243" s="15"/>
      <c r="D243" s="15"/>
      <c r="E243" s="15"/>
      <c r="F243" s="15"/>
      <c r="G243" s="15"/>
      <c r="H243" s="16"/>
    </row>
    <row r="244" spans="1:8" ht="22.5" x14ac:dyDescent="0.3">
      <c r="A244" s="13" t="s">
        <v>11436</v>
      </c>
      <c r="B244" s="14" t="s">
        <v>19714</v>
      </c>
      <c r="C244" s="15" t="s">
        <v>11437</v>
      </c>
      <c r="D244" s="15" t="s">
        <v>11438</v>
      </c>
      <c r="E244" s="15" t="s">
        <v>11439</v>
      </c>
      <c r="F244" s="15" t="s">
        <v>9536</v>
      </c>
      <c r="G244" s="15" t="s">
        <v>11440</v>
      </c>
      <c r="H244" s="16" t="s">
        <v>11441</v>
      </c>
    </row>
    <row r="245" spans="1:8" ht="22.5" x14ac:dyDescent="0.3">
      <c r="A245" s="13" t="s">
        <v>11442</v>
      </c>
      <c r="B245" s="14" t="s">
        <v>19715</v>
      </c>
      <c r="C245" s="15" t="s">
        <v>11443</v>
      </c>
      <c r="D245" s="15" t="s">
        <v>11444</v>
      </c>
      <c r="E245" s="15" t="s">
        <v>11445</v>
      </c>
      <c r="F245" s="15" t="s">
        <v>11445</v>
      </c>
      <c r="G245" s="15" t="s">
        <v>11446</v>
      </c>
      <c r="H245" s="16" t="s">
        <v>11445</v>
      </c>
    </row>
    <row r="246" spans="1:8" x14ac:dyDescent="0.3">
      <c r="A246" s="13">
        <v>31076</v>
      </c>
      <c r="B246" s="14" t="s">
        <v>11447</v>
      </c>
      <c r="C246" s="15"/>
      <c r="D246" s="15"/>
      <c r="E246" s="15"/>
      <c r="F246" s="15"/>
      <c r="G246" s="15"/>
      <c r="H246" s="16"/>
    </row>
    <row r="247" spans="1:8" ht="45" x14ac:dyDescent="0.3">
      <c r="A247" s="13" t="s">
        <v>11448</v>
      </c>
      <c r="B247" s="14" t="s">
        <v>19714</v>
      </c>
      <c r="C247" s="15" t="s">
        <v>11449</v>
      </c>
      <c r="D247" s="15" t="s">
        <v>11450</v>
      </c>
      <c r="E247" s="15" t="s">
        <v>11451</v>
      </c>
      <c r="F247" s="15" t="s">
        <v>11452</v>
      </c>
      <c r="G247" s="15" t="s">
        <v>11453</v>
      </c>
      <c r="H247" s="16" t="s">
        <v>11453</v>
      </c>
    </row>
    <row r="248" spans="1:8" x14ac:dyDescent="0.3">
      <c r="A248" s="13" t="s">
        <v>11454</v>
      </c>
      <c r="B248" s="14" t="s">
        <v>19715</v>
      </c>
      <c r="C248" s="15" t="s">
        <v>11455</v>
      </c>
      <c r="D248" s="15"/>
      <c r="E248" s="15" t="s">
        <v>11456</v>
      </c>
      <c r="F248" s="15" t="s">
        <v>11457</v>
      </c>
      <c r="G248" s="15" t="s">
        <v>11458</v>
      </c>
      <c r="H248" s="16" t="s">
        <v>11457</v>
      </c>
    </row>
    <row r="249" spans="1:8" x14ac:dyDescent="0.3">
      <c r="A249" s="13">
        <v>31077</v>
      </c>
      <c r="B249" s="14" t="s">
        <v>11459</v>
      </c>
      <c r="C249" s="15"/>
      <c r="D249" s="15"/>
      <c r="E249" s="15"/>
      <c r="F249" s="15"/>
      <c r="G249" s="15"/>
      <c r="H249" s="16"/>
    </row>
    <row r="250" spans="1:8" ht="22.5" x14ac:dyDescent="0.3">
      <c r="A250" s="13" t="s">
        <v>11460</v>
      </c>
      <c r="B250" s="14" t="s">
        <v>19714</v>
      </c>
      <c r="C250" s="15" t="s">
        <v>11461</v>
      </c>
      <c r="D250" s="15"/>
      <c r="E250" s="15"/>
      <c r="F250" s="15" t="s">
        <v>11462</v>
      </c>
      <c r="G250" s="15" t="s">
        <v>11463</v>
      </c>
      <c r="H250" s="16" t="s">
        <v>11464</v>
      </c>
    </row>
    <row r="251" spans="1:8" x14ac:dyDescent="0.3">
      <c r="A251" s="13" t="s">
        <v>11465</v>
      </c>
      <c r="B251" s="14" t="s">
        <v>19715</v>
      </c>
      <c r="C251" s="15" t="s">
        <v>11466</v>
      </c>
      <c r="D251" s="15" t="s">
        <v>11467</v>
      </c>
      <c r="E251" s="15"/>
      <c r="F251" s="15" t="s">
        <v>11468</v>
      </c>
      <c r="G251" s="15" t="s">
        <v>11469</v>
      </c>
      <c r="H251" s="16" t="s">
        <v>11470</v>
      </c>
    </row>
    <row r="252" spans="1:8" x14ac:dyDescent="0.3">
      <c r="A252" s="13">
        <v>31078</v>
      </c>
      <c r="B252" s="14" t="s">
        <v>11471</v>
      </c>
      <c r="C252" s="15"/>
      <c r="D252" s="15"/>
      <c r="E252" s="15"/>
      <c r="F252" s="15"/>
      <c r="G252" s="15"/>
      <c r="H252" s="16"/>
    </row>
    <row r="253" spans="1:8" ht="33.75" x14ac:dyDescent="0.3">
      <c r="A253" s="13" t="s">
        <v>11472</v>
      </c>
      <c r="B253" s="14" t="s">
        <v>19714</v>
      </c>
      <c r="C253" s="15" t="s">
        <v>11473</v>
      </c>
      <c r="D253" s="15" t="s">
        <v>11474</v>
      </c>
      <c r="E253" s="15" t="s">
        <v>9475</v>
      </c>
      <c r="F253" s="15" t="s">
        <v>11475</v>
      </c>
      <c r="G253" s="15" t="s">
        <v>11476</v>
      </c>
      <c r="H253" s="16" t="s">
        <v>11477</v>
      </c>
    </row>
    <row r="254" spans="1:8" x14ac:dyDescent="0.3">
      <c r="A254" s="13" t="s">
        <v>11478</v>
      </c>
      <c r="B254" s="14" t="s">
        <v>19715</v>
      </c>
      <c r="C254" s="15" t="s">
        <v>11479</v>
      </c>
      <c r="D254" s="15"/>
      <c r="E254" s="15" t="s">
        <v>11480</v>
      </c>
      <c r="F254" s="15" t="s">
        <v>11481</v>
      </c>
      <c r="G254" s="15"/>
      <c r="H254" s="16" t="s">
        <v>11482</v>
      </c>
    </row>
    <row r="255" spans="1:8" x14ac:dyDescent="0.3">
      <c r="A255" s="13">
        <v>31079</v>
      </c>
      <c r="B255" s="14" t="s">
        <v>11483</v>
      </c>
      <c r="C255" s="15"/>
      <c r="D255" s="15"/>
      <c r="E255" s="15"/>
      <c r="F255" s="15"/>
      <c r="G255" s="15"/>
      <c r="H255" s="16"/>
    </row>
    <row r="256" spans="1:8" ht="22.5" x14ac:dyDescent="0.3">
      <c r="A256" s="13" t="s">
        <v>11484</v>
      </c>
      <c r="B256" s="14" t="s">
        <v>19717</v>
      </c>
      <c r="C256" s="15" t="s">
        <v>11485</v>
      </c>
      <c r="D256" s="15" t="s">
        <v>11486</v>
      </c>
      <c r="E256" s="15" t="s">
        <v>11487</v>
      </c>
      <c r="F256" s="15" t="s">
        <v>11488</v>
      </c>
      <c r="G256" s="15" t="s">
        <v>11489</v>
      </c>
      <c r="H256" s="16" t="s">
        <v>11490</v>
      </c>
    </row>
    <row r="257" spans="1:8" ht="22.5" x14ac:dyDescent="0.3">
      <c r="A257" s="13" t="s">
        <v>11491</v>
      </c>
      <c r="B257" s="14" t="s">
        <v>19718</v>
      </c>
      <c r="C257" s="15" t="s">
        <v>11492</v>
      </c>
      <c r="D257" s="15"/>
      <c r="E257" s="15" t="s">
        <v>11493</v>
      </c>
      <c r="F257" s="15" t="s">
        <v>11494</v>
      </c>
      <c r="G257" s="15"/>
      <c r="H257" s="16" t="s">
        <v>11495</v>
      </c>
    </row>
    <row r="258" spans="1:8" x14ac:dyDescent="0.3">
      <c r="A258" s="13">
        <v>31080</v>
      </c>
      <c r="B258" s="14" t="s">
        <v>11496</v>
      </c>
      <c r="C258" s="15"/>
      <c r="D258" s="15"/>
      <c r="E258" s="15"/>
      <c r="F258" s="15"/>
      <c r="G258" s="15"/>
      <c r="H258" s="16"/>
    </row>
    <row r="259" spans="1:8" x14ac:dyDescent="0.3">
      <c r="A259" s="13" t="s">
        <v>11497</v>
      </c>
      <c r="B259" s="14" t="s">
        <v>19717</v>
      </c>
      <c r="C259" s="15" t="s">
        <v>11498</v>
      </c>
      <c r="D259" s="15" t="s">
        <v>11499</v>
      </c>
      <c r="E259" s="15" t="s">
        <v>11500</v>
      </c>
      <c r="F259" s="15" t="s">
        <v>11501</v>
      </c>
      <c r="G259" s="15" t="s">
        <v>11502</v>
      </c>
      <c r="H259" s="16" t="s">
        <v>11503</v>
      </c>
    </row>
    <row r="260" spans="1:8" ht="22.5" x14ac:dyDescent="0.3">
      <c r="A260" s="13" t="s">
        <v>11504</v>
      </c>
      <c r="B260" s="14" t="s">
        <v>19718</v>
      </c>
      <c r="C260" s="15" t="s">
        <v>11505</v>
      </c>
      <c r="D260" s="15"/>
      <c r="E260" s="15" t="s">
        <v>11506</v>
      </c>
      <c r="F260" s="15"/>
      <c r="G260" s="15"/>
      <c r="H260" s="16" t="s">
        <v>11507</v>
      </c>
    </row>
    <row r="261" spans="1:8" x14ac:dyDescent="0.3">
      <c r="A261" s="13">
        <v>31081</v>
      </c>
      <c r="B261" s="14" t="s">
        <v>11508</v>
      </c>
      <c r="C261" s="15"/>
      <c r="D261" s="15"/>
      <c r="E261" s="15"/>
      <c r="F261" s="15"/>
      <c r="G261" s="15"/>
      <c r="H261" s="16"/>
    </row>
    <row r="262" spans="1:8" ht="45" x14ac:dyDescent="0.3">
      <c r="A262" s="13" t="s">
        <v>11509</v>
      </c>
      <c r="B262" s="14" t="s">
        <v>19717</v>
      </c>
      <c r="C262" s="15" t="s">
        <v>11510</v>
      </c>
      <c r="D262" s="15" t="s">
        <v>11511</v>
      </c>
      <c r="E262" s="15" t="s">
        <v>11512</v>
      </c>
      <c r="F262" s="15" t="s">
        <v>11513</v>
      </c>
      <c r="G262" s="15" t="s">
        <v>11514</v>
      </c>
      <c r="H262" s="16" t="s">
        <v>11515</v>
      </c>
    </row>
    <row r="263" spans="1:8" ht="22.5" x14ac:dyDescent="0.3">
      <c r="A263" s="13" t="s">
        <v>11516</v>
      </c>
      <c r="B263" s="14" t="s">
        <v>19718</v>
      </c>
      <c r="C263" s="15" t="s">
        <v>11517</v>
      </c>
      <c r="D263" s="15"/>
      <c r="E263" s="15" t="s">
        <v>11518</v>
      </c>
      <c r="F263" s="15" t="s">
        <v>11519</v>
      </c>
      <c r="G263" s="15"/>
      <c r="H263" s="16" t="s">
        <v>11520</v>
      </c>
    </row>
    <row r="264" spans="1:8" x14ac:dyDescent="0.3">
      <c r="A264" s="13">
        <v>31082</v>
      </c>
      <c r="B264" s="14" t="s">
        <v>11521</v>
      </c>
      <c r="C264" s="15"/>
      <c r="D264" s="15"/>
      <c r="E264" s="15"/>
      <c r="F264" s="15"/>
      <c r="G264" s="15"/>
      <c r="H264" s="16"/>
    </row>
    <row r="265" spans="1:8" ht="45" x14ac:dyDescent="0.3">
      <c r="A265" s="13" t="s">
        <v>11522</v>
      </c>
      <c r="B265" s="14" t="s">
        <v>19717</v>
      </c>
      <c r="C265" s="15" t="s">
        <v>11523</v>
      </c>
      <c r="D265" s="15" t="s">
        <v>11524</v>
      </c>
      <c r="E265" s="15"/>
      <c r="F265" s="15" t="s">
        <v>11525</v>
      </c>
      <c r="G265" s="15" t="s">
        <v>11526</v>
      </c>
      <c r="H265" s="16" t="s">
        <v>11527</v>
      </c>
    </row>
    <row r="266" spans="1:8" ht="22.5" x14ac:dyDescent="0.3">
      <c r="A266" s="13" t="s">
        <v>11528</v>
      </c>
      <c r="B266" s="14" t="s">
        <v>19718</v>
      </c>
      <c r="C266" s="15" t="s">
        <v>11529</v>
      </c>
      <c r="D266" s="15"/>
      <c r="E266" s="15" t="s">
        <v>11530</v>
      </c>
      <c r="F266" s="15" t="s">
        <v>11531</v>
      </c>
      <c r="G266" s="15"/>
      <c r="H266" s="16" t="s">
        <v>11532</v>
      </c>
    </row>
    <row r="267" spans="1:8" x14ac:dyDescent="0.3">
      <c r="A267" s="13">
        <v>31083</v>
      </c>
      <c r="B267" s="14" t="s">
        <v>11533</v>
      </c>
      <c r="C267" s="15"/>
      <c r="D267" s="15"/>
      <c r="E267" s="15"/>
      <c r="F267" s="15"/>
      <c r="G267" s="15"/>
      <c r="H267" s="16"/>
    </row>
    <row r="268" spans="1:8" ht="33.75" x14ac:dyDescent="0.3">
      <c r="A268" s="13" t="s">
        <v>11534</v>
      </c>
      <c r="B268" s="14" t="s">
        <v>19717</v>
      </c>
      <c r="C268" s="15" t="s">
        <v>11535</v>
      </c>
      <c r="D268" s="15" t="s">
        <v>11536</v>
      </c>
      <c r="E268" s="15"/>
      <c r="F268" s="15" t="s">
        <v>11537</v>
      </c>
      <c r="G268" s="15" t="s">
        <v>11538</v>
      </c>
      <c r="H268" s="16" t="s">
        <v>11539</v>
      </c>
    </row>
    <row r="269" spans="1:8" ht="45" x14ac:dyDescent="0.3">
      <c r="A269" s="13" t="s">
        <v>11540</v>
      </c>
      <c r="B269" s="14" t="s">
        <v>19718</v>
      </c>
      <c r="C269" s="15" t="s">
        <v>11541</v>
      </c>
      <c r="D269" s="15" t="s">
        <v>11542</v>
      </c>
      <c r="E269" s="15" t="s">
        <v>11543</v>
      </c>
      <c r="F269" s="15" t="s">
        <v>11544</v>
      </c>
      <c r="G269" s="15"/>
      <c r="H269" s="16" t="s">
        <v>11545</v>
      </c>
    </row>
    <row r="270" spans="1:8" x14ac:dyDescent="0.3">
      <c r="A270" s="13">
        <v>31084</v>
      </c>
      <c r="B270" s="14" t="s">
        <v>11546</v>
      </c>
      <c r="C270" s="15"/>
      <c r="D270" s="15"/>
      <c r="E270" s="15"/>
      <c r="F270" s="15"/>
      <c r="G270" s="15"/>
      <c r="H270" s="16"/>
    </row>
    <row r="271" spans="1:8" ht="56.25" x14ac:dyDescent="0.3">
      <c r="A271" s="13" t="s">
        <v>11547</v>
      </c>
      <c r="B271" s="14" t="s">
        <v>19717</v>
      </c>
      <c r="C271" s="15" t="s">
        <v>11548</v>
      </c>
      <c r="D271" s="15" t="s">
        <v>11549</v>
      </c>
      <c r="E271" s="15"/>
      <c r="F271" s="15" t="s">
        <v>11550</v>
      </c>
      <c r="G271" s="15" t="s">
        <v>11551</v>
      </c>
      <c r="H271" s="16" t="s">
        <v>11552</v>
      </c>
    </row>
    <row r="272" spans="1:8" ht="22.5" x14ac:dyDescent="0.3">
      <c r="A272" s="13" t="s">
        <v>11553</v>
      </c>
      <c r="B272" s="14" t="s">
        <v>19718</v>
      </c>
      <c r="C272" s="15" t="s">
        <v>11554</v>
      </c>
      <c r="D272" s="15"/>
      <c r="E272" s="15" t="s">
        <v>11530</v>
      </c>
      <c r="F272" s="15" t="s">
        <v>11531</v>
      </c>
      <c r="G272" s="15"/>
      <c r="H272" s="16" t="s">
        <v>11555</v>
      </c>
    </row>
    <row r="273" spans="1:8" x14ac:dyDescent="0.3">
      <c r="A273" s="13">
        <v>31085</v>
      </c>
      <c r="B273" s="14" t="s">
        <v>11556</v>
      </c>
      <c r="C273" s="15"/>
      <c r="D273" s="15"/>
      <c r="E273" s="15"/>
      <c r="F273" s="15"/>
      <c r="G273" s="15"/>
      <c r="H273" s="16"/>
    </row>
    <row r="274" spans="1:8" ht="33.75" x14ac:dyDescent="0.3">
      <c r="A274" s="13" t="s">
        <v>11557</v>
      </c>
      <c r="B274" s="14" t="s">
        <v>19717</v>
      </c>
      <c r="C274" s="15" t="s">
        <v>11558</v>
      </c>
      <c r="D274" s="15" t="s">
        <v>11559</v>
      </c>
      <c r="E274" s="15" t="s">
        <v>11560</v>
      </c>
      <c r="F274" s="15" t="s">
        <v>11561</v>
      </c>
      <c r="G274" s="15" t="s">
        <v>11562</v>
      </c>
      <c r="H274" s="16" t="s">
        <v>11563</v>
      </c>
    </row>
    <row r="275" spans="1:8" ht="45" x14ac:dyDescent="0.3">
      <c r="A275" s="13" t="s">
        <v>11564</v>
      </c>
      <c r="B275" s="14" t="s">
        <v>19718</v>
      </c>
      <c r="C275" s="15" t="s">
        <v>11565</v>
      </c>
      <c r="D275" s="15" t="s">
        <v>11566</v>
      </c>
      <c r="E275" s="15"/>
      <c r="F275" s="15" t="s">
        <v>11567</v>
      </c>
      <c r="G275" s="15"/>
      <c r="H275" s="16" t="s">
        <v>11568</v>
      </c>
    </row>
    <row r="276" spans="1:8" x14ac:dyDescent="0.3">
      <c r="A276" s="13">
        <v>31086</v>
      </c>
      <c r="B276" s="14" t="s">
        <v>11569</v>
      </c>
      <c r="C276" s="15"/>
      <c r="D276" s="15"/>
      <c r="E276" s="15"/>
      <c r="F276" s="15"/>
      <c r="G276" s="15"/>
      <c r="H276" s="16"/>
    </row>
    <row r="277" spans="1:8" ht="45" x14ac:dyDescent="0.3">
      <c r="A277" s="13" t="s">
        <v>11570</v>
      </c>
      <c r="B277" s="14" t="s">
        <v>19717</v>
      </c>
      <c r="C277" s="15" t="s">
        <v>11571</v>
      </c>
      <c r="D277" s="15" t="s">
        <v>11572</v>
      </c>
      <c r="E277" s="15" t="s">
        <v>11573</v>
      </c>
      <c r="F277" s="15" t="s">
        <v>11574</v>
      </c>
      <c r="G277" s="15" t="s">
        <v>11575</v>
      </c>
      <c r="H277" s="16" t="s">
        <v>11576</v>
      </c>
    </row>
    <row r="278" spans="1:8" ht="56.25" x14ac:dyDescent="0.3">
      <c r="A278" s="13" t="s">
        <v>11577</v>
      </c>
      <c r="B278" s="14" t="s">
        <v>19718</v>
      </c>
      <c r="C278" s="15" t="s">
        <v>11578</v>
      </c>
      <c r="D278" s="15" t="s">
        <v>11579</v>
      </c>
      <c r="E278" s="15"/>
      <c r="F278" s="15" t="s">
        <v>11580</v>
      </c>
      <c r="G278" s="15"/>
      <c r="H278" s="16" t="s">
        <v>11581</v>
      </c>
    </row>
    <row r="279" spans="1:8" x14ac:dyDescent="0.3">
      <c r="A279" s="13">
        <v>31087</v>
      </c>
      <c r="B279" s="14" t="s">
        <v>11582</v>
      </c>
      <c r="C279" s="15"/>
      <c r="D279" s="15"/>
      <c r="E279" s="15"/>
      <c r="F279" s="15"/>
      <c r="G279" s="15"/>
      <c r="H279" s="16"/>
    </row>
    <row r="280" spans="1:8" ht="22.5" x14ac:dyDescent="0.3">
      <c r="A280" s="13" t="s">
        <v>11583</v>
      </c>
      <c r="B280" s="14" t="s">
        <v>19717</v>
      </c>
      <c r="C280" s="15" t="s">
        <v>11584</v>
      </c>
      <c r="D280" s="15"/>
      <c r="E280" s="15" t="s">
        <v>11585</v>
      </c>
      <c r="F280" s="15" t="s">
        <v>11586</v>
      </c>
      <c r="G280" s="15" t="s">
        <v>11587</v>
      </c>
      <c r="H280" s="16" t="s">
        <v>11588</v>
      </c>
    </row>
    <row r="281" spans="1:8" ht="22.5" x14ac:dyDescent="0.3">
      <c r="A281" s="13" t="s">
        <v>11589</v>
      </c>
      <c r="B281" s="14" t="s">
        <v>19718</v>
      </c>
      <c r="C281" s="15" t="s">
        <v>11590</v>
      </c>
      <c r="D281" s="15" t="s">
        <v>11591</v>
      </c>
      <c r="E281" s="15" t="s">
        <v>11592</v>
      </c>
      <c r="F281" s="15" t="s">
        <v>11593</v>
      </c>
      <c r="G281" s="15"/>
      <c r="H281" s="16" t="s">
        <v>11594</v>
      </c>
    </row>
    <row r="282" spans="1:8" x14ac:dyDescent="0.3">
      <c r="A282" s="13">
        <v>31088</v>
      </c>
      <c r="B282" s="14" t="s">
        <v>11595</v>
      </c>
      <c r="C282" s="15"/>
      <c r="D282" s="15"/>
      <c r="E282" s="15"/>
      <c r="F282" s="15" t="s">
        <v>11596</v>
      </c>
      <c r="G282" s="15"/>
      <c r="H282" s="16"/>
    </row>
    <row r="283" spans="1:8" ht="78.75" x14ac:dyDescent="0.3">
      <c r="A283" s="13" t="s">
        <v>11597</v>
      </c>
      <c r="B283" s="14" t="s">
        <v>19717</v>
      </c>
      <c r="C283" s="15" t="s">
        <v>11598</v>
      </c>
      <c r="D283" s="15" t="s">
        <v>11599</v>
      </c>
      <c r="E283" s="15" t="s">
        <v>11600</v>
      </c>
      <c r="F283" s="15" t="s">
        <v>11601</v>
      </c>
      <c r="G283" s="15" t="s">
        <v>11602</v>
      </c>
      <c r="H283" s="16" t="s">
        <v>11603</v>
      </c>
    </row>
    <row r="284" spans="1:8" x14ac:dyDescent="0.3">
      <c r="A284" s="13" t="s">
        <v>11604</v>
      </c>
      <c r="B284" s="14" t="s">
        <v>19718</v>
      </c>
      <c r="C284" s="15" t="s">
        <v>11605</v>
      </c>
      <c r="D284" s="15"/>
      <c r="E284" s="15" t="s">
        <v>11606</v>
      </c>
      <c r="F284" s="15" t="s">
        <v>11607</v>
      </c>
      <c r="G284" s="15"/>
      <c r="H284" s="16" t="s">
        <v>11608</v>
      </c>
    </row>
    <row r="285" spans="1:8" x14ac:dyDescent="0.3">
      <c r="A285" s="13">
        <v>32001</v>
      </c>
      <c r="B285" s="14" t="s">
        <v>11609</v>
      </c>
      <c r="C285" s="15"/>
      <c r="D285" s="15"/>
      <c r="E285" s="15"/>
      <c r="F285" s="15"/>
      <c r="G285" s="15"/>
      <c r="H285" s="16"/>
    </row>
    <row r="286" spans="1:8" ht="22.5" x14ac:dyDescent="0.3">
      <c r="A286" s="13" t="s">
        <v>11610</v>
      </c>
      <c r="B286" s="14" t="s">
        <v>19698</v>
      </c>
      <c r="C286" s="15" t="s">
        <v>11611</v>
      </c>
      <c r="D286" s="15" t="s">
        <v>11612</v>
      </c>
      <c r="E286" s="15" t="s">
        <v>11613</v>
      </c>
      <c r="F286" s="15" t="s">
        <v>11614</v>
      </c>
      <c r="G286" s="15" t="s">
        <v>11615</v>
      </c>
      <c r="H286" s="16" t="s">
        <v>11616</v>
      </c>
    </row>
    <row r="287" spans="1:8" ht="22.5" x14ac:dyDescent="0.3">
      <c r="A287" s="13" t="s">
        <v>11617</v>
      </c>
      <c r="B287" s="14" t="s">
        <v>19717</v>
      </c>
      <c r="C287" s="15" t="s">
        <v>11618</v>
      </c>
      <c r="D287" s="15"/>
      <c r="E287" s="15" t="s">
        <v>11619</v>
      </c>
      <c r="F287" s="15" t="s">
        <v>57</v>
      </c>
      <c r="G287" s="15" t="s">
        <v>11620</v>
      </c>
      <c r="H287" s="16" t="s">
        <v>11621</v>
      </c>
    </row>
    <row r="288" spans="1:8" x14ac:dyDescent="0.3">
      <c r="A288" s="13" t="s">
        <v>11622</v>
      </c>
      <c r="B288" s="14" t="s">
        <v>19718</v>
      </c>
      <c r="C288" s="15" t="s">
        <v>11623</v>
      </c>
      <c r="D288" s="15"/>
      <c r="E288" s="15" t="s">
        <v>11624</v>
      </c>
      <c r="F288" s="15" t="s">
        <v>11625</v>
      </c>
      <c r="G288" s="15" t="s">
        <v>11624</v>
      </c>
      <c r="H288" s="16" t="s">
        <v>11624</v>
      </c>
    </row>
    <row r="289" spans="1:8" ht="22.5" x14ac:dyDescent="0.3">
      <c r="A289" s="13" t="s">
        <v>11626</v>
      </c>
      <c r="B289" s="14" t="s">
        <v>19719</v>
      </c>
      <c r="C289" s="15" t="s">
        <v>11627</v>
      </c>
      <c r="D289" s="15"/>
      <c r="E289" s="15" t="s">
        <v>11628</v>
      </c>
      <c r="F289" s="15" t="s">
        <v>11629</v>
      </c>
      <c r="G289" s="15" t="s">
        <v>11630</v>
      </c>
      <c r="H289" s="16" t="s">
        <v>11631</v>
      </c>
    </row>
    <row r="290" spans="1:8" ht="22.5" x14ac:dyDescent="0.3">
      <c r="A290" s="13" t="s">
        <v>11632</v>
      </c>
      <c r="B290" s="14" t="s">
        <v>19720</v>
      </c>
      <c r="C290" s="15" t="s">
        <v>11633</v>
      </c>
      <c r="D290" s="15" t="s">
        <v>11634</v>
      </c>
      <c r="E290" s="15" t="s">
        <v>11635</v>
      </c>
      <c r="F290" s="15" t="s">
        <v>11636</v>
      </c>
      <c r="G290" s="15" t="s">
        <v>11637</v>
      </c>
      <c r="H290" s="16" t="s">
        <v>11629</v>
      </c>
    </row>
    <row r="291" spans="1:8" ht="22.5" x14ac:dyDescent="0.3">
      <c r="A291" s="13">
        <v>32002</v>
      </c>
      <c r="B291" s="14" t="s">
        <v>11638</v>
      </c>
      <c r="C291" s="15"/>
      <c r="D291" s="15"/>
      <c r="E291" s="15"/>
      <c r="F291" s="15"/>
      <c r="G291" s="15"/>
      <c r="H291" s="16"/>
    </row>
    <row r="292" spans="1:8" ht="22.5" x14ac:dyDescent="0.3">
      <c r="A292" s="13" t="s">
        <v>11639</v>
      </c>
      <c r="B292" s="14" t="s">
        <v>19698</v>
      </c>
      <c r="C292" s="15" t="s">
        <v>11640</v>
      </c>
      <c r="D292" s="15" t="s">
        <v>11641</v>
      </c>
      <c r="E292" s="15" t="s">
        <v>11642</v>
      </c>
      <c r="F292" s="15" t="s">
        <v>11643</v>
      </c>
      <c r="G292" s="15" t="s">
        <v>11644</v>
      </c>
      <c r="H292" s="16" t="s">
        <v>11645</v>
      </c>
    </row>
    <row r="293" spans="1:8" ht="33.75" x14ac:dyDescent="0.3">
      <c r="A293" s="13" t="s">
        <v>11646</v>
      </c>
      <c r="B293" s="14" t="s">
        <v>19717</v>
      </c>
      <c r="C293" s="15" t="s">
        <v>11647</v>
      </c>
      <c r="D293" s="15"/>
      <c r="E293" s="15" t="s">
        <v>11648</v>
      </c>
      <c r="F293" s="15" t="s">
        <v>11649</v>
      </c>
      <c r="G293" s="15" t="s">
        <v>11650</v>
      </c>
      <c r="H293" s="16" t="s">
        <v>11650</v>
      </c>
    </row>
    <row r="294" spans="1:8" x14ac:dyDescent="0.3">
      <c r="A294" s="13" t="s">
        <v>11651</v>
      </c>
      <c r="B294" s="14" t="s">
        <v>19718</v>
      </c>
      <c r="C294" s="15" t="s">
        <v>11652</v>
      </c>
      <c r="D294" s="15"/>
      <c r="E294" s="15"/>
      <c r="F294" s="15" t="s">
        <v>11653</v>
      </c>
      <c r="G294" s="15" t="s">
        <v>11654</v>
      </c>
      <c r="H294" s="16" t="s">
        <v>11654</v>
      </c>
    </row>
    <row r="295" spans="1:8" ht="22.5" x14ac:dyDescent="0.3">
      <c r="A295" s="13" t="s">
        <v>11655</v>
      </c>
      <c r="B295" s="14" t="s">
        <v>19719</v>
      </c>
      <c r="C295" s="15" t="s">
        <v>11656</v>
      </c>
      <c r="D295" s="15"/>
      <c r="E295" s="15" t="s">
        <v>11657</v>
      </c>
      <c r="F295" s="15" t="s">
        <v>57</v>
      </c>
      <c r="G295" s="15" t="s">
        <v>11658</v>
      </c>
      <c r="H295" s="16" t="s">
        <v>11659</v>
      </c>
    </row>
    <row r="296" spans="1:8" ht="22.5" x14ac:dyDescent="0.3">
      <c r="A296" s="13" t="s">
        <v>11660</v>
      </c>
      <c r="B296" s="14" t="s">
        <v>19720</v>
      </c>
      <c r="C296" s="15" t="s">
        <v>11661</v>
      </c>
      <c r="D296" s="15" t="s">
        <v>11662</v>
      </c>
      <c r="E296" s="15" t="s">
        <v>11663</v>
      </c>
      <c r="F296" s="15" t="s">
        <v>11664</v>
      </c>
      <c r="G296" s="15" t="s">
        <v>11665</v>
      </c>
      <c r="H296" s="16" t="s">
        <v>11666</v>
      </c>
    </row>
    <row r="297" spans="1:8" x14ac:dyDescent="0.3">
      <c r="A297" s="13">
        <v>32003</v>
      </c>
      <c r="B297" s="14" t="s">
        <v>11667</v>
      </c>
      <c r="C297" s="15"/>
      <c r="D297" s="15"/>
      <c r="E297" s="15"/>
      <c r="F297" s="15"/>
      <c r="G297" s="15"/>
      <c r="H297" s="16"/>
    </row>
    <row r="298" spans="1:8" ht="45" x14ac:dyDescent="0.3">
      <c r="A298" s="13" t="s">
        <v>11668</v>
      </c>
      <c r="B298" s="14" t="s">
        <v>19698</v>
      </c>
      <c r="C298" s="15" t="s">
        <v>11669</v>
      </c>
      <c r="D298" s="15" t="s">
        <v>11670</v>
      </c>
      <c r="E298" s="15" t="s">
        <v>11671</v>
      </c>
      <c r="F298" s="15" t="s">
        <v>11672</v>
      </c>
      <c r="G298" s="15" t="s">
        <v>11673</v>
      </c>
      <c r="H298" s="16" t="s">
        <v>11674</v>
      </c>
    </row>
    <row r="299" spans="1:8" ht="22.5" x14ac:dyDescent="0.3">
      <c r="A299" s="13" t="s">
        <v>11675</v>
      </c>
      <c r="B299" s="14" t="s">
        <v>19717</v>
      </c>
      <c r="C299" s="15" t="s">
        <v>11676</v>
      </c>
      <c r="D299" s="15" t="s">
        <v>11677</v>
      </c>
      <c r="E299" s="15" t="s">
        <v>11678</v>
      </c>
      <c r="F299" s="15" t="s">
        <v>11679</v>
      </c>
      <c r="G299" s="15" t="s">
        <v>11680</v>
      </c>
      <c r="H299" s="16" t="s">
        <v>11681</v>
      </c>
    </row>
    <row r="300" spans="1:8" x14ac:dyDescent="0.3">
      <c r="A300" s="13" t="s">
        <v>11682</v>
      </c>
      <c r="B300" s="14" t="s">
        <v>19718</v>
      </c>
      <c r="C300" s="15" t="s">
        <v>11683</v>
      </c>
      <c r="D300" s="15"/>
      <c r="E300" s="15" t="s">
        <v>11684</v>
      </c>
      <c r="F300" s="15" t="s">
        <v>11685</v>
      </c>
      <c r="G300" s="15" t="s">
        <v>11686</v>
      </c>
      <c r="H300" s="16" t="s">
        <v>11686</v>
      </c>
    </row>
    <row r="301" spans="1:8" ht="22.5" x14ac:dyDescent="0.3">
      <c r="A301" s="13" t="s">
        <v>11687</v>
      </c>
      <c r="B301" s="14" t="s">
        <v>19719</v>
      </c>
      <c r="C301" s="15" t="s">
        <v>11688</v>
      </c>
      <c r="D301" s="15" t="s">
        <v>11689</v>
      </c>
      <c r="E301" s="15" t="s">
        <v>11690</v>
      </c>
      <c r="F301" s="15" t="s">
        <v>11691</v>
      </c>
      <c r="G301" s="15" t="s">
        <v>11692</v>
      </c>
      <c r="H301" s="16" t="s">
        <v>11693</v>
      </c>
    </row>
    <row r="302" spans="1:8" ht="33.75" x14ac:dyDescent="0.3">
      <c r="A302" s="13" t="s">
        <v>11694</v>
      </c>
      <c r="B302" s="14" t="s">
        <v>19720</v>
      </c>
      <c r="C302" s="15" t="s">
        <v>11695</v>
      </c>
      <c r="D302" s="15" t="s">
        <v>11696</v>
      </c>
      <c r="E302" s="15" t="s">
        <v>11697</v>
      </c>
      <c r="F302" s="15" t="s">
        <v>11698</v>
      </c>
      <c r="G302" s="15" t="s">
        <v>11699</v>
      </c>
      <c r="H302" s="16" t="s">
        <v>11700</v>
      </c>
    </row>
    <row r="303" spans="1:8" ht="22.5" x14ac:dyDescent="0.3">
      <c r="A303" s="13">
        <v>32004</v>
      </c>
      <c r="B303" s="14" t="s">
        <v>11701</v>
      </c>
      <c r="C303" s="15"/>
      <c r="D303" s="15"/>
      <c r="E303" s="15"/>
      <c r="F303" s="15"/>
      <c r="G303" s="15"/>
      <c r="H303" s="16"/>
    </row>
    <row r="304" spans="1:8" ht="45" x14ac:dyDescent="0.3">
      <c r="A304" s="13" t="s">
        <v>11702</v>
      </c>
      <c r="B304" s="14" t="s">
        <v>19698</v>
      </c>
      <c r="C304" s="15" t="s">
        <v>11703</v>
      </c>
      <c r="D304" s="15" t="s">
        <v>11704</v>
      </c>
      <c r="E304" s="15" t="s">
        <v>11705</v>
      </c>
      <c r="F304" s="15" t="s">
        <v>11706</v>
      </c>
      <c r="G304" s="15" t="s">
        <v>11707</v>
      </c>
      <c r="H304" s="16" t="s">
        <v>11708</v>
      </c>
    </row>
    <row r="305" spans="1:8" ht="22.5" x14ac:dyDescent="0.3">
      <c r="A305" s="13" t="s">
        <v>11709</v>
      </c>
      <c r="B305" s="14" t="s">
        <v>19717</v>
      </c>
      <c r="C305" s="15" t="s">
        <v>11710</v>
      </c>
      <c r="D305" s="15"/>
      <c r="E305" s="15" t="s">
        <v>11711</v>
      </c>
      <c r="F305" s="15" t="s">
        <v>11712</v>
      </c>
      <c r="G305" s="15" t="s">
        <v>11713</v>
      </c>
      <c r="H305" s="16" t="s">
        <v>11714</v>
      </c>
    </row>
    <row r="306" spans="1:8" x14ac:dyDescent="0.3">
      <c r="A306" s="13" t="s">
        <v>11715</v>
      </c>
      <c r="B306" s="14" t="s">
        <v>19718</v>
      </c>
      <c r="C306" s="15" t="s">
        <v>11716</v>
      </c>
      <c r="D306" s="15"/>
      <c r="E306" s="15" t="s">
        <v>11717</v>
      </c>
      <c r="F306" s="15"/>
      <c r="G306" s="15" t="s">
        <v>11718</v>
      </c>
      <c r="H306" s="16" t="s">
        <v>11719</v>
      </c>
    </row>
    <row r="307" spans="1:8" x14ac:dyDescent="0.3">
      <c r="A307" s="13" t="s">
        <v>11720</v>
      </c>
      <c r="B307" s="14" t="s">
        <v>19719</v>
      </c>
      <c r="C307" s="15" t="s">
        <v>11721</v>
      </c>
      <c r="D307" s="15"/>
      <c r="E307" s="15" t="s">
        <v>11722</v>
      </c>
      <c r="F307" s="15" t="s">
        <v>11723</v>
      </c>
      <c r="G307" s="15" t="s">
        <v>11724</v>
      </c>
      <c r="H307" s="16" t="s">
        <v>11725</v>
      </c>
    </row>
    <row r="308" spans="1:8" ht="22.5" x14ac:dyDescent="0.3">
      <c r="A308" s="13" t="s">
        <v>11726</v>
      </c>
      <c r="B308" s="14" t="s">
        <v>19720</v>
      </c>
      <c r="C308" s="15" t="s">
        <v>11727</v>
      </c>
      <c r="D308" s="15" t="s">
        <v>11728</v>
      </c>
      <c r="E308" s="15" t="s">
        <v>11729</v>
      </c>
      <c r="F308" s="15" t="s">
        <v>11728</v>
      </c>
      <c r="G308" s="15" t="s">
        <v>11728</v>
      </c>
      <c r="H308" s="16" t="s">
        <v>11730</v>
      </c>
    </row>
    <row r="309" spans="1:8" ht="22.5" x14ac:dyDescent="0.3">
      <c r="A309" s="13">
        <v>32005</v>
      </c>
      <c r="B309" s="14" t="s">
        <v>11731</v>
      </c>
      <c r="C309" s="15"/>
      <c r="D309" s="15"/>
      <c r="E309" s="15"/>
      <c r="F309" s="15"/>
      <c r="G309" s="15"/>
      <c r="H309" s="16"/>
    </row>
    <row r="310" spans="1:8" ht="56.25" x14ac:dyDescent="0.3">
      <c r="A310" s="13" t="s">
        <v>11732</v>
      </c>
      <c r="B310" s="14" t="s">
        <v>19698</v>
      </c>
      <c r="C310" s="15" t="s">
        <v>11733</v>
      </c>
      <c r="D310" s="15" t="s">
        <v>11734</v>
      </c>
      <c r="E310" s="15" t="s">
        <v>11735</v>
      </c>
      <c r="F310" s="15"/>
      <c r="G310" s="15" t="s">
        <v>11736</v>
      </c>
      <c r="H310" s="16" t="s">
        <v>11737</v>
      </c>
    </row>
    <row r="311" spans="1:8" ht="56.25" x14ac:dyDescent="0.3">
      <c r="A311" s="13" t="s">
        <v>11738</v>
      </c>
      <c r="B311" s="14" t="s">
        <v>19717</v>
      </c>
      <c r="C311" s="15" t="s">
        <v>11739</v>
      </c>
      <c r="D311" s="15" t="s">
        <v>11740</v>
      </c>
      <c r="E311" s="15" t="s">
        <v>11741</v>
      </c>
      <c r="F311" s="15" t="s">
        <v>11742</v>
      </c>
      <c r="G311" s="15" t="s">
        <v>11743</v>
      </c>
      <c r="H311" s="16" t="s">
        <v>11744</v>
      </c>
    </row>
    <row r="312" spans="1:8" ht="33.75" x14ac:dyDescent="0.3">
      <c r="A312" s="13" t="s">
        <v>11745</v>
      </c>
      <c r="B312" s="14" t="s">
        <v>19718</v>
      </c>
      <c r="C312" s="15" t="s">
        <v>11746</v>
      </c>
      <c r="D312" s="15" t="s">
        <v>11747</v>
      </c>
      <c r="E312" s="15" t="s">
        <v>11748</v>
      </c>
      <c r="F312" s="15" t="s">
        <v>11749</v>
      </c>
      <c r="G312" s="15" t="s">
        <v>11750</v>
      </c>
      <c r="H312" s="16" t="s">
        <v>11750</v>
      </c>
    </row>
    <row r="313" spans="1:8" ht="56.25" x14ac:dyDescent="0.3">
      <c r="A313" s="13" t="s">
        <v>11751</v>
      </c>
      <c r="B313" s="14" t="s">
        <v>19719</v>
      </c>
      <c r="C313" s="15" t="s">
        <v>11752</v>
      </c>
      <c r="D313" s="15" t="s">
        <v>11753</v>
      </c>
      <c r="E313" s="15" t="s">
        <v>11754</v>
      </c>
      <c r="F313" s="15" t="s">
        <v>11755</v>
      </c>
      <c r="G313" s="15" t="s">
        <v>11756</v>
      </c>
      <c r="H313" s="16" t="s">
        <v>11757</v>
      </c>
    </row>
    <row r="314" spans="1:8" ht="78.75" x14ac:dyDescent="0.3">
      <c r="A314" s="13" t="s">
        <v>11758</v>
      </c>
      <c r="B314" s="14" t="s">
        <v>19720</v>
      </c>
      <c r="C314" s="15" t="s">
        <v>11759</v>
      </c>
      <c r="D314" s="15" t="s">
        <v>11760</v>
      </c>
      <c r="E314" s="15" t="s">
        <v>11761</v>
      </c>
      <c r="F314" s="15" t="s">
        <v>11762</v>
      </c>
      <c r="G314" s="15" t="s">
        <v>11763</v>
      </c>
      <c r="H314" s="16" t="s">
        <v>11764</v>
      </c>
    </row>
    <row r="315" spans="1:8" x14ac:dyDescent="0.3">
      <c r="A315" s="13">
        <v>32006</v>
      </c>
      <c r="B315" s="14" t="s">
        <v>11765</v>
      </c>
      <c r="C315" s="15"/>
      <c r="D315" s="15"/>
      <c r="E315" s="15"/>
      <c r="F315" s="15"/>
      <c r="G315" s="15" t="s">
        <v>11766</v>
      </c>
      <c r="H315" s="16"/>
    </row>
    <row r="316" spans="1:8" ht="22.5" x14ac:dyDescent="0.3">
      <c r="A316" s="13" t="s">
        <v>11767</v>
      </c>
      <c r="B316" s="14" t="s">
        <v>19698</v>
      </c>
      <c r="C316" s="15" t="s">
        <v>11768</v>
      </c>
      <c r="D316" s="15"/>
      <c r="E316" s="15" t="s">
        <v>11769</v>
      </c>
      <c r="F316" s="15" t="s">
        <v>57</v>
      </c>
      <c r="G316" s="15" t="s">
        <v>11770</v>
      </c>
      <c r="H316" s="16" t="s">
        <v>11771</v>
      </c>
    </row>
    <row r="317" spans="1:8" ht="33.75" x14ac:dyDescent="0.3">
      <c r="A317" s="13" t="s">
        <v>11772</v>
      </c>
      <c r="B317" s="14" t="s">
        <v>19717</v>
      </c>
      <c r="C317" s="15" t="s">
        <v>11773</v>
      </c>
      <c r="D317" s="15"/>
      <c r="E317" s="15" t="s">
        <v>11620</v>
      </c>
      <c r="F317" s="15" t="s">
        <v>11774</v>
      </c>
      <c r="G317" s="15" t="s">
        <v>11620</v>
      </c>
      <c r="H317" s="16" t="s">
        <v>11775</v>
      </c>
    </row>
    <row r="318" spans="1:8" x14ac:dyDescent="0.3">
      <c r="A318" s="13" t="s">
        <v>11776</v>
      </c>
      <c r="B318" s="14" t="s">
        <v>19718</v>
      </c>
      <c r="C318" s="15" t="s">
        <v>11777</v>
      </c>
      <c r="D318" s="15"/>
      <c r="E318" s="15"/>
      <c r="F318" s="15" t="s">
        <v>57</v>
      </c>
      <c r="G318" s="15" t="s">
        <v>11778</v>
      </c>
      <c r="H318" s="16" t="s">
        <v>11779</v>
      </c>
    </row>
    <row r="319" spans="1:8" ht="22.5" x14ac:dyDescent="0.3">
      <c r="A319" s="13" t="s">
        <v>11780</v>
      </c>
      <c r="B319" s="14" t="s">
        <v>19719</v>
      </c>
      <c r="C319" s="15" t="s">
        <v>11781</v>
      </c>
      <c r="D319" s="15"/>
      <c r="E319" s="15"/>
      <c r="F319" s="15" t="s">
        <v>11782</v>
      </c>
      <c r="G319" s="15" t="s">
        <v>11783</v>
      </c>
      <c r="H319" s="16" t="s">
        <v>11784</v>
      </c>
    </row>
    <row r="320" spans="1:8" ht="22.5" x14ac:dyDescent="0.3">
      <c r="A320" s="13" t="s">
        <v>11785</v>
      </c>
      <c r="B320" s="14" t="s">
        <v>19720</v>
      </c>
      <c r="C320" s="15" t="s">
        <v>11786</v>
      </c>
      <c r="D320" s="15" t="s">
        <v>11787</v>
      </c>
      <c r="E320" s="15" t="s">
        <v>11788</v>
      </c>
      <c r="F320" s="15" t="s">
        <v>11789</v>
      </c>
      <c r="G320" s="15" t="s">
        <v>11790</v>
      </c>
      <c r="H320" s="16" t="s">
        <v>11791</v>
      </c>
    </row>
    <row r="321" spans="1:8" ht="22.5" x14ac:dyDescent="0.3">
      <c r="A321" s="13">
        <v>32007</v>
      </c>
      <c r="B321" s="14" t="s">
        <v>11792</v>
      </c>
      <c r="C321" s="15"/>
      <c r="D321" s="15"/>
      <c r="E321" s="15"/>
      <c r="F321" s="15"/>
      <c r="G321" s="15"/>
      <c r="H321" s="16"/>
    </row>
    <row r="322" spans="1:8" ht="22.5" x14ac:dyDescent="0.3">
      <c r="A322" s="13" t="s">
        <v>11793</v>
      </c>
      <c r="B322" s="14" t="s">
        <v>19698</v>
      </c>
      <c r="C322" s="15" t="s">
        <v>11794</v>
      </c>
      <c r="D322" s="15"/>
      <c r="E322" s="15" t="s">
        <v>11795</v>
      </c>
      <c r="F322" s="15" t="s">
        <v>11796</v>
      </c>
      <c r="G322" s="15" t="s">
        <v>11797</v>
      </c>
      <c r="H322" s="16" t="s">
        <v>11798</v>
      </c>
    </row>
    <row r="323" spans="1:8" ht="33.75" x14ac:dyDescent="0.3">
      <c r="A323" s="13" t="s">
        <v>11799</v>
      </c>
      <c r="B323" s="14" t="s">
        <v>19717</v>
      </c>
      <c r="C323" s="15" t="s">
        <v>11800</v>
      </c>
      <c r="D323" s="15"/>
      <c r="E323" s="15" t="s">
        <v>11801</v>
      </c>
      <c r="F323" s="15" t="s">
        <v>11802</v>
      </c>
      <c r="G323" s="15" t="s">
        <v>11803</v>
      </c>
      <c r="H323" s="16" t="s">
        <v>11804</v>
      </c>
    </row>
    <row r="324" spans="1:8" x14ac:dyDescent="0.3">
      <c r="A324" s="13" t="s">
        <v>11805</v>
      </c>
      <c r="B324" s="14" t="s">
        <v>19718</v>
      </c>
      <c r="C324" s="15"/>
      <c r="D324" s="15"/>
      <c r="E324" s="15" t="s">
        <v>11806</v>
      </c>
      <c r="F324" s="15" t="s">
        <v>11807</v>
      </c>
      <c r="G324" s="15" t="s">
        <v>11806</v>
      </c>
      <c r="H324" s="16" t="s">
        <v>11808</v>
      </c>
    </row>
    <row r="325" spans="1:8" ht="22.5" x14ac:dyDescent="0.3">
      <c r="A325" s="13" t="s">
        <v>11809</v>
      </c>
      <c r="B325" s="14" t="s">
        <v>19719</v>
      </c>
      <c r="C325" s="15" t="s">
        <v>11810</v>
      </c>
      <c r="D325" s="15"/>
      <c r="E325" s="15"/>
      <c r="F325" s="15" t="s">
        <v>11811</v>
      </c>
      <c r="G325" s="15" t="s">
        <v>11812</v>
      </c>
      <c r="H325" s="16" t="s">
        <v>11813</v>
      </c>
    </row>
    <row r="326" spans="1:8" ht="56.25" x14ac:dyDescent="0.3">
      <c r="A326" s="13" t="s">
        <v>11814</v>
      </c>
      <c r="B326" s="14" t="s">
        <v>19720</v>
      </c>
      <c r="C326" s="15" t="s">
        <v>11815</v>
      </c>
      <c r="D326" s="15" t="s">
        <v>11816</v>
      </c>
      <c r="E326" s="15" t="s">
        <v>11817</v>
      </c>
      <c r="F326" s="15" t="s">
        <v>11818</v>
      </c>
      <c r="G326" s="15" t="s">
        <v>11819</v>
      </c>
      <c r="H326" s="16" t="s">
        <v>11820</v>
      </c>
    </row>
    <row r="327" spans="1:8" ht="22.5" x14ac:dyDescent="0.3">
      <c r="A327" s="13">
        <v>32008</v>
      </c>
      <c r="B327" s="14" t="s">
        <v>11821</v>
      </c>
      <c r="C327" s="15"/>
      <c r="D327" s="15"/>
      <c r="E327" s="15"/>
      <c r="F327" s="15"/>
      <c r="G327" s="15"/>
      <c r="H327" s="16"/>
    </row>
    <row r="328" spans="1:8" ht="22.5" x14ac:dyDescent="0.3">
      <c r="A328" s="13" t="s">
        <v>11822</v>
      </c>
      <c r="B328" s="14" t="s">
        <v>19698</v>
      </c>
      <c r="C328" s="15" t="s">
        <v>11823</v>
      </c>
      <c r="D328" s="15" t="s">
        <v>11824</v>
      </c>
      <c r="E328" s="15" t="s">
        <v>11825</v>
      </c>
      <c r="F328" s="15" t="s">
        <v>11826</v>
      </c>
      <c r="G328" s="15" t="s">
        <v>11827</v>
      </c>
      <c r="H328" s="16" t="s">
        <v>11828</v>
      </c>
    </row>
    <row r="329" spans="1:8" x14ac:dyDescent="0.3">
      <c r="A329" s="13" t="s">
        <v>11829</v>
      </c>
      <c r="B329" s="14" t="s">
        <v>19717</v>
      </c>
      <c r="C329" s="15" t="s">
        <v>11830</v>
      </c>
      <c r="D329" s="15"/>
      <c r="E329" s="15" t="s">
        <v>11831</v>
      </c>
      <c r="F329" s="15" t="s">
        <v>11832</v>
      </c>
      <c r="G329" s="15" t="s">
        <v>11833</v>
      </c>
      <c r="H329" s="16" t="s">
        <v>11834</v>
      </c>
    </row>
    <row r="330" spans="1:8" x14ac:dyDescent="0.3">
      <c r="A330" s="13" t="s">
        <v>11835</v>
      </c>
      <c r="B330" s="14" t="s">
        <v>19718</v>
      </c>
      <c r="C330" s="15" t="s">
        <v>11836</v>
      </c>
      <c r="D330" s="15"/>
      <c r="E330" s="15"/>
      <c r="F330" s="15" t="s">
        <v>11837</v>
      </c>
      <c r="G330" s="15" t="s">
        <v>11838</v>
      </c>
      <c r="H330" s="16" t="s">
        <v>11839</v>
      </c>
    </row>
    <row r="331" spans="1:8" ht="22.5" x14ac:dyDescent="0.3">
      <c r="A331" s="13" t="s">
        <v>11840</v>
      </c>
      <c r="B331" s="14" t="s">
        <v>19719</v>
      </c>
      <c r="C331" s="15" t="s">
        <v>11841</v>
      </c>
      <c r="D331" s="15" t="s">
        <v>11842</v>
      </c>
      <c r="E331" s="15" t="s">
        <v>11843</v>
      </c>
      <c r="F331" s="15" t="s">
        <v>11844</v>
      </c>
      <c r="G331" s="15" t="s">
        <v>11845</v>
      </c>
      <c r="H331" s="16" t="s">
        <v>11846</v>
      </c>
    </row>
    <row r="332" spans="1:8" ht="22.5" x14ac:dyDescent="0.3">
      <c r="A332" s="13" t="s">
        <v>11847</v>
      </c>
      <c r="B332" s="14" t="s">
        <v>19720</v>
      </c>
      <c r="C332" s="15" t="s">
        <v>11848</v>
      </c>
      <c r="D332" s="15" t="s">
        <v>11849</v>
      </c>
      <c r="E332" s="15" t="s">
        <v>11850</v>
      </c>
      <c r="F332" s="15" t="s">
        <v>11850</v>
      </c>
      <c r="G332" s="15" t="s">
        <v>11850</v>
      </c>
      <c r="H332" s="16" t="s">
        <v>11851</v>
      </c>
    </row>
    <row r="333" spans="1:8" x14ac:dyDescent="0.3">
      <c r="A333" s="13">
        <v>32009</v>
      </c>
      <c r="B333" s="14" t="s">
        <v>11852</v>
      </c>
      <c r="C333" s="15"/>
      <c r="D333" s="15"/>
      <c r="E333" s="15"/>
      <c r="F333" s="15"/>
      <c r="G333" s="15"/>
      <c r="H333" s="16"/>
    </row>
    <row r="334" spans="1:8" x14ac:dyDescent="0.3">
      <c r="A334" s="13" t="s">
        <v>11853</v>
      </c>
      <c r="B334" s="14" t="s">
        <v>19698</v>
      </c>
      <c r="C334" s="15" t="s">
        <v>11854</v>
      </c>
      <c r="D334" s="15"/>
      <c r="E334" s="15" t="s">
        <v>11855</v>
      </c>
      <c r="F334" s="15" t="s">
        <v>11856</v>
      </c>
      <c r="G334" s="15" t="s">
        <v>11857</v>
      </c>
      <c r="H334" s="16" t="s">
        <v>11858</v>
      </c>
    </row>
    <row r="335" spans="1:8" ht="45" x14ac:dyDescent="0.3">
      <c r="A335" s="13" t="s">
        <v>11859</v>
      </c>
      <c r="B335" s="14" t="s">
        <v>19717</v>
      </c>
      <c r="C335" s="15" t="s">
        <v>11860</v>
      </c>
      <c r="D335" s="15" t="s">
        <v>11861</v>
      </c>
      <c r="E335" s="15" t="s">
        <v>11862</v>
      </c>
      <c r="F335" s="15" t="s">
        <v>11863</v>
      </c>
      <c r="G335" s="15" t="s">
        <v>11864</v>
      </c>
      <c r="H335" s="16" t="s">
        <v>11865</v>
      </c>
    </row>
    <row r="336" spans="1:8" x14ac:dyDescent="0.3">
      <c r="A336" s="13" t="s">
        <v>11866</v>
      </c>
      <c r="B336" s="14" t="s">
        <v>19718</v>
      </c>
      <c r="C336" s="15" t="s">
        <v>11867</v>
      </c>
      <c r="D336" s="15"/>
      <c r="E336" s="15" t="s">
        <v>11868</v>
      </c>
      <c r="F336" s="15"/>
      <c r="G336" s="15" t="s">
        <v>11868</v>
      </c>
      <c r="H336" s="16" t="s">
        <v>11868</v>
      </c>
    </row>
    <row r="337" spans="1:8" ht="33.75" x14ac:dyDescent="0.3">
      <c r="A337" s="13" t="s">
        <v>11869</v>
      </c>
      <c r="B337" s="14" t="s">
        <v>19719</v>
      </c>
      <c r="C337" s="15" t="s">
        <v>11870</v>
      </c>
      <c r="D337" s="15"/>
      <c r="E337" s="15" t="s">
        <v>11871</v>
      </c>
      <c r="F337" s="15" t="s">
        <v>11872</v>
      </c>
      <c r="G337" s="15" t="s">
        <v>11873</v>
      </c>
      <c r="H337" s="16" t="s">
        <v>11874</v>
      </c>
    </row>
    <row r="338" spans="1:8" ht="33.75" x14ac:dyDescent="0.3">
      <c r="A338" s="13" t="s">
        <v>11875</v>
      </c>
      <c r="B338" s="14" t="s">
        <v>19720</v>
      </c>
      <c r="C338" s="15" t="s">
        <v>11876</v>
      </c>
      <c r="D338" s="15" t="s">
        <v>11877</v>
      </c>
      <c r="E338" s="15" t="s">
        <v>11878</v>
      </c>
      <c r="F338" s="15" t="s">
        <v>11879</v>
      </c>
      <c r="G338" s="15" t="s">
        <v>11880</v>
      </c>
      <c r="H338" s="16" t="s">
        <v>11881</v>
      </c>
    </row>
    <row r="339" spans="1:8" x14ac:dyDescent="0.3">
      <c r="A339" s="13">
        <v>32010</v>
      </c>
      <c r="B339" s="14" t="s">
        <v>11882</v>
      </c>
      <c r="C339" s="15"/>
      <c r="D339" s="15"/>
      <c r="E339" s="15"/>
      <c r="F339" s="15"/>
      <c r="G339" s="15"/>
      <c r="H339" s="16"/>
    </row>
    <row r="340" spans="1:8" x14ac:dyDescent="0.3">
      <c r="A340" s="13" t="s">
        <v>11883</v>
      </c>
      <c r="B340" s="14" t="s">
        <v>19698</v>
      </c>
      <c r="C340" s="15" t="s">
        <v>11884</v>
      </c>
      <c r="D340" s="15"/>
      <c r="E340" s="15" t="s">
        <v>11885</v>
      </c>
      <c r="F340" s="15" t="s">
        <v>11886</v>
      </c>
      <c r="G340" s="15" t="s">
        <v>11885</v>
      </c>
      <c r="H340" s="16" t="s">
        <v>11887</v>
      </c>
    </row>
    <row r="341" spans="1:8" x14ac:dyDescent="0.3">
      <c r="A341" s="13" t="s">
        <v>11888</v>
      </c>
      <c r="B341" s="14" t="s">
        <v>19717</v>
      </c>
      <c r="C341" s="15" t="s">
        <v>11889</v>
      </c>
      <c r="D341" s="15" t="s">
        <v>11890</v>
      </c>
      <c r="E341" s="15" t="s">
        <v>11891</v>
      </c>
      <c r="F341" s="15" t="s">
        <v>11892</v>
      </c>
      <c r="G341" s="15" t="s">
        <v>11893</v>
      </c>
      <c r="H341" s="16" t="s">
        <v>11893</v>
      </c>
    </row>
    <row r="342" spans="1:8" ht="22.5" x14ac:dyDescent="0.3">
      <c r="A342" s="13" t="s">
        <v>11894</v>
      </c>
      <c r="B342" s="14" t="s">
        <v>19718</v>
      </c>
      <c r="C342" s="15" t="s">
        <v>11895</v>
      </c>
      <c r="D342" s="15" t="s">
        <v>11896</v>
      </c>
      <c r="E342" s="15" t="s">
        <v>11897</v>
      </c>
      <c r="F342" s="15" t="s">
        <v>11885</v>
      </c>
      <c r="G342" s="15" t="s">
        <v>11898</v>
      </c>
      <c r="H342" s="16" t="s">
        <v>11899</v>
      </c>
    </row>
    <row r="343" spans="1:8" ht="22.5" x14ac:dyDescent="0.3">
      <c r="A343" s="13" t="s">
        <v>11900</v>
      </c>
      <c r="B343" s="14" t="s">
        <v>19719</v>
      </c>
      <c r="C343" s="15" t="s">
        <v>11901</v>
      </c>
      <c r="D343" s="15"/>
      <c r="E343" s="15" t="s">
        <v>11902</v>
      </c>
      <c r="F343" s="15" t="s">
        <v>11903</v>
      </c>
      <c r="G343" s="15" t="s">
        <v>11904</v>
      </c>
      <c r="H343" s="16" t="s">
        <v>11905</v>
      </c>
    </row>
    <row r="344" spans="1:8" ht="22.5" x14ac:dyDescent="0.3">
      <c r="A344" s="13" t="s">
        <v>11906</v>
      </c>
      <c r="B344" s="14" t="s">
        <v>19720</v>
      </c>
      <c r="C344" s="15" t="s">
        <v>11907</v>
      </c>
      <c r="D344" s="15"/>
      <c r="E344" s="15" t="s">
        <v>11908</v>
      </c>
      <c r="F344" s="15" t="s">
        <v>11909</v>
      </c>
      <c r="G344" s="15" t="s">
        <v>11910</v>
      </c>
      <c r="H344" s="16" t="s">
        <v>11911</v>
      </c>
    </row>
    <row r="345" spans="1:8" ht="22.5" x14ac:dyDescent="0.3">
      <c r="A345" s="13">
        <v>32011</v>
      </c>
      <c r="B345" s="14" t="s">
        <v>11912</v>
      </c>
      <c r="C345" s="15"/>
      <c r="D345" s="15"/>
      <c r="E345" s="15"/>
      <c r="F345" s="15"/>
      <c r="G345" s="15"/>
      <c r="H345" s="16"/>
    </row>
    <row r="346" spans="1:8" ht="22.5" x14ac:dyDescent="0.3">
      <c r="A346" s="13" t="s">
        <v>11913</v>
      </c>
      <c r="B346" s="14" t="s">
        <v>19698</v>
      </c>
      <c r="C346" s="15" t="s">
        <v>11914</v>
      </c>
      <c r="D346" s="15" t="s">
        <v>11915</v>
      </c>
      <c r="E346" s="15" t="s">
        <v>11916</v>
      </c>
      <c r="F346" s="15" t="s">
        <v>11917</v>
      </c>
      <c r="G346" s="15" t="s">
        <v>11918</v>
      </c>
      <c r="H346" s="16" t="s">
        <v>11919</v>
      </c>
    </row>
    <row r="347" spans="1:8" ht="22.5" x14ac:dyDescent="0.3">
      <c r="A347" s="13" t="s">
        <v>11920</v>
      </c>
      <c r="B347" s="14" t="s">
        <v>19717</v>
      </c>
      <c r="C347" s="15" t="s">
        <v>11921</v>
      </c>
      <c r="D347" s="15"/>
      <c r="E347" s="15" t="s">
        <v>11922</v>
      </c>
      <c r="F347" s="15" t="s">
        <v>11923</v>
      </c>
      <c r="G347" s="15" t="s">
        <v>11924</v>
      </c>
      <c r="H347" s="16" t="s">
        <v>11924</v>
      </c>
    </row>
    <row r="348" spans="1:8" x14ac:dyDescent="0.3">
      <c r="A348" s="13" t="s">
        <v>11925</v>
      </c>
      <c r="B348" s="14" t="s">
        <v>19718</v>
      </c>
      <c r="C348" s="15" t="s">
        <v>11926</v>
      </c>
      <c r="D348" s="15"/>
      <c r="E348" s="15" t="s">
        <v>11927</v>
      </c>
      <c r="F348" s="15" t="s">
        <v>11928</v>
      </c>
      <c r="G348" s="15" t="s">
        <v>11929</v>
      </c>
      <c r="H348" s="16" t="s">
        <v>11930</v>
      </c>
    </row>
    <row r="349" spans="1:8" ht="33.75" x14ac:dyDescent="0.3">
      <c r="A349" s="13" t="s">
        <v>11931</v>
      </c>
      <c r="B349" s="14" t="s">
        <v>19719</v>
      </c>
      <c r="C349" s="15" t="s">
        <v>11932</v>
      </c>
      <c r="D349" s="15" t="s">
        <v>11933</v>
      </c>
      <c r="E349" s="15" t="s">
        <v>11934</v>
      </c>
      <c r="F349" s="15" t="s">
        <v>11935</v>
      </c>
      <c r="G349" s="15" t="s">
        <v>11936</v>
      </c>
      <c r="H349" s="16" t="s">
        <v>11937</v>
      </c>
    </row>
    <row r="350" spans="1:8" ht="22.5" x14ac:dyDescent="0.3">
      <c r="A350" s="13" t="s">
        <v>11938</v>
      </c>
      <c r="B350" s="14" t="s">
        <v>19720</v>
      </c>
      <c r="C350" s="15" t="s">
        <v>11939</v>
      </c>
      <c r="D350" s="15" t="s">
        <v>11940</v>
      </c>
      <c r="E350" s="15" t="s">
        <v>11941</v>
      </c>
      <c r="F350" s="15" t="s">
        <v>11942</v>
      </c>
      <c r="G350" s="15" t="s">
        <v>11942</v>
      </c>
      <c r="H350" s="16" t="s">
        <v>11943</v>
      </c>
    </row>
    <row r="351" spans="1:8" ht="22.5" x14ac:dyDescent="0.3">
      <c r="A351" s="13">
        <v>32012</v>
      </c>
      <c r="B351" s="14" t="s">
        <v>11944</v>
      </c>
      <c r="C351" s="15"/>
      <c r="D351" s="15"/>
      <c r="E351" s="15"/>
      <c r="F351" s="15"/>
      <c r="G351" s="15"/>
      <c r="H351" s="16"/>
    </row>
    <row r="352" spans="1:8" x14ac:dyDescent="0.3">
      <c r="A352" s="13" t="s">
        <v>11945</v>
      </c>
      <c r="B352" s="14" t="s">
        <v>19698</v>
      </c>
      <c r="C352" s="15" t="s">
        <v>11946</v>
      </c>
      <c r="D352" s="15"/>
      <c r="E352" s="15" t="s">
        <v>11947</v>
      </c>
      <c r="F352" s="15" t="s">
        <v>11948</v>
      </c>
      <c r="G352" s="15" t="s">
        <v>11949</v>
      </c>
      <c r="H352" s="16" t="s">
        <v>11950</v>
      </c>
    </row>
    <row r="353" spans="1:8" ht="22.5" x14ac:dyDescent="0.3">
      <c r="A353" s="13" t="s">
        <v>11951</v>
      </c>
      <c r="B353" s="14" t="s">
        <v>19717</v>
      </c>
      <c r="C353" s="15" t="s">
        <v>11952</v>
      </c>
      <c r="D353" s="15"/>
      <c r="E353" s="15" t="s">
        <v>11953</v>
      </c>
      <c r="F353" s="15" t="s">
        <v>11954</v>
      </c>
      <c r="G353" s="15" t="s">
        <v>11955</v>
      </c>
      <c r="H353" s="16" t="s">
        <v>11956</v>
      </c>
    </row>
    <row r="354" spans="1:8" x14ac:dyDescent="0.3">
      <c r="A354" s="13" t="s">
        <v>11957</v>
      </c>
      <c r="B354" s="14" t="s">
        <v>19718</v>
      </c>
      <c r="C354" s="15" t="s">
        <v>11958</v>
      </c>
      <c r="D354" s="15"/>
      <c r="E354" s="15" t="s">
        <v>11959</v>
      </c>
      <c r="F354" s="15" t="s">
        <v>11960</v>
      </c>
      <c r="G354" s="15" t="s">
        <v>11961</v>
      </c>
      <c r="H354" s="16" t="s">
        <v>11961</v>
      </c>
    </row>
    <row r="355" spans="1:8" ht="22.5" x14ac:dyDescent="0.3">
      <c r="A355" s="13" t="s">
        <v>11962</v>
      </c>
      <c r="B355" s="14" t="s">
        <v>19719</v>
      </c>
      <c r="C355" s="15" t="s">
        <v>11963</v>
      </c>
      <c r="D355" s="15"/>
      <c r="E355" s="15" t="s">
        <v>11964</v>
      </c>
      <c r="F355" s="15" t="s">
        <v>11965</v>
      </c>
      <c r="G355" s="15" t="s">
        <v>11966</v>
      </c>
      <c r="H355" s="16" t="s">
        <v>11967</v>
      </c>
    </row>
    <row r="356" spans="1:8" ht="22.5" x14ac:dyDescent="0.3">
      <c r="A356" s="13" t="s">
        <v>11968</v>
      </c>
      <c r="B356" s="14" t="s">
        <v>19720</v>
      </c>
      <c r="C356" s="15" t="s">
        <v>11969</v>
      </c>
      <c r="D356" s="15" t="s">
        <v>11970</v>
      </c>
      <c r="E356" s="15" t="s">
        <v>11971</v>
      </c>
      <c r="F356" s="15" t="s">
        <v>11972</v>
      </c>
      <c r="G356" s="15" t="s">
        <v>11973</v>
      </c>
      <c r="H356" s="16" t="s">
        <v>11974</v>
      </c>
    </row>
    <row r="357" spans="1:8" x14ac:dyDescent="0.3">
      <c r="A357" s="13">
        <v>32013</v>
      </c>
      <c r="B357" s="14" t="s">
        <v>11975</v>
      </c>
      <c r="C357" s="15"/>
      <c r="D357" s="15"/>
      <c r="E357" s="15"/>
      <c r="F357" s="15"/>
      <c r="G357" s="15"/>
      <c r="H357" s="16"/>
    </row>
    <row r="358" spans="1:8" ht="33.75" x14ac:dyDescent="0.3">
      <c r="A358" s="13" t="s">
        <v>11976</v>
      </c>
      <c r="B358" s="14" t="s">
        <v>19698</v>
      </c>
      <c r="C358" s="15" t="s">
        <v>11977</v>
      </c>
      <c r="D358" s="15" t="s">
        <v>11978</v>
      </c>
      <c r="E358" s="15" t="s">
        <v>11979</v>
      </c>
      <c r="F358" s="15" t="s">
        <v>11980</v>
      </c>
      <c r="G358" s="15" t="s">
        <v>11979</v>
      </c>
      <c r="H358" s="16" t="s">
        <v>11981</v>
      </c>
    </row>
    <row r="359" spans="1:8" x14ac:dyDescent="0.3">
      <c r="A359" s="13" t="s">
        <v>11982</v>
      </c>
      <c r="B359" s="14" t="s">
        <v>19717</v>
      </c>
      <c r="C359" s="15" t="s">
        <v>11983</v>
      </c>
      <c r="D359" s="15" t="s">
        <v>3896</v>
      </c>
      <c r="E359" s="15" t="s">
        <v>11984</v>
      </c>
      <c r="F359" s="15" t="s">
        <v>11985</v>
      </c>
      <c r="G359" s="15" t="s">
        <v>11986</v>
      </c>
      <c r="H359" s="16" t="s">
        <v>11987</v>
      </c>
    </row>
    <row r="360" spans="1:8" x14ac:dyDescent="0.3">
      <c r="A360" s="13" t="s">
        <v>11988</v>
      </c>
      <c r="B360" s="14" t="s">
        <v>19718</v>
      </c>
      <c r="C360" s="15" t="s">
        <v>11989</v>
      </c>
      <c r="D360" s="15"/>
      <c r="E360" s="15" t="s">
        <v>11990</v>
      </c>
      <c r="F360" s="15" t="s">
        <v>11991</v>
      </c>
      <c r="G360" s="15" t="s">
        <v>11992</v>
      </c>
      <c r="H360" s="16" t="s">
        <v>11992</v>
      </c>
    </row>
    <row r="361" spans="1:8" ht="45" x14ac:dyDescent="0.3">
      <c r="A361" s="13" t="s">
        <v>11993</v>
      </c>
      <c r="B361" s="14" t="s">
        <v>19719</v>
      </c>
      <c r="C361" s="15" t="s">
        <v>11994</v>
      </c>
      <c r="D361" s="15" t="s">
        <v>11995</v>
      </c>
      <c r="E361" s="15" t="s">
        <v>11996</v>
      </c>
      <c r="F361" s="15" t="s">
        <v>11997</v>
      </c>
      <c r="G361" s="15" t="s">
        <v>11998</v>
      </c>
      <c r="H361" s="16" t="s">
        <v>11999</v>
      </c>
    </row>
    <row r="362" spans="1:8" ht="33.75" x14ac:dyDescent="0.3">
      <c r="A362" s="13" t="s">
        <v>12000</v>
      </c>
      <c r="B362" s="14" t="s">
        <v>19720</v>
      </c>
      <c r="C362" s="15" t="s">
        <v>12001</v>
      </c>
      <c r="D362" s="15" t="s">
        <v>12002</v>
      </c>
      <c r="E362" s="15" t="s">
        <v>12003</v>
      </c>
      <c r="F362" s="15" t="s">
        <v>12004</v>
      </c>
      <c r="G362" s="15" t="s">
        <v>12004</v>
      </c>
      <c r="H362" s="16" t="s">
        <v>12005</v>
      </c>
    </row>
    <row r="363" spans="1:8" ht="22.5" x14ac:dyDescent="0.3">
      <c r="A363" s="13">
        <v>32014</v>
      </c>
      <c r="B363" s="14" t="s">
        <v>12006</v>
      </c>
      <c r="C363" s="15"/>
      <c r="D363" s="15"/>
      <c r="E363" s="15"/>
      <c r="F363" s="15"/>
      <c r="G363" s="15"/>
      <c r="H363" s="16"/>
    </row>
    <row r="364" spans="1:8" ht="56.25" x14ac:dyDescent="0.3">
      <c r="A364" s="13" t="s">
        <v>12007</v>
      </c>
      <c r="B364" s="14" t="s">
        <v>19698</v>
      </c>
      <c r="C364" s="15" t="s">
        <v>12008</v>
      </c>
      <c r="D364" s="15" t="s">
        <v>12009</v>
      </c>
      <c r="E364" s="15" t="s">
        <v>12010</v>
      </c>
      <c r="F364" s="15" t="s">
        <v>12011</v>
      </c>
      <c r="G364" s="15" t="s">
        <v>12012</v>
      </c>
      <c r="H364" s="16" t="s">
        <v>12013</v>
      </c>
    </row>
    <row r="365" spans="1:8" ht="33.75" x14ac:dyDescent="0.3">
      <c r="A365" s="13" t="s">
        <v>12014</v>
      </c>
      <c r="B365" s="14" t="s">
        <v>19717</v>
      </c>
      <c r="C365" s="15" t="s">
        <v>12015</v>
      </c>
      <c r="D365" s="15" t="s">
        <v>12016</v>
      </c>
      <c r="E365" s="15" t="s">
        <v>12017</v>
      </c>
      <c r="F365" s="15" t="s">
        <v>12018</v>
      </c>
      <c r="G365" s="15" t="s">
        <v>12019</v>
      </c>
      <c r="H365" s="16" t="s">
        <v>12020</v>
      </c>
    </row>
    <row r="366" spans="1:8" x14ac:dyDescent="0.3">
      <c r="A366" s="13" t="s">
        <v>12021</v>
      </c>
      <c r="B366" s="14" t="s">
        <v>19718</v>
      </c>
      <c r="C366" s="15" t="s">
        <v>12022</v>
      </c>
      <c r="D366" s="15"/>
      <c r="E366" s="15" t="s">
        <v>12023</v>
      </c>
      <c r="F366" s="15"/>
      <c r="G366" s="15" t="s">
        <v>12024</v>
      </c>
      <c r="H366" s="16" t="s">
        <v>12025</v>
      </c>
    </row>
    <row r="367" spans="1:8" ht="22.5" x14ac:dyDescent="0.3">
      <c r="A367" s="13" t="s">
        <v>12026</v>
      </c>
      <c r="B367" s="14" t="s">
        <v>19719</v>
      </c>
      <c r="C367" s="15" t="s">
        <v>12027</v>
      </c>
      <c r="D367" s="15"/>
      <c r="E367" s="15"/>
      <c r="F367" s="15"/>
      <c r="G367" s="15" t="s">
        <v>12028</v>
      </c>
      <c r="H367" s="16" t="s">
        <v>12029</v>
      </c>
    </row>
    <row r="368" spans="1:8" ht="22.5" x14ac:dyDescent="0.3">
      <c r="A368" s="13" t="s">
        <v>12030</v>
      </c>
      <c r="B368" s="14" t="s">
        <v>19720</v>
      </c>
      <c r="C368" s="15" t="s">
        <v>12031</v>
      </c>
      <c r="D368" s="15" t="s">
        <v>12032</v>
      </c>
      <c r="E368" s="15" t="s">
        <v>12033</v>
      </c>
      <c r="F368" s="15" t="s">
        <v>12034</v>
      </c>
      <c r="G368" s="15" t="s">
        <v>12034</v>
      </c>
      <c r="H368" s="16" t="s">
        <v>12035</v>
      </c>
    </row>
    <row r="369" spans="1:8" ht="22.5" x14ac:dyDescent="0.3">
      <c r="A369" s="13">
        <v>32015</v>
      </c>
      <c r="B369" s="14" t="s">
        <v>12036</v>
      </c>
      <c r="C369" s="15"/>
      <c r="D369" s="15"/>
      <c r="E369" s="15"/>
      <c r="F369" s="15"/>
      <c r="G369" s="15"/>
      <c r="H369" s="16"/>
    </row>
    <row r="370" spans="1:8" ht="22.5" x14ac:dyDescent="0.3">
      <c r="A370" s="13" t="s">
        <v>12037</v>
      </c>
      <c r="B370" s="14" t="s">
        <v>19698</v>
      </c>
      <c r="C370" s="15" t="s">
        <v>12038</v>
      </c>
      <c r="D370" s="15"/>
      <c r="E370" s="15"/>
      <c r="F370" s="15" t="s">
        <v>12039</v>
      </c>
      <c r="G370" s="15" t="s">
        <v>12040</v>
      </c>
      <c r="H370" s="16" t="s">
        <v>12041</v>
      </c>
    </row>
    <row r="371" spans="1:8" ht="22.5" x14ac:dyDescent="0.3">
      <c r="A371" s="13" t="s">
        <v>12042</v>
      </c>
      <c r="B371" s="14" t="s">
        <v>19717</v>
      </c>
      <c r="C371" s="15" t="s">
        <v>12043</v>
      </c>
      <c r="D371" s="15"/>
      <c r="E371" s="15" t="s">
        <v>12044</v>
      </c>
      <c r="F371" s="15"/>
      <c r="G371" s="15" t="s">
        <v>12039</v>
      </c>
      <c r="H371" s="16" t="s">
        <v>12045</v>
      </c>
    </row>
    <row r="372" spans="1:8" ht="22.5" x14ac:dyDescent="0.3">
      <c r="A372" s="13" t="s">
        <v>12046</v>
      </c>
      <c r="B372" s="14" t="s">
        <v>19718</v>
      </c>
      <c r="C372" s="15"/>
      <c r="D372" s="15"/>
      <c r="E372" s="15" t="s">
        <v>12047</v>
      </c>
      <c r="F372" s="15" t="s">
        <v>12048</v>
      </c>
      <c r="G372" s="15" t="s">
        <v>12049</v>
      </c>
      <c r="H372" s="16" t="s">
        <v>12049</v>
      </c>
    </row>
    <row r="373" spans="1:8" ht="22.5" x14ac:dyDescent="0.3">
      <c r="A373" s="13" t="s">
        <v>12050</v>
      </c>
      <c r="B373" s="14" t="s">
        <v>19719</v>
      </c>
      <c r="C373" s="15" t="s">
        <v>12051</v>
      </c>
      <c r="D373" s="15" t="s">
        <v>12052</v>
      </c>
      <c r="E373" s="15" t="s">
        <v>12053</v>
      </c>
      <c r="F373" s="15" t="s">
        <v>12054</v>
      </c>
      <c r="G373" s="15" t="s">
        <v>12055</v>
      </c>
      <c r="H373" s="16" t="s">
        <v>12056</v>
      </c>
    </row>
    <row r="374" spans="1:8" ht="67.5" x14ac:dyDescent="0.3">
      <c r="A374" s="13" t="s">
        <v>12057</v>
      </c>
      <c r="B374" s="14" t="s">
        <v>19720</v>
      </c>
      <c r="C374" s="15" t="s">
        <v>12058</v>
      </c>
      <c r="D374" s="15" t="s">
        <v>12059</v>
      </c>
      <c r="E374" s="15" t="s">
        <v>12060</v>
      </c>
      <c r="F374" s="15" t="s">
        <v>12060</v>
      </c>
      <c r="G374" s="15" t="s">
        <v>12061</v>
      </c>
      <c r="H374" s="16" t="s">
        <v>12060</v>
      </c>
    </row>
    <row r="375" spans="1:8" x14ac:dyDescent="0.3">
      <c r="A375" s="13">
        <v>32016</v>
      </c>
      <c r="B375" s="14" t="s">
        <v>12062</v>
      </c>
      <c r="C375" s="15"/>
      <c r="D375" s="15"/>
      <c r="E375" s="15"/>
      <c r="F375" s="15"/>
      <c r="G375" s="15"/>
      <c r="H375" s="16"/>
    </row>
    <row r="376" spans="1:8" ht="22.5" x14ac:dyDescent="0.3">
      <c r="A376" s="13" t="s">
        <v>12063</v>
      </c>
      <c r="B376" s="14" t="s">
        <v>19698</v>
      </c>
      <c r="C376" s="15" t="s">
        <v>12064</v>
      </c>
      <c r="D376" s="15" t="s">
        <v>12065</v>
      </c>
      <c r="E376" s="15" t="s">
        <v>12066</v>
      </c>
      <c r="F376" s="15" t="s">
        <v>12067</v>
      </c>
      <c r="G376" s="15" t="s">
        <v>12068</v>
      </c>
      <c r="H376" s="16" t="s">
        <v>12069</v>
      </c>
    </row>
    <row r="377" spans="1:8" ht="22.5" x14ac:dyDescent="0.3">
      <c r="A377" s="13" t="s">
        <v>12070</v>
      </c>
      <c r="B377" s="14" t="s">
        <v>19717</v>
      </c>
      <c r="C377" s="15" t="s">
        <v>12071</v>
      </c>
      <c r="D377" s="15"/>
      <c r="E377" s="15" t="s">
        <v>12072</v>
      </c>
      <c r="F377" s="15" t="s">
        <v>57</v>
      </c>
      <c r="G377" s="15" t="s">
        <v>12073</v>
      </c>
      <c r="H377" s="16" t="s">
        <v>12074</v>
      </c>
    </row>
    <row r="378" spans="1:8" x14ac:dyDescent="0.3">
      <c r="A378" s="13" t="s">
        <v>12075</v>
      </c>
      <c r="B378" s="14" t="s">
        <v>19718</v>
      </c>
      <c r="C378" s="15" t="s">
        <v>12076</v>
      </c>
      <c r="D378" s="15"/>
      <c r="E378" s="15"/>
      <c r="F378" s="15" t="s">
        <v>12077</v>
      </c>
      <c r="G378" s="15" t="s">
        <v>12078</v>
      </c>
      <c r="H378" s="16" t="s">
        <v>12079</v>
      </c>
    </row>
    <row r="379" spans="1:8" x14ac:dyDescent="0.3">
      <c r="A379" s="13" t="s">
        <v>12080</v>
      </c>
      <c r="B379" s="14" t="s">
        <v>19719</v>
      </c>
      <c r="C379" s="15" t="s">
        <v>12081</v>
      </c>
      <c r="D379" s="15"/>
      <c r="E379" s="15" t="s">
        <v>12082</v>
      </c>
      <c r="F379" s="15" t="s">
        <v>12083</v>
      </c>
      <c r="G379" s="15" t="s">
        <v>12084</v>
      </c>
      <c r="H379" s="16" t="s">
        <v>12085</v>
      </c>
    </row>
    <row r="380" spans="1:8" ht="22.5" x14ac:dyDescent="0.3">
      <c r="A380" s="13" t="s">
        <v>12086</v>
      </c>
      <c r="B380" s="14" t="s">
        <v>19720</v>
      </c>
      <c r="C380" s="15" t="s">
        <v>12087</v>
      </c>
      <c r="D380" s="15" t="s">
        <v>12088</v>
      </c>
      <c r="E380" s="15" t="s">
        <v>12089</v>
      </c>
      <c r="F380" s="15" t="s">
        <v>12090</v>
      </c>
      <c r="G380" s="15" t="s">
        <v>12088</v>
      </c>
      <c r="H380" s="16" t="s">
        <v>12091</v>
      </c>
    </row>
    <row r="381" spans="1:8" x14ac:dyDescent="0.3">
      <c r="A381" s="13">
        <v>32017</v>
      </c>
      <c r="B381" s="14" t="s">
        <v>12092</v>
      </c>
      <c r="C381" s="15"/>
      <c r="D381" s="15"/>
      <c r="E381" s="15"/>
      <c r="F381" s="15"/>
      <c r="G381" s="15"/>
      <c r="H381" s="16"/>
    </row>
    <row r="382" spans="1:8" x14ac:dyDescent="0.3">
      <c r="A382" s="13" t="s">
        <v>12093</v>
      </c>
      <c r="B382" s="14" t="s">
        <v>19698</v>
      </c>
      <c r="C382" s="15" t="s">
        <v>12094</v>
      </c>
      <c r="D382" s="15"/>
      <c r="E382" s="15"/>
      <c r="F382" s="15" t="s">
        <v>57</v>
      </c>
      <c r="G382" s="15" t="s">
        <v>12095</v>
      </c>
      <c r="H382" s="16" t="s">
        <v>12096</v>
      </c>
    </row>
    <row r="383" spans="1:8" x14ac:dyDescent="0.3">
      <c r="A383" s="13" t="s">
        <v>12097</v>
      </c>
      <c r="B383" s="14" t="s">
        <v>19717</v>
      </c>
      <c r="C383" s="15" t="s">
        <v>12098</v>
      </c>
      <c r="D383" s="15"/>
      <c r="E383" s="15" t="s">
        <v>12099</v>
      </c>
      <c r="F383" s="15" t="s">
        <v>57</v>
      </c>
      <c r="G383" s="15" t="s">
        <v>12100</v>
      </c>
      <c r="H383" s="16" t="s">
        <v>12101</v>
      </c>
    </row>
    <row r="384" spans="1:8" ht="22.5" x14ac:dyDescent="0.3">
      <c r="A384" s="13" t="s">
        <v>12102</v>
      </c>
      <c r="B384" s="14" t="s">
        <v>19718</v>
      </c>
      <c r="C384" s="15" t="s">
        <v>12103</v>
      </c>
      <c r="D384" s="15"/>
      <c r="E384" s="15" t="s">
        <v>12104</v>
      </c>
      <c r="F384" s="15" t="s">
        <v>12105</v>
      </c>
      <c r="G384" s="15" t="s">
        <v>12106</v>
      </c>
      <c r="H384" s="16" t="s">
        <v>12107</v>
      </c>
    </row>
    <row r="385" spans="1:8" ht="22.5" x14ac:dyDescent="0.3">
      <c r="A385" s="13" t="s">
        <v>12108</v>
      </c>
      <c r="B385" s="14" t="s">
        <v>19719</v>
      </c>
      <c r="C385" s="15" t="s">
        <v>12109</v>
      </c>
      <c r="D385" s="15"/>
      <c r="E385" s="15" t="s">
        <v>12110</v>
      </c>
      <c r="F385" s="15" t="s">
        <v>12111</v>
      </c>
      <c r="G385" s="15" t="s">
        <v>12112</v>
      </c>
      <c r="H385" s="16" t="s">
        <v>12113</v>
      </c>
    </row>
    <row r="386" spans="1:8" ht="67.5" x14ac:dyDescent="0.3">
      <c r="A386" s="13" t="s">
        <v>12114</v>
      </c>
      <c r="B386" s="14" t="s">
        <v>19720</v>
      </c>
      <c r="C386" s="15" t="s">
        <v>12115</v>
      </c>
      <c r="D386" s="15" t="s">
        <v>12116</v>
      </c>
      <c r="E386" s="15" t="s">
        <v>12117</v>
      </c>
      <c r="F386" s="15" t="s">
        <v>12118</v>
      </c>
      <c r="G386" s="15" t="s">
        <v>12119</v>
      </c>
      <c r="H386" s="16" t="s">
        <v>12118</v>
      </c>
    </row>
    <row r="387" spans="1:8" ht="22.5" x14ac:dyDescent="0.3">
      <c r="A387" s="13">
        <v>32018</v>
      </c>
      <c r="B387" s="14" t="s">
        <v>12120</v>
      </c>
      <c r="C387" s="15"/>
      <c r="D387" s="15"/>
      <c r="E387" s="15"/>
      <c r="F387" s="15"/>
      <c r="G387" s="15"/>
      <c r="H387" s="16"/>
    </row>
    <row r="388" spans="1:8" x14ac:dyDescent="0.3">
      <c r="A388" s="13" t="s">
        <v>12121</v>
      </c>
      <c r="B388" s="14" t="s">
        <v>19698</v>
      </c>
      <c r="C388" s="15" t="s">
        <v>12122</v>
      </c>
      <c r="D388" s="15"/>
      <c r="E388" s="15" t="s">
        <v>12123</v>
      </c>
      <c r="F388" s="15" t="s">
        <v>12124</v>
      </c>
      <c r="G388" s="15" t="s">
        <v>12125</v>
      </c>
      <c r="H388" s="16" t="s">
        <v>12126</v>
      </c>
    </row>
    <row r="389" spans="1:8" ht="22.5" x14ac:dyDescent="0.3">
      <c r="A389" s="13" t="s">
        <v>12127</v>
      </c>
      <c r="B389" s="14" t="s">
        <v>19717</v>
      </c>
      <c r="C389" s="15" t="s">
        <v>12128</v>
      </c>
      <c r="D389" s="15" t="s">
        <v>12129</v>
      </c>
      <c r="E389" s="15" t="s">
        <v>12130</v>
      </c>
      <c r="F389" s="15" t="s">
        <v>12131</v>
      </c>
      <c r="G389" s="15" t="s">
        <v>12132</v>
      </c>
      <c r="H389" s="16" t="s">
        <v>12133</v>
      </c>
    </row>
    <row r="390" spans="1:8" x14ac:dyDescent="0.3">
      <c r="A390" s="13" t="s">
        <v>12134</v>
      </c>
      <c r="B390" s="14" t="s">
        <v>19718</v>
      </c>
      <c r="C390" s="15" t="s">
        <v>12135</v>
      </c>
      <c r="D390" s="15"/>
      <c r="E390" s="15" t="s">
        <v>12125</v>
      </c>
      <c r="F390" s="15" t="s">
        <v>12125</v>
      </c>
      <c r="G390" s="15" t="s">
        <v>12136</v>
      </c>
      <c r="H390" s="16" t="s">
        <v>12137</v>
      </c>
    </row>
    <row r="391" spans="1:8" ht="22.5" x14ac:dyDescent="0.3">
      <c r="A391" s="13" t="s">
        <v>12138</v>
      </c>
      <c r="B391" s="14" t="s">
        <v>19719</v>
      </c>
      <c r="C391" s="15" t="s">
        <v>12139</v>
      </c>
      <c r="D391" s="15"/>
      <c r="E391" s="15" t="s">
        <v>12140</v>
      </c>
      <c r="F391" s="15" t="s">
        <v>12141</v>
      </c>
      <c r="G391" s="15" t="s">
        <v>12142</v>
      </c>
      <c r="H391" s="16" t="s">
        <v>12143</v>
      </c>
    </row>
    <row r="392" spans="1:8" ht="22.5" x14ac:dyDescent="0.3">
      <c r="A392" s="13" t="s">
        <v>12144</v>
      </c>
      <c r="B392" s="14" t="s">
        <v>19720</v>
      </c>
      <c r="C392" s="15" t="s">
        <v>12145</v>
      </c>
      <c r="D392" s="15" t="s">
        <v>12146</v>
      </c>
      <c r="E392" s="15" t="s">
        <v>12147</v>
      </c>
      <c r="F392" s="15" t="s">
        <v>12148</v>
      </c>
      <c r="G392" s="15" t="s">
        <v>12149</v>
      </c>
      <c r="H392" s="16" t="s">
        <v>12150</v>
      </c>
    </row>
    <row r="393" spans="1:8" ht="22.5" x14ac:dyDescent="0.3">
      <c r="A393" s="13">
        <v>32019</v>
      </c>
      <c r="B393" s="14" t="s">
        <v>12151</v>
      </c>
      <c r="C393" s="15"/>
      <c r="D393" s="15"/>
      <c r="E393" s="15"/>
      <c r="F393" s="15"/>
      <c r="G393" s="15"/>
      <c r="H393" s="16"/>
    </row>
    <row r="394" spans="1:8" ht="22.5" x14ac:dyDescent="0.3">
      <c r="A394" s="13" t="s">
        <v>12152</v>
      </c>
      <c r="B394" s="14" t="s">
        <v>19698</v>
      </c>
      <c r="C394" s="15" t="s">
        <v>12153</v>
      </c>
      <c r="D394" s="15" t="s">
        <v>12154</v>
      </c>
      <c r="E394" s="15" t="s">
        <v>12155</v>
      </c>
      <c r="F394" s="15" t="s">
        <v>12156</v>
      </c>
      <c r="G394" s="15" t="s">
        <v>12157</v>
      </c>
      <c r="H394" s="16" t="s">
        <v>12158</v>
      </c>
    </row>
    <row r="395" spans="1:8" ht="22.5" x14ac:dyDescent="0.3">
      <c r="A395" s="13" t="s">
        <v>12159</v>
      </c>
      <c r="B395" s="14" t="s">
        <v>19717</v>
      </c>
      <c r="C395" s="15" t="s">
        <v>12160</v>
      </c>
      <c r="D395" s="15"/>
      <c r="E395" s="15" t="s">
        <v>12161</v>
      </c>
      <c r="F395" s="15" t="s">
        <v>12162</v>
      </c>
      <c r="G395" s="15" t="s">
        <v>12163</v>
      </c>
      <c r="H395" s="16" t="s">
        <v>12164</v>
      </c>
    </row>
    <row r="396" spans="1:8" ht="22.5" x14ac:dyDescent="0.3">
      <c r="A396" s="13" t="s">
        <v>12165</v>
      </c>
      <c r="B396" s="14" t="s">
        <v>19718</v>
      </c>
      <c r="C396" s="15" t="s">
        <v>12166</v>
      </c>
      <c r="D396" s="15"/>
      <c r="E396" s="15" t="s">
        <v>12167</v>
      </c>
      <c r="F396" s="15" t="s">
        <v>12168</v>
      </c>
      <c r="G396" s="15" t="s">
        <v>12169</v>
      </c>
      <c r="H396" s="16"/>
    </row>
    <row r="397" spans="1:8" ht="22.5" x14ac:dyDescent="0.3">
      <c r="A397" s="13" t="s">
        <v>12170</v>
      </c>
      <c r="B397" s="14" t="s">
        <v>19719</v>
      </c>
      <c r="C397" s="15" t="s">
        <v>12171</v>
      </c>
      <c r="D397" s="15"/>
      <c r="E397" s="15" t="s">
        <v>12172</v>
      </c>
      <c r="F397" s="15" t="s">
        <v>12173</v>
      </c>
      <c r="G397" s="15" t="s">
        <v>12174</v>
      </c>
      <c r="H397" s="16" t="s">
        <v>12175</v>
      </c>
    </row>
    <row r="398" spans="1:8" ht="22.5" x14ac:dyDescent="0.3">
      <c r="A398" s="13" t="s">
        <v>12176</v>
      </c>
      <c r="B398" s="14" t="s">
        <v>19720</v>
      </c>
      <c r="C398" s="15" t="s">
        <v>12177</v>
      </c>
      <c r="D398" s="15" t="s">
        <v>12178</v>
      </c>
      <c r="E398" s="15" t="s">
        <v>12179</v>
      </c>
      <c r="F398" s="15" t="s">
        <v>12180</v>
      </c>
      <c r="G398" s="15" t="s">
        <v>12180</v>
      </c>
      <c r="H398" s="16" t="s">
        <v>12181</v>
      </c>
    </row>
    <row r="399" spans="1:8" x14ac:dyDescent="0.3">
      <c r="A399" s="13">
        <v>32020</v>
      </c>
      <c r="B399" s="14" t="s">
        <v>12182</v>
      </c>
      <c r="C399" s="15"/>
      <c r="D399" s="15"/>
      <c r="E399" s="15"/>
      <c r="F399" s="15"/>
      <c r="G399" s="15"/>
      <c r="H399" s="16"/>
    </row>
    <row r="400" spans="1:8" ht="33.75" x14ac:dyDescent="0.3">
      <c r="A400" s="13" t="s">
        <v>12183</v>
      </c>
      <c r="B400" s="14" t="s">
        <v>19698</v>
      </c>
      <c r="C400" s="15" t="s">
        <v>12184</v>
      </c>
      <c r="D400" s="15" t="s">
        <v>12185</v>
      </c>
      <c r="E400" s="15" t="s">
        <v>12186</v>
      </c>
      <c r="F400" s="15" t="s">
        <v>12187</v>
      </c>
      <c r="G400" s="15" t="s">
        <v>12188</v>
      </c>
      <c r="H400" s="16" t="s">
        <v>12189</v>
      </c>
    </row>
    <row r="401" spans="1:8" ht="22.5" x14ac:dyDescent="0.3">
      <c r="A401" s="13" t="s">
        <v>12190</v>
      </c>
      <c r="B401" s="14" t="s">
        <v>19717</v>
      </c>
      <c r="C401" s="15" t="s">
        <v>12191</v>
      </c>
      <c r="D401" s="15" t="s">
        <v>12192</v>
      </c>
      <c r="E401" s="15" t="s">
        <v>12193</v>
      </c>
      <c r="F401" s="15" t="s">
        <v>12194</v>
      </c>
      <c r="G401" s="15" t="s">
        <v>12195</v>
      </c>
      <c r="H401" s="16" t="s">
        <v>12196</v>
      </c>
    </row>
    <row r="402" spans="1:8" x14ac:dyDescent="0.3">
      <c r="A402" s="13" t="s">
        <v>12197</v>
      </c>
      <c r="B402" s="14" t="s">
        <v>19718</v>
      </c>
      <c r="C402" s="15"/>
      <c r="D402" s="15"/>
      <c r="E402" s="15" t="s">
        <v>12198</v>
      </c>
      <c r="F402" s="15" t="s">
        <v>12199</v>
      </c>
      <c r="G402" s="15" t="s">
        <v>12200</v>
      </c>
      <c r="H402" s="16"/>
    </row>
    <row r="403" spans="1:8" x14ac:dyDescent="0.3">
      <c r="A403" s="13" t="s">
        <v>12201</v>
      </c>
      <c r="B403" s="14" t="s">
        <v>19719</v>
      </c>
      <c r="C403" s="15" t="s">
        <v>12202</v>
      </c>
      <c r="D403" s="15"/>
      <c r="E403" s="15" t="s">
        <v>12203</v>
      </c>
      <c r="F403" s="15" t="s">
        <v>12204</v>
      </c>
      <c r="G403" s="15" t="s">
        <v>12205</v>
      </c>
      <c r="H403" s="16" t="s">
        <v>12206</v>
      </c>
    </row>
    <row r="404" spans="1:8" ht="22.5" x14ac:dyDescent="0.3">
      <c r="A404" s="13" t="s">
        <v>12207</v>
      </c>
      <c r="B404" s="14" t="s">
        <v>19720</v>
      </c>
      <c r="C404" s="15" t="s">
        <v>12208</v>
      </c>
      <c r="D404" s="15"/>
      <c r="E404" s="15" t="s">
        <v>12209</v>
      </c>
      <c r="F404" s="15" t="s">
        <v>12210</v>
      </c>
      <c r="G404" s="15" t="s">
        <v>12211</v>
      </c>
      <c r="H404" s="16" t="s">
        <v>12212</v>
      </c>
    </row>
    <row r="405" spans="1:8" x14ac:dyDescent="0.3">
      <c r="A405" s="13">
        <v>32021</v>
      </c>
      <c r="B405" s="14" t="s">
        <v>12213</v>
      </c>
      <c r="C405" s="15"/>
      <c r="D405" s="15"/>
      <c r="E405" s="15"/>
      <c r="F405" s="15"/>
      <c r="G405" s="15"/>
      <c r="H405" s="16"/>
    </row>
    <row r="406" spans="1:8" ht="33.75" x14ac:dyDescent="0.3">
      <c r="A406" s="13" t="s">
        <v>12214</v>
      </c>
      <c r="B406" s="14" t="s">
        <v>19698</v>
      </c>
      <c r="C406" s="15" t="s">
        <v>12215</v>
      </c>
      <c r="D406" s="15" t="s">
        <v>12216</v>
      </c>
      <c r="E406" s="15" t="s">
        <v>12217</v>
      </c>
      <c r="F406" s="15" t="s">
        <v>12218</v>
      </c>
      <c r="G406" s="15" t="s">
        <v>12219</v>
      </c>
      <c r="H406" s="16" t="s">
        <v>12220</v>
      </c>
    </row>
    <row r="407" spans="1:8" ht="33.75" x14ac:dyDescent="0.3">
      <c r="A407" s="13" t="s">
        <v>12221</v>
      </c>
      <c r="B407" s="14" t="s">
        <v>19717</v>
      </c>
      <c r="C407" s="15" t="s">
        <v>12222</v>
      </c>
      <c r="D407" s="15" t="s">
        <v>12223</v>
      </c>
      <c r="E407" s="15" t="s">
        <v>12224</v>
      </c>
      <c r="F407" s="15" t="s">
        <v>57</v>
      </c>
      <c r="G407" s="15" t="s">
        <v>12225</v>
      </c>
      <c r="H407" s="16" t="s">
        <v>4454</v>
      </c>
    </row>
    <row r="408" spans="1:8" ht="22.5" x14ac:dyDescent="0.3">
      <c r="A408" s="13" t="s">
        <v>12226</v>
      </c>
      <c r="B408" s="14" t="s">
        <v>19718</v>
      </c>
      <c r="C408" s="15" t="s">
        <v>12227</v>
      </c>
      <c r="D408" s="15" t="s">
        <v>12228</v>
      </c>
      <c r="E408" s="15" t="s">
        <v>12229</v>
      </c>
      <c r="F408" s="15" t="s">
        <v>12230</v>
      </c>
      <c r="G408" s="15" t="s">
        <v>12231</v>
      </c>
      <c r="H408" s="16" t="s">
        <v>12232</v>
      </c>
    </row>
    <row r="409" spans="1:8" ht="22.5" x14ac:dyDescent="0.3">
      <c r="A409" s="13" t="s">
        <v>12233</v>
      </c>
      <c r="B409" s="14" t="s">
        <v>19719</v>
      </c>
      <c r="C409" s="15" t="s">
        <v>12234</v>
      </c>
      <c r="D409" s="15"/>
      <c r="E409" s="15" t="s">
        <v>12235</v>
      </c>
      <c r="F409" s="15" t="s">
        <v>57</v>
      </c>
      <c r="G409" s="15" t="s">
        <v>12236</v>
      </c>
      <c r="H409" s="16" t="s">
        <v>12237</v>
      </c>
    </row>
    <row r="410" spans="1:8" ht="45" x14ac:dyDescent="0.3">
      <c r="A410" s="13" t="s">
        <v>12238</v>
      </c>
      <c r="B410" s="14" t="s">
        <v>19720</v>
      </c>
      <c r="C410" s="15" t="s">
        <v>12239</v>
      </c>
      <c r="D410" s="15" t="s">
        <v>12240</v>
      </c>
      <c r="E410" s="15" t="s">
        <v>12241</v>
      </c>
      <c r="F410" s="15" t="s">
        <v>12242</v>
      </c>
      <c r="G410" s="15" t="s">
        <v>12243</v>
      </c>
      <c r="H410" s="16" t="s">
        <v>12244</v>
      </c>
    </row>
    <row r="411" spans="1:8" ht="22.5" x14ac:dyDescent="0.3">
      <c r="A411" s="13">
        <v>32022</v>
      </c>
      <c r="B411" s="14" t="s">
        <v>12245</v>
      </c>
      <c r="C411" s="15"/>
      <c r="D411" s="15"/>
      <c r="E411" s="15"/>
      <c r="F411" s="15"/>
      <c r="G411" s="15"/>
      <c r="H411" s="16"/>
    </row>
    <row r="412" spans="1:8" ht="33.75" x14ac:dyDescent="0.3">
      <c r="A412" s="13" t="s">
        <v>12246</v>
      </c>
      <c r="B412" s="14" t="s">
        <v>19698</v>
      </c>
      <c r="C412" s="15" t="s">
        <v>12247</v>
      </c>
      <c r="D412" s="15" t="s">
        <v>12248</v>
      </c>
      <c r="E412" s="15" t="s">
        <v>12249</v>
      </c>
      <c r="F412" s="15" t="s">
        <v>12250</v>
      </c>
      <c r="G412" s="15" t="s">
        <v>12251</v>
      </c>
      <c r="H412" s="16" t="s">
        <v>12252</v>
      </c>
    </row>
    <row r="413" spans="1:8" ht="22.5" x14ac:dyDescent="0.3">
      <c r="A413" s="13" t="s">
        <v>12253</v>
      </c>
      <c r="B413" s="14" t="s">
        <v>19717</v>
      </c>
      <c r="C413" s="15" t="s">
        <v>12254</v>
      </c>
      <c r="D413" s="15"/>
      <c r="E413" s="15" t="s">
        <v>12255</v>
      </c>
      <c r="F413" s="15" t="s">
        <v>12256</v>
      </c>
      <c r="G413" s="15" t="s">
        <v>12257</v>
      </c>
      <c r="H413" s="16" t="s">
        <v>12258</v>
      </c>
    </row>
    <row r="414" spans="1:8" x14ac:dyDescent="0.3">
      <c r="A414" s="13" t="s">
        <v>12259</v>
      </c>
      <c r="B414" s="14" t="s">
        <v>19718</v>
      </c>
      <c r="C414" s="15" t="s">
        <v>12260</v>
      </c>
      <c r="D414" s="15"/>
      <c r="E414" s="15" t="s">
        <v>12261</v>
      </c>
      <c r="F414" s="15" t="s">
        <v>57</v>
      </c>
      <c r="G414" s="15" t="s">
        <v>12262</v>
      </c>
      <c r="H414" s="16"/>
    </row>
    <row r="415" spans="1:8" ht="22.5" x14ac:dyDescent="0.3">
      <c r="A415" s="13" t="s">
        <v>12263</v>
      </c>
      <c r="B415" s="14" t="s">
        <v>19719</v>
      </c>
      <c r="C415" s="15" t="s">
        <v>12264</v>
      </c>
      <c r="D415" s="15"/>
      <c r="E415" s="15" t="s">
        <v>12265</v>
      </c>
      <c r="F415" s="15" t="s">
        <v>12266</v>
      </c>
      <c r="G415" s="15" t="s">
        <v>12267</v>
      </c>
      <c r="H415" s="16" t="s">
        <v>12268</v>
      </c>
    </row>
    <row r="416" spans="1:8" ht="22.5" x14ac:dyDescent="0.3">
      <c r="A416" s="13" t="s">
        <v>12269</v>
      </c>
      <c r="B416" s="14" t="s">
        <v>19720</v>
      </c>
      <c r="C416" s="15" t="s">
        <v>12270</v>
      </c>
      <c r="D416" s="15" t="s">
        <v>12271</v>
      </c>
      <c r="E416" s="15" t="s">
        <v>12272</v>
      </c>
      <c r="F416" s="15" t="s">
        <v>12273</v>
      </c>
      <c r="G416" s="15" t="s">
        <v>12273</v>
      </c>
      <c r="H416" s="16" t="s">
        <v>12273</v>
      </c>
    </row>
    <row r="417" spans="1:8" x14ac:dyDescent="0.3">
      <c r="A417" s="13">
        <v>32023</v>
      </c>
      <c r="B417" s="14" t="s">
        <v>12274</v>
      </c>
      <c r="C417" s="15"/>
      <c r="D417" s="15"/>
      <c r="E417" s="15"/>
      <c r="F417" s="15"/>
      <c r="G417" s="15"/>
      <c r="H417" s="16"/>
    </row>
    <row r="418" spans="1:8" ht="33.75" x14ac:dyDescent="0.3">
      <c r="A418" s="13" t="s">
        <v>12275</v>
      </c>
      <c r="B418" s="14" t="s">
        <v>19698</v>
      </c>
      <c r="C418" s="15" t="s">
        <v>12276</v>
      </c>
      <c r="D418" s="15" t="s">
        <v>57</v>
      </c>
      <c r="E418" s="15" t="s">
        <v>12277</v>
      </c>
      <c r="F418" s="15" t="s">
        <v>57</v>
      </c>
      <c r="G418" s="15" t="s">
        <v>12278</v>
      </c>
      <c r="H418" s="16" t="s">
        <v>12279</v>
      </c>
    </row>
    <row r="419" spans="1:8" ht="22.5" x14ac:dyDescent="0.3">
      <c r="A419" s="13" t="s">
        <v>12280</v>
      </c>
      <c r="B419" s="14" t="s">
        <v>19717</v>
      </c>
      <c r="C419" s="15" t="s">
        <v>12281</v>
      </c>
      <c r="D419" s="15"/>
      <c r="E419" s="15" t="s">
        <v>12282</v>
      </c>
      <c r="F419" s="15" t="s">
        <v>57</v>
      </c>
      <c r="G419" s="15" t="s">
        <v>12283</v>
      </c>
      <c r="H419" s="16" t="s">
        <v>12284</v>
      </c>
    </row>
    <row r="420" spans="1:8" x14ac:dyDescent="0.3">
      <c r="A420" s="13" t="s">
        <v>12285</v>
      </c>
      <c r="B420" s="14" t="s">
        <v>19718</v>
      </c>
      <c r="C420" s="15" t="s">
        <v>12286</v>
      </c>
      <c r="D420" s="15"/>
      <c r="E420" s="15" t="s">
        <v>12287</v>
      </c>
      <c r="F420" s="15" t="s">
        <v>57</v>
      </c>
      <c r="G420" s="15" t="s">
        <v>12288</v>
      </c>
      <c r="H420" s="16" t="s">
        <v>12289</v>
      </c>
    </row>
    <row r="421" spans="1:8" ht="22.5" x14ac:dyDescent="0.3">
      <c r="A421" s="13" t="s">
        <v>12290</v>
      </c>
      <c r="B421" s="14" t="s">
        <v>19719</v>
      </c>
      <c r="C421" s="15" t="s">
        <v>12291</v>
      </c>
      <c r="D421" s="15"/>
      <c r="E421" s="15" t="s">
        <v>12292</v>
      </c>
      <c r="F421" s="15" t="s">
        <v>57</v>
      </c>
      <c r="G421" s="15" t="s">
        <v>12293</v>
      </c>
      <c r="H421" s="16" t="s">
        <v>12294</v>
      </c>
    </row>
    <row r="422" spans="1:8" ht="45" x14ac:dyDescent="0.3">
      <c r="A422" s="13" t="s">
        <v>12295</v>
      </c>
      <c r="B422" s="14" t="s">
        <v>19720</v>
      </c>
      <c r="C422" s="15" t="s">
        <v>12296</v>
      </c>
      <c r="D422" s="15"/>
      <c r="E422" s="15" t="s">
        <v>12297</v>
      </c>
      <c r="F422" s="15" t="s">
        <v>57</v>
      </c>
      <c r="G422" s="15" t="s">
        <v>12298</v>
      </c>
      <c r="H422" s="16" t="s">
        <v>12299</v>
      </c>
    </row>
    <row r="423" spans="1:8" ht="22.5" x14ac:dyDescent="0.3">
      <c r="A423" s="13">
        <v>32024</v>
      </c>
      <c r="B423" s="14" t="s">
        <v>12300</v>
      </c>
      <c r="C423" s="15"/>
      <c r="D423" s="15"/>
      <c r="E423" s="15"/>
      <c r="F423" s="15"/>
      <c r="G423" s="15"/>
      <c r="H423" s="16"/>
    </row>
    <row r="424" spans="1:8" ht="45" x14ac:dyDescent="0.3">
      <c r="A424" s="13" t="s">
        <v>12301</v>
      </c>
      <c r="B424" s="14" t="s">
        <v>19698</v>
      </c>
      <c r="C424" s="15" t="s">
        <v>12302</v>
      </c>
      <c r="D424" s="15"/>
      <c r="E424" s="15" t="s">
        <v>12303</v>
      </c>
      <c r="F424" s="15" t="s">
        <v>12304</v>
      </c>
      <c r="G424" s="15" t="s">
        <v>12305</v>
      </c>
      <c r="H424" s="16" t="s">
        <v>12306</v>
      </c>
    </row>
    <row r="425" spans="1:8" ht="22.5" x14ac:dyDescent="0.3">
      <c r="A425" s="13" t="s">
        <v>12307</v>
      </c>
      <c r="B425" s="14" t="s">
        <v>19717</v>
      </c>
      <c r="C425" s="15" t="s">
        <v>12308</v>
      </c>
      <c r="D425" s="15"/>
      <c r="E425" s="15" t="s">
        <v>12309</v>
      </c>
      <c r="F425" s="15" t="s">
        <v>12310</v>
      </c>
      <c r="G425" s="15" t="s">
        <v>12311</v>
      </c>
      <c r="H425" s="16" t="s">
        <v>12312</v>
      </c>
    </row>
    <row r="426" spans="1:8" x14ac:dyDescent="0.3">
      <c r="A426" s="13" t="s">
        <v>12313</v>
      </c>
      <c r="B426" s="14" t="s">
        <v>19718</v>
      </c>
      <c r="C426" s="15" t="s">
        <v>12314</v>
      </c>
      <c r="D426" s="15"/>
      <c r="E426" s="15" t="s">
        <v>12315</v>
      </c>
      <c r="F426" s="15" t="s">
        <v>12316</v>
      </c>
      <c r="G426" s="15" t="s">
        <v>12317</v>
      </c>
      <c r="H426" s="16" t="s">
        <v>12318</v>
      </c>
    </row>
    <row r="427" spans="1:8" ht="67.5" x14ac:dyDescent="0.3">
      <c r="A427" s="13" t="s">
        <v>12319</v>
      </c>
      <c r="B427" s="14" t="s">
        <v>19719</v>
      </c>
      <c r="C427" s="15" t="s">
        <v>12320</v>
      </c>
      <c r="D427" s="15" t="s">
        <v>12321</v>
      </c>
      <c r="E427" s="15" t="s">
        <v>12322</v>
      </c>
      <c r="F427" s="15" t="s">
        <v>12323</v>
      </c>
      <c r="G427" s="15" t="s">
        <v>12324</v>
      </c>
      <c r="H427" s="16" t="s">
        <v>12325</v>
      </c>
    </row>
    <row r="428" spans="1:8" ht="33.75" x14ac:dyDescent="0.3">
      <c r="A428" s="13" t="s">
        <v>12326</v>
      </c>
      <c r="B428" s="14" t="s">
        <v>19720</v>
      </c>
      <c r="C428" s="15" t="s">
        <v>12327</v>
      </c>
      <c r="D428" s="15" t="s">
        <v>12328</v>
      </c>
      <c r="E428" s="15" t="s">
        <v>12329</v>
      </c>
      <c r="F428" s="15" t="s">
        <v>12330</v>
      </c>
      <c r="G428" s="15" t="s">
        <v>12331</v>
      </c>
      <c r="H428" s="16" t="s">
        <v>12332</v>
      </c>
    </row>
    <row r="429" spans="1:8" ht="22.5" x14ac:dyDescent="0.3">
      <c r="A429" s="13">
        <v>32025</v>
      </c>
      <c r="B429" s="14" t="s">
        <v>12333</v>
      </c>
      <c r="C429" s="15"/>
      <c r="D429" s="15"/>
      <c r="E429" s="15"/>
      <c r="F429" s="15"/>
      <c r="G429" s="15"/>
      <c r="H429" s="16"/>
    </row>
    <row r="430" spans="1:8" ht="78.75" x14ac:dyDescent="0.3">
      <c r="A430" s="13" t="s">
        <v>12334</v>
      </c>
      <c r="B430" s="14" t="s">
        <v>19698</v>
      </c>
      <c r="C430" s="15" t="s">
        <v>12335</v>
      </c>
      <c r="D430" s="15" t="s">
        <v>12336</v>
      </c>
      <c r="E430" s="15" t="s">
        <v>12337</v>
      </c>
      <c r="F430" s="15" t="s">
        <v>12338</v>
      </c>
      <c r="G430" s="15" t="s">
        <v>12339</v>
      </c>
      <c r="H430" s="16" t="s">
        <v>12340</v>
      </c>
    </row>
    <row r="431" spans="1:8" ht="67.5" x14ac:dyDescent="0.3">
      <c r="A431" s="13" t="s">
        <v>12341</v>
      </c>
      <c r="B431" s="14" t="s">
        <v>19717</v>
      </c>
      <c r="C431" s="15" t="s">
        <v>12342</v>
      </c>
      <c r="D431" s="15" t="s">
        <v>12343</v>
      </c>
      <c r="E431" s="15" t="s">
        <v>12344</v>
      </c>
      <c r="F431" s="15"/>
      <c r="G431" s="15" t="s">
        <v>12345</v>
      </c>
      <c r="H431" s="16" t="s">
        <v>12346</v>
      </c>
    </row>
    <row r="432" spans="1:8" ht="22.5" x14ac:dyDescent="0.3">
      <c r="A432" s="13" t="s">
        <v>12347</v>
      </c>
      <c r="B432" s="14" t="s">
        <v>19718</v>
      </c>
      <c r="C432" s="15" t="s">
        <v>12348</v>
      </c>
      <c r="D432" s="15"/>
      <c r="E432" s="15" t="s">
        <v>12349</v>
      </c>
      <c r="F432" s="15" t="s">
        <v>12350</v>
      </c>
      <c r="G432" s="15" t="s">
        <v>12351</v>
      </c>
      <c r="H432" s="16" t="s">
        <v>12352</v>
      </c>
    </row>
    <row r="433" spans="1:8" ht="22.5" x14ac:dyDescent="0.3">
      <c r="A433" s="13" t="s">
        <v>12353</v>
      </c>
      <c r="B433" s="14" t="s">
        <v>19719</v>
      </c>
      <c r="C433" s="15" t="s">
        <v>12354</v>
      </c>
      <c r="D433" s="15"/>
      <c r="E433" s="15" t="s">
        <v>12355</v>
      </c>
      <c r="F433" s="15" t="s">
        <v>12356</v>
      </c>
      <c r="G433" s="15" t="s">
        <v>12357</v>
      </c>
      <c r="H433" s="16" t="s">
        <v>12358</v>
      </c>
    </row>
    <row r="434" spans="1:8" ht="33.75" x14ac:dyDescent="0.3">
      <c r="A434" s="13" t="s">
        <v>12359</v>
      </c>
      <c r="B434" s="14" t="s">
        <v>19720</v>
      </c>
      <c r="C434" s="15" t="s">
        <v>12360</v>
      </c>
      <c r="D434" s="15"/>
      <c r="E434" s="15" t="s">
        <v>12361</v>
      </c>
      <c r="F434" s="15" t="s">
        <v>12362</v>
      </c>
      <c r="G434" s="15" t="s">
        <v>12363</v>
      </c>
      <c r="H434" s="16" t="s">
        <v>12364</v>
      </c>
    </row>
    <row r="435" spans="1:8" x14ac:dyDescent="0.3">
      <c r="A435" s="13">
        <v>32026</v>
      </c>
      <c r="B435" s="14" t="s">
        <v>12365</v>
      </c>
      <c r="C435" s="15"/>
      <c r="D435" s="15"/>
      <c r="E435" s="15"/>
      <c r="F435" s="15"/>
      <c r="G435" s="15"/>
      <c r="H435" s="16"/>
    </row>
    <row r="436" spans="1:8" ht="78.75" x14ac:dyDescent="0.3">
      <c r="A436" s="13" t="s">
        <v>12366</v>
      </c>
      <c r="B436" s="14" t="s">
        <v>19698</v>
      </c>
      <c r="C436" s="15" t="s">
        <v>12367</v>
      </c>
      <c r="D436" s="15" t="s">
        <v>12368</v>
      </c>
      <c r="E436" s="15" t="s">
        <v>12369</v>
      </c>
      <c r="F436" s="15" t="s">
        <v>12370</v>
      </c>
      <c r="G436" s="15" t="s">
        <v>12371</v>
      </c>
      <c r="H436" s="16" t="s">
        <v>12372</v>
      </c>
    </row>
    <row r="437" spans="1:8" x14ac:dyDescent="0.3">
      <c r="A437" s="13" t="s">
        <v>12373</v>
      </c>
      <c r="B437" s="14" t="s">
        <v>19717</v>
      </c>
      <c r="C437" s="15" t="s">
        <v>12374</v>
      </c>
      <c r="D437" s="15"/>
      <c r="E437" s="15" t="s">
        <v>12375</v>
      </c>
      <c r="F437" s="15"/>
      <c r="G437" s="15" t="s">
        <v>12376</v>
      </c>
      <c r="H437" s="16" t="s">
        <v>12377</v>
      </c>
    </row>
    <row r="438" spans="1:8" ht="22.5" x14ac:dyDescent="0.3">
      <c r="A438" s="13" t="s">
        <v>12378</v>
      </c>
      <c r="B438" s="14" t="s">
        <v>19718</v>
      </c>
      <c r="C438" s="15" t="s">
        <v>12379</v>
      </c>
      <c r="D438" s="15"/>
      <c r="E438" s="15" t="s">
        <v>12380</v>
      </c>
      <c r="F438" s="15" t="s">
        <v>12381</v>
      </c>
      <c r="G438" s="15" t="s">
        <v>12382</v>
      </c>
      <c r="H438" s="16" t="s">
        <v>12383</v>
      </c>
    </row>
    <row r="439" spans="1:8" ht="22.5" x14ac:dyDescent="0.3">
      <c r="A439" s="13" t="s">
        <v>12384</v>
      </c>
      <c r="B439" s="14" t="s">
        <v>19719</v>
      </c>
      <c r="C439" s="15" t="s">
        <v>12385</v>
      </c>
      <c r="D439" s="15"/>
      <c r="E439" s="15" t="s">
        <v>12386</v>
      </c>
      <c r="F439" s="15" t="s">
        <v>12387</v>
      </c>
      <c r="G439" s="15" t="s">
        <v>12388</v>
      </c>
      <c r="H439" s="16" t="s">
        <v>12389</v>
      </c>
    </row>
    <row r="440" spans="1:8" ht="33.75" x14ac:dyDescent="0.3">
      <c r="A440" s="13" t="s">
        <v>12390</v>
      </c>
      <c r="B440" s="14" t="s">
        <v>19720</v>
      </c>
      <c r="C440" s="15" t="s">
        <v>12391</v>
      </c>
      <c r="D440" s="15" t="s">
        <v>12392</v>
      </c>
      <c r="E440" s="15" t="s">
        <v>12393</v>
      </c>
      <c r="F440" s="15" t="s">
        <v>12394</v>
      </c>
      <c r="G440" s="15" t="s">
        <v>12393</v>
      </c>
      <c r="H440" s="16" t="s">
        <v>12393</v>
      </c>
    </row>
    <row r="441" spans="1:8" ht="22.5" x14ac:dyDescent="0.3">
      <c r="A441" s="13">
        <v>32027</v>
      </c>
      <c r="B441" s="14" t="s">
        <v>12395</v>
      </c>
      <c r="C441" s="15"/>
      <c r="D441" s="15"/>
      <c r="E441" s="15"/>
      <c r="F441" s="15"/>
      <c r="G441" s="15"/>
      <c r="H441" s="16"/>
    </row>
    <row r="442" spans="1:8" ht="33.75" x14ac:dyDescent="0.3">
      <c r="A442" s="13" t="s">
        <v>12396</v>
      </c>
      <c r="B442" s="14" t="s">
        <v>19698</v>
      </c>
      <c r="C442" s="15" t="s">
        <v>12397</v>
      </c>
      <c r="D442" s="15" t="s">
        <v>12398</v>
      </c>
      <c r="E442" s="15" t="s">
        <v>12399</v>
      </c>
      <c r="F442" s="15" t="s">
        <v>57</v>
      </c>
      <c r="G442" s="15" t="s">
        <v>12400</v>
      </c>
      <c r="H442" s="16" t="s">
        <v>12401</v>
      </c>
    </row>
    <row r="443" spans="1:8" x14ac:dyDescent="0.3">
      <c r="A443" s="13" t="s">
        <v>12402</v>
      </c>
      <c r="B443" s="14" t="s">
        <v>19717</v>
      </c>
      <c r="C443" s="15" t="s">
        <v>12403</v>
      </c>
      <c r="D443" s="15"/>
      <c r="E443" s="15"/>
      <c r="F443" s="15" t="s">
        <v>12404</v>
      </c>
      <c r="G443" s="15" t="s">
        <v>12405</v>
      </c>
      <c r="H443" s="16" t="s">
        <v>12406</v>
      </c>
    </row>
    <row r="444" spans="1:8" ht="22.5" x14ac:dyDescent="0.3">
      <c r="A444" s="13" t="s">
        <v>12407</v>
      </c>
      <c r="B444" s="14" t="s">
        <v>19718</v>
      </c>
      <c r="C444" s="15" t="s">
        <v>12408</v>
      </c>
      <c r="D444" s="15" t="s">
        <v>12409</v>
      </c>
      <c r="E444" s="15" t="s">
        <v>12410</v>
      </c>
      <c r="F444" s="15" t="s">
        <v>12411</v>
      </c>
      <c r="G444" s="15" t="s">
        <v>12412</v>
      </c>
      <c r="H444" s="16" t="s">
        <v>12413</v>
      </c>
    </row>
    <row r="445" spans="1:8" ht="33.75" x14ac:dyDescent="0.3">
      <c r="A445" s="13" t="s">
        <v>12414</v>
      </c>
      <c r="B445" s="14" t="s">
        <v>19719</v>
      </c>
      <c r="C445" s="15" t="s">
        <v>12415</v>
      </c>
      <c r="D445" s="15" t="s">
        <v>12416</v>
      </c>
      <c r="E445" s="15" t="s">
        <v>12417</v>
      </c>
      <c r="F445" s="15" t="s">
        <v>12418</v>
      </c>
      <c r="G445" s="15" t="s">
        <v>12419</v>
      </c>
      <c r="H445" s="16" t="s">
        <v>12420</v>
      </c>
    </row>
    <row r="446" spans="1:8" ht="45" x14ac:dyDescent="0.3">
      <c r="A446" s="13" t="s">
        <v>12421</v>
      </c>
      <c r="B446" s="14" t="s">
        <v>19720</v>
      </c>
      <c r="C446" s="15" t="s">
        <v>12422</v>
      </c>
      <c r="D446" s="15" t="s">
        <v>12423</v>
      </c>
      <c r="E446" s="15" t="s">
        <v>12424</v>
      </c>
      <c r="F446" s="15" t="s">
        <v>12425</v>
      </c>
      <c r="G446" s="15" t="s">
        <v>12426</v>
      </c>
      <c r="H446" s="16" t="s">
        <v>12427</v>
      </c>
    </row>
    <row r="447" spans="1:8" x14ac:dyDescent="0.3">
      <c r="A447" s="13">
        <v>32028</v>
      </c>
      <c r="B447" s="14" t="s">
        <v>12428</v>
      </c>
      <c r="C447" s="15"/>
      <c r="D447" s="15"/>
      <c r="E447" s="15"/>
      <c r="F447" s="15"/>
      <c r="G447" s="15"/>
      <c r="H447" s="16"/>
    </row>
    <row r="448" spans="1:8" ht="67.5" x14ac:dyDescent="0.3">
      <c r="A448" s="13" t="s">
        <v>12429</v>
      </c>
      <c r="B448" s="14" t="s">
        <v>19698</v>
      </c>
      <c r="C448" s="15" t="s">
        <v>12430</v>
      </c>
      <c r="D448" s="15" t="s">
        <v>12431</v>
      </c>
      <c r="E448" s="15"/>
      <c r="F448" s="15" t="s">
        <v>12432</v>
      </c>
      <c r="G448" s="15" t="s">
        <v>12433</v>
      </c>
      <c r="H448" s="16" t="s">
        <v>12434</v>
      </c>
    </row>
    <row r="449" spans="1:8" ht="22.5" x14ac:dyDescent="0.3">
      <c r="A449" s="13" t="s">
        <v>12435</v>
      </c>
      <c r="B449" s="14" t="s">
        <v>19717</v>
      </c>
      <c r="C449" s="15" t="s">
        <v>12436</v>
      </c>
      <c r="D449" s="15" t="s">
        <v>12437</v>
      </c>
      <c r="E449" s="15" t="s">
        <v>12438</v>
      </c>
      <c r="F449" s="15" t="s">
        <v>12439</v>
      </c>
      <c r="G449" s="15" t="s">
        <v>12440</v>
      </c>
      <c r="H449" s="16" t="s">
        <v>12441</v>
      </c>
    </row>
    <row r="450" spans="1:8" x14ac:dyDescent="0.3">
      <c r="A450" s="13" t="s">
        <v>12442</v>
      </c>
      <c r="B450" s="14" t="s">
        <v>19718</v>
      </c>
      <c r="C450" s="15" t="s">
        <v>12443</v>
      </c>
      <c r="D450" s="15"/>
      <c r="E450" s="15"/>
      <c r="F450" s="15" t="s">
        <v>12444</v>
      </c>
      <c r="G450" s="15" t="s">
        <v>12445</v>
      </c>
      <c r="H450" s="16" t="s">
        <v>12446</v>
      </c>
    </row>
    <row r="451" spans="1:8" ht="56.25" x14ac:dyDescent="0.3">
      <c r="A451" s="13" t="s">
        <v>12447</v>
      </c>
      <c r="B451" s="14" t="s">
        <v>19719</v>
      </c>
      <c r="C451" s="15" t="s">
        <v>12448</v>
      </c>
      <c r="D451" s="15" t="s">
        <v>12449</v>
      </c>
      <c r="E451" s="15" t="s">
        <v>12450</v>
      </c>
      <c r="F451" s="15" t="s">
        <v>12451</v>
      </c>
      <c r="G451" s="15" t="s">
        <v>12452</v>
      </c>
      <c r="H451" s="16" t="s">
        <v>12453</v>
      </c>
    </row>
    <row r="452" spans="1:8" ht="33.75" x14ac:dyDescent="0.3">
      <c r="A452" s="13" t="s">
        <v>12454</v>
      </c>
      <c r="B452" s="14" t="s">
        <v>19720</v>
      </c>
      <c r="C452" s="15" t="s">
        <v>12455</v>
      </c>
      <c r="D452" s="15" t="s">
        <v>12456</v>
      </c>
      <c r="E452" s="15" t="s">
        <v>12457</v>
      </c>
      <c r="F452" s="15" t="s">
        <v>12458</v>
      </c>
      <c r="G452" s="15" t="s">
        <v>12459</v>
      </c>
      <c r="H452" s="16" t="s">
        <v>12460</v>
      </c>
    </row>
    <row r="453" spans="1:8" ht="22.5" x14ac:dyDescent="0.3">
      <c r="A453" s="13">
        <v>32029</v>
      </c>
      <c r="B453" s="14" t="s">
        <v>12461</v>
      </c>
      <c r="C453" s="15"/>
      <c r="D453" s="15"/>
      <c r="E453" s="15"/>
      <c r="F453" s="15"/>
      <c r="G453" s="15"/>
      <c r="H453" s="16"/>
    </row>
    <row r="454" spans="1:8" ht="22.5" x14ac:dyDescent="0.3">
      <c r="A454" s="13" t="s">
        <v>12462</v>
      </c>
      <c r="B454" s="14" t="s">
        <v>19698</v>
      </c>
      <c r="C454" s="15" t="s">
        <v>12463</v>
      </c>
      <c r="D454" s="15" t="s">
        <v>12464</v>
      </c>
      <c r="E454" s="15" t="s">
        <v>12465</v>
      </c>
      <c r="F454" s="15" t="s">
        <v>12466</v>
      </c>
      <c r="G454" s="15" t="s">
        <v>12467</v>
      </c>
      <c r="H454" s="16" t="s">
        <v>12468</v>
      </c>
    </row>
    <row r="455" spans="1:8" x14ac:dyDescent="0.3">
      <c r="A455" s="13" t="s">
        <v>12469</v>
      </c>
      <c r="B455" s="14" t="s">
        <v>19717</v>
      </c>
      <c r="C455" s="15" t="s">
        <v>12470</v>
      </c>
      <c r="D455" s="15"/>
      <c r="E455" s="15" t="s">
        <v>12471</v>
      </c>
      <c r="F455" s="15"/>
      <c r="G455" s="15" t="s">
        <v>12472</v>
      </c>
      <c r="H455" s="16" t="s">
        <v>12473</v>
      </c>
    </row>
    <row r="456" spans="1:8" x14ac:dyDescent="0.3">
      <c r="A456" s="13" t="s">
        <v>12474</v>
      </c>
      <c r="B456" s="14" t="s">
        <v>19718</v>
      </c>
      <c r="C456" s="15" t="s">
        <v>12475</v>
      </c>
      <c r="D456" s="15"/>
      <c r="E456" s="15"/>
      <c r="F456" s="15"/>
      <c r="G456" s="15" t="s">
        <v>12476</v>
      </c>
      <c r="H456" s="16" t="s">
        <v>12476</v>
      </c>
    </row>
    <row r="457" spans="1:8" x14ac:dyDescent="0.3">
      <c r="A457" s="13" t="s">
        <v>12477</v>
      </c>
      <c r="B457" s="14" t="s">
        <v>19719</v>
      </c>
      <c r="C457" s="15" t="s">
        <v>12478</v>
      </c>
      <c r="D457" s="15"/>
      <c r="E457" s="15" t="s">
        <v>12479</v>
      </c>
      <c r="F457" s="15" t="s">
        <v>12480</v>
      </c>
      <c r="G457" s="15" t="s">
        <v>12481</v>
      </c>
      <c r="H457" s="16" t="s">
        <v>12482</v>
      </c>
    </row>
    <row r="458" spans="1:8" ht="33.75" x14ac:dyDescent="0.3">
      <c r="A458" s="13" t="s">
        <v>12483</v>
      </c>
      <c r="B458" s="14" t="s">
        <v>19720</v>
      </c>
      <c r="C458" s="15" t="s">
        <v>12484</v>
      </c>
      <c r="D458" s="15" t="s">
        <v>12485</v>
      </c>
      <c r="E458" s="15" t="s">
        <v>12486</v>
      </c>
      <c r="F458" s="15" t="s">
        <v>12487</v>
      </c>
      <c r="G458" s="15" t="s">
        <v>12488</v>
      </c>
      <c r="H458" s="16" t="s">
        <v>12489</v>
      </c>
    </row>
    <row r="459" spans="1:8" x14ac:dyDescent="0.3">
      <c r="A459" s="13">
        <v>32030</v>
      </c>
      <c r="B459" s="14" t="s">
        <v>12490</v>
      </c>
      <c r="C459" s="15"/>
      <c r="D459" s="15"/>
      <c r="E459" s="15"/>
      <c r="F459" s="15"/>
      <c r="G459" s="15"/>
      <c r="H459" s="16"/>
    </row>
    <row r="460" spans="1:8" ht="22.5" x14ac:dyDescent="0.3">
      <c r="A460" s="13" t="s">
        <v>12491</v>
      </c>
      <c r="B460" s="14" t="s">
        <v>19698</v>
      </c>
      <c r="C460" s="15" t="s">
        <v>12492</v>
      </c>
      <c r="D460" s="15"/>
      <c r="E460" s="15" t="s">
        <v>12493</v>
      </c>
      <c r="F460" s="15" t="s">
        <v>12494</v>
      </c>
      <c r="G460" s="15" t="s">
        <v>12495</v>
      </c>
      <c r="H460" s="16" t="s">
        <v>12496</v>
      </c>
    </row>
    <row r="461" spans="1:8" x14ac:dyDescent="0.3">
      <c r="A461" s="13" t="s">
        <v>12497</v>
      </c>
      <c r="B461" s="14" t="s">
        <v>19717</v>
      </c>
      <c r="C461" s="15" t="s">
        <v>12498</v>
      </c>
      <c r="D461" s="15"/>
      <c r="E461" s="15" t="s">
        <v>12495</v>
      </c>
      <c r="F461" s="15" t="s">
        <v>12499</v>
      </c>
      <c r="G461" s="15" t="s">
        <v>12500</v>
      </c>
      <c r="H461" s="16" t="s">
        <v>12501</v>
      </c>
    </row>
    <row r="462" spans="1:8" x14ac:dyDescent="0.3">
      <c r="A462" s="13" t="s">
        <v>12502</v>
      </c>
      <c r="B462" s="14" t="s">
        <v>19718</v>
      </c>
      <c r="C462" s="15" t="s">
        <v>12503</v>
      </c>
      <c r="D462" s="15"/>
      <c r="E462" s="15" t="s">
        <v>12504</v>
      </c>
      <c r="F462" s="15" t="s">
        <v>12505</v>
      </c>
      <c r="G462" s="15" t="s">
        <v>12506</v>
      </c>
      <c r="H462" s="16" t="s">
        <v>12504</v>
      </c>
    </row>
    <row r="463" spans="1:8" x14ac:dyDescent="0.3">
      <c r="A463" s="13" t="s">
        <v>12507</v>
      </c>
      <c r="B463" s="14" t="s">
        <v>19719</v>
      </c>
      <c r="C463" s="15" t="s">
        <v>12508</v>
      </c>
      <c r="D463" s="15"/>
      <c r="E463" s="15"/>
      <c r="F463" s="15" t="s">
        <v>12509</v>
      </c>
      <c r="G463" s="15" t="s">
        <v>12510</v>
      </c>
      <c r="H463" s="16" t="s">
        <v>12511</v>
      </c>
    </row>
    <row r="464" spans="1:8" ht="22.5" x14ac:dyDescent="0.3">
      <c r="A464" s="13" t="s">
        <v>12512</v>
      </c>
      <c r="B464" s="14" t="s">
        <v>19720</v>
      </c>
      <c r="C464" s="15" t="s">
        <v>12513</v>
      </c>
      <c r="D464" s="15" t="s">
        <v>12514</v>
      </c>
      <c r="E464" s="15" t="s">
        <v>12515</v>
      </c>
      <c r="F464" s="15" t="s">
        <v>12516</v>
      </c>
      <c r="G464" s="15" t="s">
        <v>12515</v>
      </c>
      <c r="H464" s="16" t="s">
        <v>12517</v>
      </c>
    </row>
    <row r="465" spans="1:8" x14ac:dyDescent="0.3">
      <c r="A465" s="13">
        <v>32031</v>
      </c>
      <c r="B465" s="14" t="s">
        <v>12518</v>
      </c>
      <c r="C465" s="15"/>
      <c r="D465" s="15"/>
      <c r="E465" s="15"/>
      <c r="F465" s="15"/>
      <c r="G465" s="15"/>
      <c r="H465" s="16"/>
    </row>
    <row r="466" spans="1:8" ht="33.75" x14ac:dyDescent="0.3">
      <c r="A466" s="13" t="s">
        <v>12519</v>
      </c>
      <c r="B466" s="14" t="s">
        <v>19698</v>
      </c>
      <c r="C466" s="15" t="s">
        <v>12520</v>
      </c>
      <c r="D466" s="15" t="s">
        <v>12521</v>
      </c>
      <c r="E466" s="15" t="s">
        <v>12522</v>
      </c>
      <c r="F466" s="15" t="s">
        <v>12523</v>
      </c>
      <c r="G466" s="15" t="s">
        <v>12524</v>
      </c>
      <c r="H466" s="16" t="s">
        <v>12525</v>
      </c>
    </row>
    <row r="467" spans="1:8" x14ac:dyDescent="0.3">
      <c r="A467" s="13" t="s">
        <v>12526</v>
      </c>
      <c r="B467" s="14" t="s">
        <v>19717</v>
      </c>
      <c r="C467" s="15" t="s">
        <v>12527</v>
      </c>
      <c r="D467" s="15"/>
      <c r="E467" s="15" t="s">
        <v>12528</v>
      </c>
      <c r="F467" s="15" t="s">
        <v>12529</v>
      </c>
      <c r="G467" s="15" t="s">
        <v>12530</v>
      </c>
      <c r="H467" s="16" t="s">
        <v>12530</v>
      </c>
    </row>
    <row r="468" spans="1:8" x14ac:dyDescent="0.3">
      <c r="A468" s="13" t="s">
        <v>12531</v>
      </c>
      <c r="B468" s="14" t="s">
        <v>19718</v>
      </c>
      <c r="C468" s="15" t="s">
        <v>12532</v>
      </c>
      <c r="D468" s="15"/>
      <c r="E468" s="15" t="s">
        <v>12533</v>
      </c>
      <c r="F468" s="15" t="s">
        <v>12534</v>
      </c>
      <c r="G468" s="15" t="s">
        <v>12533</v>
      </c>
      <c r="H468" s="16" t="s">
        <v>12533</v>
      </c>
    </row>
    <row r="469" spans="1:8" ht="22.5" x14ac:dyDescent="0.3">
      <c r="A469" s="13" t="s">
        <v>12535</v>
      </c>
      <c r="B469" s="14" t="s">
        <v>19719</v>
      </c>
      <c r="C469" s="15" t="s">
        <v>12536</v>
      </c>
      <c r="D469" s="15"/>
      <c r="E469" s="15" t="s">
        <v>12537</v>
      </c>
      <c r="F469" s="15" t="s">
        <v>12538</v>
      </c>
      <c r="G469" s="15" t="s">
        <v>12539</v>
      </c>
      <c r="H469" s="16" t="s">
        <v>12540</v>
      </c>
    </row>
    <row r="470" spans="1:8" ht="22.5" x14ac:dyDescent="0.3">
      <c r="A470" s="13" t="s">
        <v>12541</v>
      </c>
      <c r="B470" s="14" t="s">
        <v>19720</v>
      </c>
      <c r="C470" s="15" t="s">
        <v>12542</v>
      </c>
      <c r="D470" s="15" t="s">
        <v>12543</v>
      </c>
      <c r="E470" s="15" t="s">
        <v>12544</v>
      </c>
      <c r="F470" s="15" t="s">
        <v>12545</v>
      </c>
      <c r="G470" s="15" t="s">
        <v>12544</v>
      </c>
      <c r="H470" s="16" t="s">
        <v>12544</v>
      </c>
    </row>
    <row r="471" spans="1:8" ht="22.5" x14ac:dyDescent="0.3">
      <c r="A471" s="13">
        <v>32032</v>
      </c>
      <c r="B471" s="14" t="s">
        <v>12546</v>
      </c>
      <c r="C471" s="15"/>
      <c r="D471" s="15"/>
      <c r="E471" s="15"/>
      <c r="F471" s="15"/>
      <c r="G471" s="15"/>
      <c r="H471" s="16"/>
    </row>
    <row r="472" spans="1:8" ht="22.5" x14ac:dyDescent="0.3">
      <c r="A472" s="13" t="s">
        <v>12547</v>
      </c>
      <c r="B472" s="14" t="s">
        <v>19698</v>
      </c>
      <c r="C472" s="15" t="s">
        <v>12548</v>
      </c>
      <c r="D472" s="15" t="s">
        <v>12549</v>
      </c>
      <c r="E472" s="15" t="s">
        <v>12550</v>
      </c>
      <c r="F472" s="15" t="s">
        <v>12551</v>
      </c>
      <c r="G472" s="15" t="s">
        <v>12552</v>
      </c>
      <c r="H472" s="16" t="s">
        <v>12553</v>
      </c>
    </row>
    <row r="473" spans="1:8" x14ac:dyDescent="0.3">
      <c r="A473" s="13" t="s">
        <v>12554</v>
      </c>
      <c r="B473" s="14" t="s">
        <v>19717</v>
      </c>
      <c r="C473" s="15" t="s">
        <v>12555</v>
      </c>
      <c r="D473" s="15"/>
      <c r="E473" s="15" t="s">
        <v>12556</v>
      </c>
      <c r="F473" s="15" t="s">
        <v>12557</v>
      </c>
      <c r="G473" s="15" t="s">
        <v>12558</v>
      </c>
      <c r="H473" s="16" t="s">
        <v>12559</v>
      </c>
    </row>
    <row r="474" spans="1:8" x14ac:dyDescent="0.3">
      <c r="A474" s="13" t="s">
        <v>12560</v>
      </c>
      <c r="B474" s="14" t="s">
        <v>19718</v>
      </c>
      <c r="C474" s="15" t="s">
        <v>12561</v>
      </c>
      <c r="D474" s="15"/>
      <c r="E474" s="15"/>
      <c r="F474" s="15" t="s">
        <v>12562</v>
      </c>
      <c r="G474" s="15" t="s">
        <v>12563</v>
      </c>
      <c r="H474" s="16" t="s">
        <v>12563</v>
      </c>
    </row>
    <row r="475" spans="1:8" ht="22.5" x14ac:dyDescent="0.3">
      <c r="A475" s="13" t="s">
        <v>12564</v>
      </c>
      <c r="B475" s="14" t="s">
        <v>19719</v>
      </c>
      <c r="C475" s="15" t="s">
        <v>12565</v>
      </c>
      <c r="D475" s="15"/>
      <c r="E475" s="15" t="s">
        <v>12566</v>
      </c>
      <c r="F475" s="15" t="s">
        <v>12567</v>
      </c>
      <c r="G475" s="15" t="s">
        <v>12568</v>
      </c>
      <c r="H475" s="16" t="s">
        <v>12569</v>
      </c>
    </row>
    <row r="476" spans="1:8" ht="22.5" x14ac:dyDescent="0.3">
      <c r="A476" s="13" t="s">
        <v>12570</v>
      </c>
      <c r="B476" s="14" t="s">
        <v>19720</v>
      </c>
      <c r="C476" s="15" t="s">
        <v>12571</v>
      </c>
      <c r="D476" s="15" t="s">
        <v>12572</v>
      </c>
      <c r="E476" s="15" t="s">
        <v>12573</v>
      </c>
      <c r="F476" s="15" t="s">
        <v>12574</v>
      </c>
      <c r="G476" s="15" t="s">
        <v>12575</v>
      </c>
      <c r="H476" s="16" t="s">
        <v>12575</v>
      </c>
    </row>
    <row r="477" spans="1:8" x14ac:dyDescent="0.3">
      <c r="A477" s="13">
        <v>32033</v>
      </c>
      <c r="B477" s="14" t="s">
        <v>12576</v>
      </c>
      <c r="C477" s="15"/>
      <c r="D477" s="15"/>
      <c r="E477" s="15"/>
      <c r="F477" s="15"/>
      <c r="G477" s="15"/>
      <c r="H477" s="16"/>
    </row>
    <row r="478" spans="1:8" ht="33.75" x14ac:dyDescent="0.3">
      <c r="A478" s="13" t="s">
        <v>12577</v>
      </c>
      <c r="B478" s="14" t="s">
        <v>19698</v>
      </c>
      <c r="C478" s="15" t="s">
        <v>12578</v>
      </c>
      <c r="D478" s="15" t="s">
        <v>12579</v>
      </c>
      <c r="E478" s="15" t="s">
        <v>12580</v>
      </c>
      <c r="F478" s="15" t="s">
        <v>12581</v>
      </c>
      <c r="G478" s="15" t="s">
        <v>12582</v>
      </c>
      <c r="H478" s="16" t="s">
        <v>12583</v>
      </c>
    </row>
    <row r="479" spans="1:8" ht="22.5" x14ac:dyDescent="0.3">
      <c r="A479" s="13" t="s">
        <v>12584</v>
      </c>
      <c r="B479" s="14" t="s">
        <v>19717</v>
      </c>
      <c r="C479" s="15" t="s">
        <v>12585</v>
      </c>
      <c r="D479" s="15" t="s">
        <v>12586</v>
      </c>
      <c r="E479" s="15" t="s">
        <v>12587</v>
      </c>
      <c r="F479" s="15" t="s">
        <v>12586</v>
      </c>
      <c r="G479" s="15" t="s">
        <v>12588</v>
      </c>
      <c r="H479" s="16" t="s">
        <v>12589</v>
      </c>
    </row>
    <row r="480" spans="1:8" x14ac:dyDescent="0.3">
      <c r="A480" s="13" t="s">
        <v>12590</v>
      </c>
      <c r="B480" s="14" t="s">
        <v>19718</v>
      </c>
      <c r="C480" s="15" t="s">
        <v>12591</v>
      </c>
      <c r="D480" s="15"/>
      <c r="E480" s="15" t="s">
        <v>12592</v>
      </c>
      <c r="F480" s="15" t="s">
        <v>12593</v>
      </c>
      <c r="G480" s="15" t="s">
        <v>12592</v>
      </c>
      <c r="H480" s="16" t="s">
        <v>12594</v>
      </c>
    </row>
    <row r="481" spans="1:8" ht="22.5" x14ac:dyDescent="0.3">
      <c r="A481" s="13" t="s">
        <v>12595</v>
      </c>
      <c r="B481" s="14" t="s">
        <v>19719</v>
      </c>
      <c r="C481" s="15" t="s">
        <v>12596</v>
      </c>
      <c r="D481" s="15"/>
      <c r="E481" s="15" t="s">
        <v>12597</v>
      </c>
      <c r="F481" s="15" t="s">
        <v>12598</v>
      </c>
      <c r="G481" s="15" t="s">
        <v>12599</v>
      </c>
      <c r="H481" s="16" t="s">
        <v>12600</v>
      </c>
    </row>
    <row r="482" spans="1:8" ht="33.75" x14ac:dyDescent="0.3">
      <c r="A482" s="13" t="s">
        <v>12601</v>
      </c>
      <c r="B482" s="14" t="s">
        <v>19720</v>
      </c>
      <c r="C482" s="15" t="s">
        <v>12602</v>
      </c>
      <c r="D482" s="15" t="s">
        <v>12603</v>
      </c>
      <c r="E482" s="15" t="s">
        <v>12604</v>
      </c>
      <c r="F482" s="15" t="s">
        <v>12605</v>
      </c>
      <c r="G482" s="15" t="s">
        <v>12606</v>
      </c>
      <c r="H482" s="16" t="s">
        <v>12607</v>
      </c>
    </row>
    <row r="483" spans="1:8" x14ac:dyDescent="0.3">
      <c r="A483" s="13">
        <v>32034</v>
      </c>
      <c r="B483" s="14" t="s">
        <v>12608</v>
      </c>
      <c r="C483" s="15"/>
      <c r="D483" s="15"/>
      <c r="E483" s="15"/>
      <c r="F483" s="15"/>
      <c r="G483" s="15"/>
      <c r="H483" s="16"/>
    </row>
    <row r="484" spans="1:8" ht="33.75" x14ac:dyDescent="0.3">
      <c r="A484" s="13" t="s">
        <v>12609</v>
      </c>
      <c r="B484" s="14" t="s">
        <v>19698</v>
      </c>
      <c r="C484" s="15" t="s">
        <v>12610</v>
      </c>
      <c r="D484" s="15" t="s">
        <v>12611</v>
      </c>
      <c r="E484" s="15" t="s">
        <v>12612</v>
      </c>
      <c r="F484" s="15" t="s">
        <v>12613</v>
      </c>
      <c r="G484" s="15" t="s">
        <v>12614</v>
      </c>
      <c r="H484" s="16" t="s">
        <v>12615</v>
      </c>
    </row>
    <row r="485" spans="1:8" x14ac:dyDescent="0.3">
      <c r="A485" s="13" t="s">
        <v>12616</v>
      </c>
      <c r="B485" s="14" t="s">
        <v>19717</v>
      </c>
      <c r="C485" s="15" t="s">
        <v>12617</v>
      </c>
      <c r="D485" s="15"/>
      <c r="E485" s="15" t="s">
        <v>12618</v>
      </c>
      <c r="F485" s="15" t="s">
        <v>12619</v>
      </c>
      <c r="G485" s="15" t="s">
        <v>12620</v>
      </c>
      <c r="H485" s="16" t="s">
        <v>12621</v>
      </c>
    </row>
    <row r="486" spans="1:8" ht="22.5" x14ac:dyDescent="0.3">
      <c r="A486" s="13" t="s">
        <v>12622</v>
      </c>
      <c r="B486" s="14" t="s">
        <v>19718</v>
      </c>
      <c r="C486" s="15" t="s">
        <v>12623</v>
      </c>
      <c r="D486" s="15" t="s">
        <v>12624</v>
      </c>
      <c r="E486" s="15" t="s">
        <v>12625</v>
      </c>
      <c r="F486" s="15" t="s">
        <v>12626</v>
      </c>
      <c r="G486" s="15" t="s">
        <v>12627</v>
      </c>
      <c r="H486" s="16" t="s">
        <v>12628</v>
      </c>
    </row>
    <row r="487" spans="1:8" ht="22.5" x14ac:dyDescent="0.3">
      <c r="A487" s="13" t="s">
        <v>12629</v>
      </c>
      <c r="B487" s="14" t="s">
        <v>19719</v>
      </c>
      <c r="C487" s="15" t="s">
        <v>12630</v>
      </c>
      <c r="D487" s="15"/>
      <c r="E487" s="15" t="s">
        <v>12631</v>
      </c>
      <c r="F487" s="15" t="s">
        <v>12632</v>
      </c>
      <c r="G487" s="15" t="s">
        <v>12633</v>
      </c>
      <c r="H487" s="16" t="s">
        <v>12634</v>
      </c>
    </row>
    <row r="488" spans="1:8" ht="45" x14ac:dyDescent="0.3">
      <c r="A488" s="13" t="s">
        <v>12635</v>
      </c>
      <c r="B488" s="14" t="s">
        <v>19720</v>
      </c>
      <c r="C488" s="15" t="s">
        <v>12636</v>
      </c>
      <c r="D488" s="15" t="s">
        <v>12637</v>
      </c>
      <c r="E488" s="15" t="s">
        <v>12638</v>
      </c>
      <c r="F488" s="15" t="s">
        <v>12638</v>
      </c>
      <c r="G488" s="15" t="s">
        <v>12639</v>
      </c>
      <c r="H488" s="16" t="s">
        <v>12640</v>
      </c>
    </row>
    <row r="489" spans="1:8" ht="22.5" x14ac:dyDescent="0.3">
      <c r="A489" s="13">
        <v>32035</v>
      </c>
      <c r="B489" s="14" t="s">
        <v>12641</v>
      </c>
      <c r="C489" s="15"/>
      <c r="D489" s="15"/>
      <c r="E489" s="15"/>
      <c r="F489" s="15"/>
      <c r="G489" s="15"/>
      <c r="H489" s="16"/>
    </row>
    <row r="490" spans="1:8" x14ac:dyDescent="0.3">
      <c r="A490" s="13" t="s">
        <v>12642</v>
      </c>
      <c r="B490" s="14" t="s">
        <v>19698</v>
      </c>
      <c r="C490" s="15" t="s">
        <v>12643</v>
      </c>
      <c r="D490" s="15" t="s">
        <v>12644</v>
      </c>
      <c r="E490" s="15" t="s">
        <v>12645</v>
      </c>
      <c r="F490" s="15" t="s">
        <v>12646</v>
      </c>
      <c r="G490" s="15" t="s">
        <v>12647</v>
      </c>
      <c r="H490" s="16" t="s">
        <v>12648</v>
      </c>
    </row>
    <row r="491" spans="1:8" ht="33.75" x14ac:dyDescent="0.3">
      <c r="A491" s="13" t="s">
        <v>12649</v>
      </c>
      <c r="B491" s="14" t="s">
        <v>19717</v>
      </c>
      <c r="C491" s="15" t="s">
        <v>12650</v>
      </c>
      <c r="D491" s="15"/>
      <c r="E491" s="15" t="s">
        <v>12651</v>
      </c>
      <c r="F491" s="15" t="s">
        <v>12652</v>
      </c>
      <c r="G491" s="15" t="s">
        <v>12653</v>
      </c>
      <c r="H491" s="16" t="s">
        <v>12654</v>
      </c>
    </row>
    <row r="492" spans="1:8" ht="33.75" x14ac:dyDescent="0.3">
      <c r="A492" s="13" t="s">
        <v>12655</v>
      </c>
      <c r="B492" s="14" t="s">
        <v>19718</v>
      </c>
      <c r="C492" s="15" t="s">
        <v>12650</v>
      </c>
      <c r="D492" s="15"/>
      <c r="E492" s="15" t="s">
        <v>12656</v>
      </c>
      <c r="F492" s="15" t="s">
        <v>12657</v>
      </c>
      <c r="G492" s="15" t="s">
        <v>12658</v>
      </c>
      <c r="H492" s="16" t="s">
        <v>12658</v>
      </c>
    </row>
    <row r="493" spans="1:8" ht="33.75" x14ac:dyDescent="0.3">
      <c r="A493" s="13" t="s">
        <v>12659</v>
      </c>
      <c r="B493" s="14" t="s">
        <v>19719</v>
      </c>
      <c r="C493" s="15" t="s">
        <v>12660</v>
      </c>
      <c r="D493" s="15"/>
      <c r="E493" s="15" t="s">
        <v>12661</v>
      </c>
      <c r="F493" s="15" t="s">
        <v>12662</v>
      </c>
      <c r="G493" s="15" t="s">
        <v>12663</v>
      </c>
      <c r="H493" s="16" t="s">
        <v>12664</v>
      </c>
    </row>
    <row r="494" spans="1:8" ht="22.5" x14ac:dyDescent="0.3">
      <c r="A494" s="13" t="s">
        <v>12665</v>
      </c>
      <c r="B494" s="14" t="s">
        <v>19720</v>
      </c>
      <c r="C494" s="15" t="s">
        <v>12666</v>
      </c>
      <c r="D494" s="15" t="s">
        <v>12667</v>
      </c>
      <c r="E494" s="15" t="s">
        <v>12668</v>
      </c>
      <c r="F494" s="15" t="s">
        <v>12669</v>
      </c>
      <c r="G494" s="15" t="s">
        <v>12668</v>
      </c>
      <c r="H494" s="16" t="s">
        <v>12668</v>
      </c>
    </row>
    <row r="495" spans="1:8" x14ac:dyDescent="0.3">
      <c r="A495" s="13">
        <v>32036</v>
      </c>
      <c r="B495" s="14" t="s">
        <v>12670</v>
      </c>
      <c r="C495" s="15"/>
      <c r="D495" s="15"/>
      <c r="E495" s="15"/>
      <c r="F495" s="15"/>
      <c r="G495" s="15"/>
      <c r="H495" s="16"/>
    </row>
    <row r="496" spans="1:8" ht="45" x14ac:dyDescent="0.3">
      <c r="A496" s="13" t="s">
        <v>12671</v>
      </c>
      <c r="B496" s="14" t="s">
        <v>19698</v>
      </c>
      <c r="C496" s="15" t="s">
        <v>12672</v>
      </c>
      <c r="D496" s="15" t="s">
        <v>12673</v>
      </c>
      <c r="E496" s="15" t="s">
        <v>12674</v>
      </c>
      <c r="F496" s="15" t="s">
        <v>12675</v>
      </c>
      <c r="G496" s="15" t="s">
        <v>12676</v>
      </c>
      <c r="H496" s="16" t="s">
        <v>12677</v>
      </c>
    </row>
    <row r="497" spans="1:8" ht="22.5" x14ac:dyDescent="0.3">
      <c r="A497" s="13" t="s">
        <v>12678</v>
      </c>
      <c r="B497" s="14" t="s">
        <v>19717</v>
      </c>
      <c r="C497" s="15" t="s">
        <v>12679</v>
      </c>
      <c r="D497" s="15"/>
      <c r="E497" s="15" t="s">
        <v>12680</v>
      </c>
      <c r="F497" s="15" t="s">
        <v>12681</v>
      </c>
      <c r="G497" s="15" t="s">
        <v>12682</v>
      </c>
      <c r="H497" s="16" t="s">
        <v>12683</v>
      </c>
    </row>
    <row r="498" spans="1:8" x14ac:dyDescent="0.3">
      <c r="A498" s="13" t="s">
        <v>12684</v>
      </c>
      <c r="B498" s="14" t="s">
        <v>19718</v>
      </c>
      <c r="C498" s="15" t="s">
        <v>12685</v>
      </c>
      <c r="D498" s="15"/>
      <c r="E498" s="15"/>
      <c r="F498" s="15"/>
      <c r="G498" s="15" t="s">
        <v>12686</v>
      </c>
      <c r="H498" s="16" t="s">
        <v>12687</v>
      </c>
    </row>
    <row r="499" spans="1:8" ht="33.75" x14ac:dyDescent="0.3">
      <c r="A499" s="13" t="s">
        <v>12688</v>
      </c>
      <c r="B499" s="14" t="s">
        <v>19719</v>
      </c>
      <c r="C499" s="15" t="s">
        <v>12689</v>
      </c>
      <c r="D499" s="15" t="s">
        <v>12690</v>
      </c>
      <c r="E499" s="15" t="s">
        <v>12691</v>
      </c>
      <c r="F499" s="15" t="s">
        <v>12692</v>
      </c>
      <c r="G499" s="15" t="s">
        <v>12693</v>
      </c>
      <c r="H499" s="16" t="s">
        <v>12694</v>
      </c>
    </row>
    <row r="500" spans="1:8" ht="123.75" x14ac:dyDescent="0.3">
      <c r="A500" s="13" t="s">
        <v>12695</v>
      </c>
      <c r="B500" s="14" t="s">
        <v>19720</v>
      </c>
      <c r="C500" s="15" t="s">
        <v>12696</v>
      </c>
      <c r="D500" s="15" t="s">
        <v>12697</v>
      </c>
      <c r="E500" s="15" t="s">
        <v>12698</v>
      </c>
      <c r="F500" s="15" t="s">
        <v>12699</v>
      </c>
      <c r="G500" s="15" t="s">
        <v>12700</v>
      </c>
      <c r="H500" s="16" t="s">
        <v>12701</v>
      </c>
    </row>
    <row r="501" spans="1:8" ht="22.5" x14ac:dyDescent="0.3">
      <c r="A501" s="13">
        <v>32037</v>
      </c>
      <c r="B501" s="14" t="s">
        <v>12702</v>
      </c>
      <c r="C501" s="15"/>
      <c r="D501" s="15"/>
      <c r="E501" s="15"/>
      <c r="F501" s="15"/>
      <c r="G501" s="15"/>
      <c r="H501" s="16"/>
    </row>
    <row r="502" spans="1:8" ht="22.5" x14ac:dyDescent="0.3">
      <c r="A502" s="13" t="s">
        <v>12703</v>
      </c>
      <c r="B502" s="14" t="s">
        <v>19698</v>
      </c>
      <c r="C502" s="15" t="s">
        <v>12704</v>
      </c>
      <c r="D502" s="15"/>
      <c r="E502" s="15" t="s">
        <v>12705</v>
      </c>
      <c r="F502" s="15" t="s">
        <v>12706</v>
      </c>
      <c r="G502" s="15" t="s">
        <v>12707</v>
      </c>
      <c r="H502" s="16" t="s">
        <v>12708</v>
      </c>
    </row>
    <row r="503" spans="1:8" x14ac:dyDescent="0.3">
      <c r="A503" s="13" t="s">
        <v>12709</v>
      </c>
      <c r="B503" s="14" t="s">
        <v>19717</v>
      </c>
      <c r="C503" s="15" t="s">
        <v>12710</v>
      </c>
      <c r="D503" s="15"/>
      <c r="E503" s="15" t="s">
        <v>12711</v>
      </c>
      <c r="F503" s="15"/>
      <c r="G503" s="15" t="s">
        <v>12712</v>
      </c>
      <c r="H503" s="16" t="s">
        <v>12713</v>
      </c>
    </row>
    <row r="504" spans="1:8" x14ac:dyDescent="0.3">
      <c r="A504" s="13" t="s">
        <v>12714</v>
      </c>
      <c r="B504" s="14" t="s">
        <v>19718</v>
      </c>
      <c r="C504" s="15" t="s">
        <v>12715</v>
      </c>
      <c r="D504" s="15"/>
      <c r="E504" s="15"/>
      <c r="F504" s="15" t="s">
        <v>12716</v>
      </c>
      <c r="G504" s="15" t="s">
        <v>12717</v>
      </c>
      <c r="H504" s="16" t="s">
        <v>12717</v>
      </c>
    </row>
    <row r="505" spans="1:8" ht="22.5" x14ac:dyDescent="0.3">
      <c r="A505" s="13" t="s">
        <v>12718</v>
      </c>
      <c r="B505" s="14" t="s">
        <v>19719</v>
      </c>
      <c r="C505" s="15" t="s">
        <v>12719</v>
      </c>
      <c r="D505" s="15"/>
      <c r="E505" s="15"/>
      <c r="F505" s="15" t="s">
        <v>12720</v>
      </c>
      <c r="G505" s="15" t="s">
        <v>12721</v>
      </c>
      <c r="H505" s="16" t="s">
        <v>12722</v>
      </c>
    </row>
    <row r="506" spans="1:8" ht="56.25" x14ac:dyDescent="0.3">
      <c r="A506" s="13" t="s">
        <v>12723</v>
      </c>
      <c r="B506" s="14" t="s">
        <v>19720</v>
      </c>
      <c r="C506" s="15" t="s">
        <v>12724</v>
      </c>
      <c r="D506" s="15" t="s">
        <v>12725</v>
      </c>
      <c r="E506" s="15" t="s">
        <v>12726</v>
      </c>
      <c r="F506" s="15" t="s">
        <v>12727</v>
      </c>
      <c r="G506" s="15" t="s">
        <v>12728</v>
      </c>
      <c r="H506" s="16" t="s">
        <v>12729</v>
      </c>
    </row>
    <row r="507" spans="1:8" x14ac:dyDescent="0.3">
      <c r="A507" s="13">
        <v>32038</v>
      </c>
      <c r="B507" s="14" t="s">
        <v>12730</v>
      </c>
      <c r="C507" s="15"/>
      <c r="D507" s="15"/>
      <c r="E507" s="15"/>
      <c r="F507" s="15"/>
      <c r="G507" s="15"/>
      <c r="H507" s="16"/>
    </row>
    <row r="508" spans="1:8" ht="22.5" x14ac:dyDescent="0.3">
      <c r="A508" s="13" t="s">
        <v>12731</v>
      </c>
      <c r="B508" s="14" t="s">
        <v>19698</v>
      </c>
      <c r="C508" s="15" t="s">
        <v>12732</v>
      </c>
      <c r="D508" s="15"/>
      <c r="E508" s="15"/>
      <c r="F508" s="15" t="s">
        <v>12733</v>
      </c>
      <c r="G508" s="15" t="s">
        <v>12734</v>
      </c>
      <c r="H508" s="16" t="s">
        <v>12735</v>
      </c>
    </row>
    <row r="509" spans="1:8" ht="33.75" x14ac:dyDescent="0.3">
      <c r="A509" s="13" t="s">
        <v>12736</v>
      </c>
      <c r="B509" s="14" t="s">
        <v>19717</v>
      </c>
      <c r="C509" s="15" t="s">
        <v>12737</v>
      </c>
      <c r="D509" s="15" t="s">
        <v>12738</v>
      </c>
      <c r="E509" s="15" t="s">
        <v>12739</v>
      </c>
      <c r="F509" s="15" t="s">
        <v>12740</v>
      </c>
      <c r="G509" s="15" t="s">
        <v>12741</v>
      </c>
      <c r="H509" s="16" t="s">
        <v>12742</v>
      </c>
    </row>
    <row r="510" spans="1:8" ht="22.5" x14ac:dyDescent="0.3">
      <c r="A510" s="13" t="s">
        <v>12743</v>
      </c>
      <c r="B510" s="14" t="s">
        <v>19718</v>
      </c>
      <c r="C510" s="15" t="s">
        <v>12744</v>
      </c>
      <c r="D510" s="15" t="s">
        <v>12745</v>
      </c>
      <c r="E510" s="15" t="s">
        <v>12746</v>
      </c>
      <c r="F510" s="15" t="s">
        <v>12747</v>
      </c>
      <c r="G510" s="15" t="s">
        <v>12748</v>
      </c>
      <c r="H510" s="16" t="s">
        <v>12749</v>
      </c>
    </row>
    <row r="511" spans="1:8" x14ac:dyDescent="0.3">
      <c r="A511" s="13" t="s">
        <v>12750</v>
      </c>
      <c r="B511" s="14" t="s">
        <v>19719</v>
      </c>
      <c r="C511" s="15" t="s">
        <v>12751</v>
      </c>
      <c r="D511" s="15"/>
      <c r="E511" s="15" t="s">
        <v>12752</v>
      </c>
      <c r="F511" s="15" t="s">
        <v>12753</v>
      </c>
      <c r="G511" s="15" t="s">
        <v>12754</v>
      </c>
      <c r="H511" s="16" t="s">
        <v>12755</v>
      </c>
    </row>
    <row r="512" spans="1:8" ht="22.5" x14ac:dyDescent="0.3">
      <c r="A512" s="13" t="s">
        <v>12756</v>
      </c>
      <c r="B512" s="14" t="s">
        <v>19720</v>
      </c>
      <c r="C512" s="15" t="s">
        <v>12757</v>
      </c>
      <c r="D512" s="15" t="s">
        <v>12758</v>
      </c>
      <c r="E512" s="15" t="s">
        <v>12759</v>
      </c>
      <c r="F512" s="15" t="s">
        <v>12760</v>
      </c>
      <c r="G512" s="15" t="s">
        <v>12761</v>
      </c>
      <c r="H512" s="16" t="s">
        <v>12761</v>
      </c>
    </row>
    <row r="513" spans="1:8" ht="22.5" x14ac:dyDescent="0.3">
      <c r="A513" s="13">
        <v>32039</v>
      </c>
      <c r="B513" s="14" t="s">
        <v>12762</v>
      </c>
      <c r="C513" s="15"/>
      <c r="D513" s="15"/>
      <c r="E513" s="15"/>
      <c r="F513" s="15"/>
      <c r="G513" s="15"/>
      <c r="H513" s="16"/>
    </row>
    <row r="514" spans="1:8" ht="22.5" x14ac:dyDescent="0.3">
      <c r="A514" s="13" t="s">
        <v>12763</v>
      </c>
      <c r="B514" s="14" t="s">
        <v>19698</v>
      </c>
      <c r="C514" s="15" t="s">
        <v>12764</v>
      </c>
      <c r="D514" s="15"/>
      <c r="E514" s="15" t="s">
        <v>12765</v>
      </c>
      <c r="F514" s="15" t="s">
        <v>57</v>
      </c>
      <c r="G514" s="15" t="s">
        <v>12766</v>
      </c>
      <c r="H514" s="16" t="s">
        <v>12767</v>
      </c>
    </row>
    <row r="515" spans="1:8" ht="22.5" x14ac:dyDescent="0.3">
      <c r="A515" s="13" t="s">
        <v>12768</v>
      </c>
      <c r="B515" s="14" t="s">
        <v>19717</v>
      </c>
      <c r="C515" s="15" t="s">
        <v>12769</v>
      </c>
      <c r="D515" s="15"/>
      <c r="E515" s="15" t="s">
        <v>12770</v>
      </c>
      <c r="F515" s="15" t="s">
        <v>12771</v>
      </c>
      <c r="G515" s="15" t="s">
        <v>12770</v>
      </c>
      <c r="H515" s="16" t="s">
        <v>12772</v>
      </c>
    </row>
    <row r="516" spans="1:8" ht="22.5" x14ac:dyDescent="0.3">
      <c r="A516" s="13" t="s">
        <v>12773</v>
      </c>
      <c r="B516" s="14" t="s">
        <v>19718</v>
      </c>
      <c r="C516" s="15" t="s">
        <v>12774</v>
      </c>
      <c r="D516" s="15"/>
      <c r="E516" s="15" t="s">
        <v>12775</v>
      </c>
      <c r="F516" s="15" t="s">
        <v>12766</v>
      </c>
      <c r="G516" s="15" t="s">
        <v>12776</v>
      </c>
      <c r="H516" s="16" t="s">
        <v>12777</v>
      </c>
    </row>
    <row r="517" spans="1:8" x14ac:dyDescent="0.3">
      <c r="A517" s="13" t="s">
        <v>12778</v>
      </c>
      <c r="B517" s="14" t="s">
        <v>19719</v>
      </c>
      <c r="C517" s="15" t="s">
        <v>12779</v>
      </c>
      <c r="D517" s="15"/>
      <c r="E517" s="15"/>
      <c r="F517" s="15" t="s">
        <v>57</v>
      </c>
      <c r="G517" s="15" t="s">
        <v>12780</v>
      </c>
      <c r="H517" s="16" t="s">
        <v>12781</v>
      </c>
    </row>
    <row r="518" spans="1:8" ht="33.75" x14ac:dyDescent="0.3">
      <c r="A518" s="13" t="s">
        <v>12782</v>
      </c>
      <c r="B518" s="14" t="s">
        <v>19720</v>
      </c>
      <c r="C518" s="15" t="s">
        <v>12783</v>
      </c>
      <c r="D518" s="15" t="s">
        <v>12784</v>
      </c>
      <c r="E518" s="15" t="s">
        <v>12785</v>
      </c>
      <c r="F518" s="15" t="s">
        <v>12786</v>
      </c>
      <c r="G518" s="15" t="s">
        <v>12787</v>
      </c>
      <c r="H518" s="16"/>
    </row>
    <row r="519" spans="1:8" x14ac:dyDescent="0.3">
      <c r="A519" s="13">
        <v>32040</v>
      </c>
      <c r="B519" s="14" t="s">
        <v>12788</v>
      </c>
      <c r="C519" s="15"/>
      <c r="D519" s="15"/>
      <c r="E519" s="15"/>
      <c r="F519" s="15"/>
      <c r="G519" s="15"/>
      <c r="H519" s="16"/>
    </row>
    <row r="520" spans="1:8" ht="45" x14ac:dyDescent="0.3">
      <c r="A520" s="13" t="s">
        <v>12789</v>
      </c>
      <c r="B520" s="14" t="s">
        <v>19698</v>
      </c>
      <c r="C520" s="15" t="s">
        <v>12790</v>
      </c>
      <c r="D520" s="15" t="s">
        <v>12791</v>
      </c>
      <c r="E520" s="15" t="s">
        <v>12792</v>
      </c>
      <c r="F520" s="15" t="s">
        <v>57</v>
      </c>
      <c r="G520" s="15" t="s">
        <v>12793</v>
      </c>
      <c r="H520" s="16" t="s">
        <v>12794</v>
      </c>
    </row>
    <row r="521" spans="1:8" ht="22.5" x14ac:dyDescent="0.3">
      <c r="A521" s="13" t="s">
        <v>12795</v>
      </c>
      <c r="B521" s="14" t="s">
        <v>19717</v>
      </c>
      <c r="C521" s="15" t="s">
        <v>12796</v>
      </c>
      <c r="D521" s="15"/>
      <c r="E521" s="15" t="s">
        <v>12797</v>
      </c>
      <c r="F521" s="15" t="s">
        <v>12798</v>
      </c>
      <c r="G521" s="15" t="s">
        <v>12799</v>
      </c>
      <c r="H521" s="16" t="s">
        <v>12797</v>
      </c>
    </row>
    <row r="522" spans="1:8" x14ac:dyDescent="0.3">
      <c r="A522" s="13" t="s">
        <v>12800</v>
      </c>
      <c r="B522" s="14" t="s">
        <v>19718</v>
      </c>
      <c r="C522" s="15" t="s">
        <v>12801</v>
      </c>
      <c r="D522" s="15"/>
      <c r="E522" s="15" t="s">
        <v>12802</v>
      </c>
      <c r="F522" s="15" t="s">
        <v>10808</v>
      </c>
      <c r="G522" s="15" t="s">
        <v>12802</v>
      </c>
      <c r="H522" s="16" t="s">
        <v>12802</v>
      </c>
    </row>
    <row r="523" spans="1:8" x14ac:dyDescent="0.3">
      <c r="A523" s="13" t="s">
        <v>12803</v>
      </c>
      <c r="B523" s="14" t="s">
        <v>19719</v>
      </c>
      <c r="C523" s="15" t="s">
        <v>12804</v>
      </c>
      <c r="D523" s="15"/>
      <c r="E523" s="15"/>
      <c r="F523" s="15" t="s">
        <v>12805</v>
      </c>
      <c r="G523" s="15" t="s">
        <v>12806</v>
      </c>
      <c r="H523" s="16" t="s">
        <v>12807</v>
      </c>
    </row>
    <row r="524" spans="1:8" ht="101.25" x14ac:dyDescent="0.3">
      <c r="A524" s="13" t="s">
        <v>12808</v>
      </c>
      <c r="B524" s="14" t="s">
        <v>19720</v>
      </c>
      <c r="C524" s="15" t="s">
        <v>12809</v>
      </c>
      <c r="D524" s="15" t="s">
        <v>12810</v>
      </c>
      <c r="E524" s="15" t="s">
        <v>12811</v>
      </c>
      <c r="F524" s="15" t="s">
        <v>12811</v>
      </c>
      <c r="G524" s="15" t="s">
        <v>12811</v>
      </c>
      <c r="H524" s="16" t="s">
        <v>12812</v>
      </c>
    </row>
    <row r="525" spans="1:8" x14ac:dyDescent="0.3">
      <c r="A525" s="13">
        <v>32041</v>
      </c>
      <c r="B525" s="14" t="s">
        <v>12813</v>
      </c>
      <c r="C525" s="15"/>
      <c r="D525" s="15"/>
      <c r="E525" s="15"/>
      <c r="F525" s="15"/>
      <c r="G525" s="15"/>
      <c r="H525" s="16"/>
    </row>
    <row r="526" spans="1:8" x14ac:dyDescent="0.3">
      <c r="A526" s="13" t="s">
        <v>12814</v>
      </c>
      <c r="B526" s="14" t="s">
        <v>19698</v>
      </c>
      <c r="C526" s="15" t="s">
        <v>12815</v>
      </c>
      <c r="D526" s="15" t="s">
        <v>12816</v>
      </c>
      <c r="E526" s="15" t="s">
        <v>12817</v>
      </c>
      <c r="F526" s="15" t="s">
        <v>57</v>
      </c>
      <c r="G526" s="15" t="s">
        <v>12817</v>
      </c>
      <c r="H526" s="16" t="s">
        <v>12818</v>
      </c>
    </row>
    <row r="527" spans="1:8" ht="45" x14ac:dyDescent="0.3">
      <c r="A527" s="13" t="s">
        <v>12819</v>
      </c>
      <c r="B527" s="14" t="s">
        <v>19717</v>
      </c>
      <c r="C527" s="15" t="s">
        <v>12820</v>
      </c>
      <c r="D527" s="15" t="s">
        <v>12821</v>
      </c>
      <c r="E527" s="15"/>
      <c r="F527" s="15" t="s">
        <v>12822</v>
      </c>
      <c r="G527" s="15" t="s">
        <v>12822</v>
      </c>
      <c r="H527" s="16" t="s">
        <v>12823</v>
      </c>
    </row>
    <row r="528" spans="1:8" ht="33.75" x14ac:dyDescent="0.3">
      <c r="A528" s="13" t="s">
        <v>12824</v>
      </c>
      <c r="B528" s="14" t="s">
        <v>19718</v>
      </c>
      <c r="C528" s="15" t="s">
        <v>12825</v>
      </c>
      <c r="D528" s="15" t="s">
        <v>12826</v>
      </c>
      <c r="E528" s="15"/>
      <c r="F528" s="15" t="s">
        <v>12827</v>
      </c>
      <c r="G528" s="15" t="s">
        <v>12828</v>
      </c>
      <c r="H528" s="16" t="s">
        <v>12829</v>
      </c>
    </row>
    <row r="529" spans="1:8" ht="45" x14ac:dyDescent="0.3">
      <c r="A529" s="13" t="s">
        <v>12830</v>
      </c>
      <c r="B529" s="14" t="s">
        <v>19719</v>
      </c>
      <c r="C529" s="15" t="s">
        <v>12831</v>
      </c>
      <c r="D529" s="15" t="s">
        <v>12832</v>
      </c>
      <c r="E529" s="15" t="s">
        <v>12833</v>
      </c>
      <c r="F529" s="15" t="s">
        <v>12834</v>
      </c>
      <c r="G529" s="15" t="s">
        <v>12835</v>
      </c>
      <c r="H529" s="16" t="s">
        <v>12836</v>
      </c>
    </row>
    <row r="530" spans="1:8" ht="33.75" x14ac:dyDescent="0.3">
      <c r="A530" s="13" t="s">
        <v>12837</v>
      </c>
      <c r="B530" s="14" t="s">
        <v>19720</v>
      </c>
      <c r="C530" s="15" t="s">
        <v>12838</v>
      </c>
      <c r="D530" s="15" t="s">
        <v>12839</v>
      </c>
      <c r="E530" s="15" t="s">
        <v>12840</v>
      </c>
      <c r="F530" s="15" t="s">
        <v>12841</v>
      </c>
      <c r="G530" s="15" t="s">
        <v>12841</v>
      </c>
      <c r="H530" s="16" t="s">
        <v>12842</v>
      </c>
    </row>
    <row r="531" spans="1:8" x14ac:dyDescent="0.3">
      <c r="A531" s="13">
        <v>32042</v>
      </c>
      <c r="B531" s="14" t="s">
        <v>12843</v>
      </c>
      <c r="C531" s="15"/>
      <c r="D531" s="15"/>
      <c r="E531" s="15"/>
      <c r="F531" s="15"/>
      <c r="G531" s="15"/>
      <c r="H531" s="16"/>
    </row>
    <row r="532" spans="1:8" ht="33.75" x14ac:dyDescent="0.3">
      <c r="A532" s="13" t="s">
        <v>12844</v>
      </c>
      <c r="B532" s="14" t="s">
        <v>19698</v>
      </c>
      <c r="C532" s="15" t="s">
        <v>12845</v>
      </c>
      <c r="D532" s="15" t="s">
        <v>12846</v>
      </c>
      <c r="E532" s="15" t="s">
        <v>12847</v>
      </c>
      <c r="F532" s="15" t="s">
        <v>12848</v>
      </c>
      <c r="G532" s="15" t="s">
        <v>12849</v>
      </c>
      <c r="H532" s="16" t="s">
        <v>12850</v>
      </c>
    </row>
    <row r="533" spans="1:8" ht="33.75" x14ac:dyDescent="0.3">
      <c r="A533" s="13" t="s">
        <v>12851</v>
      </c>
      <c r="B533" s="14" t="s">
        <v>19717</v>
      </c>
      <c r="C533" s="15" t="s">
        <v>12852</v>
      </c>
      <c r="D533" s="15" t="s">
        <v>12853</v>
      </c>
      <c r="E533" s="15" t="s">
        <v>12854</v>
      </c>
      <c r="F533" s="15" t="s">
        <v>12827</v>
      </c>
      <c r="G533" s="15" t="s">
        <v>12855</v>
      </c>
      <c r="H533" s="16" t="s">
        <v>12856</v>
      </c>
    </row>
    <row r="534" spans="1:8" x14ac:dyDescent="0.3">
      <c r="A534" s="13" t="s">
        <v>12857</v>
      </c>
      <c r="B534" s="14" t="s">
        <v>19718</v>
      </c>
      <c r="C534" s="15" t="s">
        <v>12858</v>
      </c>
      <c r="D534" s="15"/>
      <c r="E534" s="15"/>
      <c r="F534" s="15" t="s">
        <v>12859</v>
      </c>
      <c r="G534" s="15" t="s">
        <v>12860</v>
      </c>
      <c r="H534" s="16" t="s">
        <v>12861</v>
      </c>
    </row>
    <row r="535" spans="1:8" ht="33.75" x14ac:dyDescent="0.3">
      <c r="A535" s="13" t="s">
        <v>12862</v>
      </c>
      <c r="B535" s="14" t="s">
        <v>19719</v>
      </c>
      <c r="C535" s="15" t="s">
        <v>12863</v>
      </c>
      <c r="D535" s="15"/>
      <c r="E535" s="15" t="s">
        <v>12864</v>
      </c>
      <c r="F535" s="15" t="s">
        <v>12865</v>
      </c>
      <c r="G535" s="15" t="s">
        <v>12866</v>
      </c>
      <c r="H535" s="16" t="s">
        <v>12864</v>
      </c>
    </row>
    <row r="536" spans="1:8" ht="67.5" x14ac:dyDescent="0.3">
      <c r="A536" s="13" t="s">
        <v>12867</v>
      </c>
      <c r="B536" s="14" t="s">
        <v>19720</v>
      </c>
      <c r="C536" s="15" t="s">
        <v>12868</v>
      </c>
      <c r="D536" s="15" t="s">
        <v>12869</v>
      </c>
      <c r="E536" s="15" t="s">
        <v>12870</v>
      </c>
      <c r="F536" s="15" t="s">
        <v>12871</v>
      </c>
      <c r="G536" s="15" t="s">
        <v>12872</v>
      </c>
      <c r="H536" s="16" t="s">
        <v>12873</v>
      </c>
    </row>
    <row r="537" spans="1:8" x14ac:dyDescent="0.3">
      <c r="A537" s="13">
        <v>32043</v>
      </c>
      <c r="B537" s="14" t="s">
        <v>12874</v>
      </c>
      <c r="C537" s="15"/>
      <c r="D537" s="15"/>
      <c r="E537" s="15"/>
      <c r="F537" s="15"/>
      <c r="G537" s="15"/>
      <c r="H537" s="16"/>
    </row>
    <row r="538" spans="1:8" ht="22.5" x14ac:dyDescent="0.3">
      <c r="A538" s="13" t="s">
        <v>12875</v>
      </c>
      <c r="B538" s="14" t="s">
        <v>19698</v>
      </c>
      <c r="C538" s="15" t="s">
        <v>12876</v>
      </c>
      <c r="D538" s="15"/>
      <c r="E538" s="15" t="s">
        <v>12877</v>
      </c>
      <c r="F538" s="15" t="s">
        <v>12878</v>
      </c>
      <c r="G538" s="15" t="s">
        <v>12879</v>
      </c>
      <c r="H538" s="16" t="s">
        <v>12880</v>
      </c>
    </row>
    <row r="539" spans="1:8" ht="22.5" x14ac:dyDescent="0.3">
      <c r="A539" s="13" t="s">
        <v>12881</v>
      </c>
      <c r="B539" s="14" t="s">
        <v>19717</v>
      </c>
      <c r="C539" s="15" t="s">
        <v>12882</v>
      </c>
      <c r="D539" s="15"/>
      <c r="E539" s="15" t="s">
        <v>12883</v>
      </c>
      <c r="F539" s="15" t="s">
        <v>12884</v>
      </c>
      <c r="G539" s="15" t="s">
        <v>12885</v>
      </c>
      <c r="H539" s="16" t="s">
        <v>12886</v>
      </c>
    </row>
    <row r="540" spans="1:8" x14ac:dyDescent="0.3">
      <c r="A540" s="13" t="s">
        <v>12887</v>
      </c>
      <c r="B540" s="14" t="s">
        <v>19718</v>
      </c>
      <c r="C540" s="15" t="s">
        <v>12888</v>
      </c>
      <c r="D540" s="15"/>
      <c r="E540" s="15" t="s">
        <v>12889</v>
      </c>
      <c r="F540" s="15" t="s">
        <v>12890</v>
      </c>
      <c r="G540" s="15" t="s">
        <v>12891</v>
      </c>
      <c r="H540" s="16"/>
    </row>
    <row r="541" spans="1:8" ht="22.5" x14ac:dyDescent="0.3">
      <c r="A541" s="13" t="s">
        <v>12892</v>
      </c>
      <c r="B541" s="14" t="s">
        <v>19719</v>
      </c>
      <c r="C541" s="15" t="s">
        <v>12893</v>
      </c>
      <c r="D541" s="15"/>
      <c r="E541" s="15" t="s">
        <v>12894</v>
      </c>
      <c r="F541" s="15" t="s">
        <v>12895</v>
      </c>
      <c r="G541" s="15" t="s">
        <v>12896</v>
      </c>
      <c r="H541" s="16"/>
    </row>
    <row r="542" spans="1:8" ht="22.5" x14ac:dyDescent="0.3">
      <c r="A542" s="13" t="s">
        <v>12897</v>
      </c>
      <c r="B542" s="14" t="s">
        <v>19720</v>
      </c>
      <c r="C542" s="15" t="s">
        <v>12898</v>
      </c>
      <c r="D542" s="15" t="s">
        <v>12899</v>
      </c>
      <c r="E542" s="15" t="s">
        <v>12900</v>
      </c>
      <c r="F542" s="15" t="s">
        <v>12901</v>
      </c>
      <c r="G542" s="15" t="s">
        <v>12902</v>
      </c>
      <c r="H542" s="16" t="s">
        <v>12903</v>
      </c>
    </row>
    <row r="543" spans="1:8" ht="22.5" x14ac:dyDescent="0.3">
      <c r="A543" s="13">
        <v>32044</v>
      </c>
      <c r="B543" s="14" t="s">
        <v>12904</v>
      </c>
      <c r="C543" s="15"/>
      <c r="D543" s="15"/>
      <c r="E543" s="15"/>
      <c r="F543" s="15"/>
      <c r="G543" s="15"/>
      <c r="H543" s="16"/>
    </row>
    <row r="544" spans="1:8" x14ac:dyDescent="0.3">
      <c r="A544" s="13" t="s">
        <v>12905</v>
      </c>
      <c r="B544" s="14" t="s">
        <v>19698</v>
      </c>
      <c r="C544" s="15" t="s">
        <v>12906</v>
      </c>
      <c r="D544" s="15" t="s">
        <v>12907</v>
      </c>
      <c r="E544" s="15" t="s">
        <v>12908</v>
      </c>
      <c r="F544" s="15" t="s">
        <v>12909</v>
      </c>
      <c r="G544" s="15" t="s">
        <v>12908</v>
      </c>
      <c r="H544" s="16" t="s">
        <v>12910</v>
      </c>
    </row>
    <row r="545" spans="1:8" x14ac:dyDescent="0.3">
      <c r="A545" s="13" t="s">
        <v>12911</v>
      </c>
      <c r="B545" s="14" t="s">
        <v>19717</v>
      </c>
      <c r="C545" s="15" t="s">
        <v>12912</v>
      </c>
      <c r="D545" s="15"/>
      <c r="E545" s="15" t="s">
        <v>12913</v>
      </c>
      <c r="F545" s="15" t="s">
        <v>12914</v>
      </c>
      <c r="G545" s="15" t="s">
        <v>12915</v>
      </c>
      <c r="H545" s="16"/>
    </row>
    <row r="546" spans="1:8" ht="22.5" x14ac:dyDescent="0.3">
      <c r="A546" s="13" t="s">
        <v>12916</v>
      </c>
      <c r="B546" s="14" t="s">
        <v>19718</v>
      </c>
      <c r="C546" s="15" t="s">
        <v>12917</v>
      </c>
      <c r="D546" s="15" t="s">
        <v>12918</v>
      </c>
      <c r="E546" s="15" t="s">
        <v>12919</v>
      </c>
      <c r="F546" s="15" t="s">
        <v>12908</v>
      </c>
      <c r="G546" s="15" t="s">
        <v>12920</v>
      </c>
      <c r="H546" s="16" t="s">
        <v>12921</v>
      </c>
    </row>
    <row r="547" spans="1:8" ht="22.5" x14ac:dyDescent="0.3">
      <c r="A547" s="13" t="s">
        <v>12922</v>
      </c>
      <c r="B547" s="14" t="s">
        <v>19719</v>
      </c>
      <c r="C547" s="15" t="s">
        <v>12923</v>
      </c>
      <c r="D547" s="15"/>
      <c r="E547" s="15" t="s">
        <v>12924</v>
      </c>
      <c r="F547" s="15" t="s">
        <v>12925</v>
      </c>
      <c r="G547" s="15" t="s">
        <v>12926</v>
      </c>
      <c r="H547" s="16" t="s">
        <v>12927</v>
      </c>
    </row>
    <row r="548" spans="1:8" ht="45" x14ac:dyDescent="0.3">
      <c r="A548" s="13" t="s">
        <v>12928</v>
      </c>
      <c r="B548" s="14" t="s">
        <v>19720</v>
      </c>
      <c r="C548" s="15" t="s">
        <v>12929</v>
      </c>
      <c r="D548" s="15" t="s">
        <v>12930</v>
      </c>
      <c r="E548" s="15" t="s">
        <v>12931</v>
      </c>
      <c r="F548" s="15" t="s">
        <v>12932</v>
      </c>
      <c r="G548" s="15" t="s">
        <v>12933</v>
      </c>
      <c r="H548" s="16" t="s">
        <v>12932</v>
      </c>
    </row>
    <row r="549" spans="1:8" ht="22.5" x14ac:dyDescent="0.3">
      <c r="A549" s="13">
        <v>32045</v>
      </c>
      <c r="B549" s="14" t="s">
        <v>12934</v>
      </c>
      <c r="C549" s="15"/>
      <c r="D549" s="15"/>
      <c r="E549" s="15"/>
      <c r="F549" s="15"/>
      <c r="G549" s="15"/>
      <c r="H549" s="16"/>
    </row>
    <row r="550" spans="1:8" ht="56.25" x14ac:dyDescent="0.3">
      <c r="A550" s="13" t="s">
        <v>12935</v>
      </c>
      <c r="B550" s="14" t="s">
        <v>19698</v>
      </c>
      <c r="C550" s="15" t="s">
        <v>12936</v>
      </c>
      <c r="D550" s="15" t="s">
        <v>12937</v>
      </c>
      <c r="E550" s="15" t="s">
        <v>12938</v>
      </c>
      <c r="F550" s="15" t="s">
        <v>12939</v>
      </c>
      <c r="G550" s="15" t="s">
        <v>12940</v>
      </c>
      <c r="H550" s="16" t="s">
        <v>12941</v>
      </c>
    </row>
    <row r="551" spans="1:8" ht="33.75" x14ac:dyDescent="0.3">
      <c r="A551" s="13" t="s">
        <v>12942</v>
      </c>
      <c r="B551" s="14" t="s">
        <v>19717</v>
      </c>
      <c r="C551" s="15" t="s">
        <v>12943</v>
      </c>
      <c r="D551" s="15" t="s">
        <v>12944</v>
      </c>
      <c r="E551" s="15" t="s">
        <v>12945</v>
      </c>
      <c r="F551" s="15" t="s">
        <v>12946</v>
      </c>
      <c r="G551" s="15" t="s">
        <v>12947</v>
      </c>
      <c r="H551" s="16" t="s">
        <v>12948</v>
      </c>
    </row>
    <row r="552" spans="1:8" x14ac:dyDescent="0.3">
      <c r="A552" s="13" t="s">
        <v>12949</v>
      </c>
      <c r="B552" s="14" t="s">
        <v>19718</v>
      </c>
      <c r="C552" s="15" t="s">
        <v>12950</v>
      </c>
      <c r="D552" s="15"/>
      <c r="E552" s="15" t="s">
        <v>12951</v>
      </c>
      <c r="F552" s="15" t="s">
        <v>12940</v>
      </c>
      <c r="G552" s="15" t="s">
        <v>12952</v>
      </c>
      <c r="H552" s="16" t="s">
        <v>12953</v>
      </c>
    </row>
    <row r="553" spans="1:8" x14ac:dyDescent="0.3">
      <c r="A553" s="13" t="s">
        <v>12954</v>
      </c>
      <c r="B553" s="14" t="s">
        <v>19719</v>
      </c>
      <c r="C553" s="15" t="s">
        <v>12955</v>
      </c>
      <c r="D553" s="15"/>
      <c r="E553" s="15" t="s">
        <v>12956</v>
      </c>
      <c r="F553" s="15" t="s">
        <v>12957</v>
      </c>
      <c r="G553" s="15" t="s">
        <v>12958</v>
      </c>
      <c r="H553" s="16" t="s">
        <v>12959</v>
      </c>
    </row>
    <row r="554" spans="1:8" ht="90" x14ac:dyDescent="0.3">
      <c r="A554" s="13" t="s">
        <v>12960</v>
      </c>
      <c r="B554" s="14" t="s">
        <v>19720</v>
      </c>
      <c r="C554" s="15" t="s">
        <v>12961</v>
      </c>
      <c r="D554" s="15" t="s">
        <v>12962</v>
      </c>
      <c r="E554" s="15" t="s">
        <v>12963</v>
      </c>
      <c r="F554" s="15" t="s">
        <v>12964</v>
      </c>
      <c r="G554" s="15" t="s">
        <v>12965</v>
      </c>
      <c r="H554" s="16" t="s">
        <v>12966</v>
      </c>
    </row>
    <row r="555" spans="1:8" x14ac:dyDescent="0.3">
      <c r="A555" s="13">
        <v>32046</v>
      </c>
      <c r="B555" s="14" t="s">
        <v>12967</v>
      </c>
      <c r="C555" s="15"/>
      <c r="D555" s="15"/>
      <c r="E555" s="15"/>
      <c r="F555" s="15"/>
      <c r="G555" s="15"/>
      <c r="H555" s="16"/>
    </row>
    <row r="556" spans="1:8" ht="56.25" x14ac:dyDescent="0.3">
      <c r="A556" s="13" t="s">
        <v>12968</v>
      </c>
      <c r="B556" s="14" t="s">
        <v>19698</v>
      </c>
      <c r="C556" s="15" t="s">
        <v>12969</v>
      </c>
      <c r="D556" s="15" t="s">
        <v>12970</v>
      </c>
      <c r="E556" s="15" t="s">
        <v>12971</v>
      </c>
      <c r="F556" s="15" t="s">
        <v>12972</v>
      </c>
      <c r="G556" s="15" t="s">
        <v>12973</v>
      </c>
      <c r="H556" s="16" t="s">
        <v>12974</v>
      </c>
    </row>
    <row r="557" spans="1:8" ht="22.5" x14ac:dyDescent="0.3">
      <c r="A557" s="13" t="s">
        <v>12975</v>
      </c>
      <c r="B557" s="14" t="s">
        <v>19717</v>
      </c>
      <c r="C557" s="15" t="s">
        <v>12976</v>
      </c>
      <c r="D557" s="15"/>
      <c r="E557" s="15" t="s">
        <v>12977</v>
      </c>
      <c r="F557" s="15" t="s">
        <v>12978</v>
      </c>
      <c r="G557" s="15" t="s">
        <v>12979</v>
      </c>
      <c r="H557" s="16" t="s">
        <v>12980</v>
      </c>
    </row>
    <row r="558" spans="1:8" x14ac:dyDescent="0.3">
      <c r="A558" s="13" t="s">
        <v>12981</v>
      </c>
      <c r="B558" s="14" t="s">
        <v>19718</v>
      </c>
      <c r="C558" s="15" t="s">
        <v>12982</v>
      </c>
      <c r="D558" s="15"/>
      <c r="E558" s="15" t="s">
        <v>12983</v>
      </c>
      <c r="F558" s="15" t="s">
        <v>12973</v>
      </c>
      <c r="G558" s="15" t="s">
        <v>12984</v>
      </c>
      <c r="H558" s="16" t="s">
        <v>12984</v>
      </c>
    </row>
    <row r="559" spans="1:8" ht="78.75" x14ac:dyDescent="0.3">
      <c r="A559" s="13" t="s">
        <v>12985</v>
      </c>
      <c r="B559" s="14" t="s">
        <v>19719</v>
      </c>
      <c r="C559" s="15" t="s">
        <v>12986</v>
      </c>
      <c r="D559" s="15"/>
      <c r="E559" s="15"/>
      <c r="F559" s="15" t="s">
        <v>12987</v>
      </c>
      <c r="G559" s="15" t="s">
        <v>12988</v>
      </c>
      <c r="H559" s="16" t="s">
        <v>12989</v>
      </c>
    </row>
    <row r="560" spans="1:8" ht="33.75" x14ac:dyDescent="0.3">
      <c r="A560" s="13" t="s">
        <v>12990</v>
      </c>
      <c r="B560" s="14" t="s">
        <v>19720</v>
      </c>
      <c r="C560" s="15" t="s">
        <v>12991</v>
      </c>
      <c r="D560" s="15" t="s">
        <v>12992</v>
      </c>
      <c r="E560" s="15" t="s">
        <v>12993</v>
      </c>
      <c r="F560" s="15" t="s">
        <v>12994</v>
      </c>
      <c r="G560" s="15" t="s">
        <v>12995</v>
      </c>
      <c r="H560" s="16" t="s">
        <v>12996</v>
      </c>
    </row>
    <row r="561" spans="1:8" x14ac:dyDescent="0.3">
      <c r="A561" s="13">
        <v>32047</v>
      </c>
      <c r="B561" s="14" t="s">
        <v>12997</v>
      </c>
      <c r="C561" s="15"/>
      <c r="D561" s="15"/>
      <c r="E561" s="15"/>
      <c r="F561" s="15"/>
      <c r="G561" s="15"/>
      <c r="H561" s="16"/>
    </row>
    <row r="562" spans="1:8" ht="123.75" x14ac:dyDescent="0.3">
      <c r="A562" s="13" t="s">
        <v>12998</v>
      </c>
      <c r="B562" s="14" t="s">
        <v>12999</v>
      </c>
      <c r="C562" s="15" t="s">
        <v>13000</v>
      </c>
      <c r="D562" s="15" t="s">
        <v>13001</v>
      </c>
      <c r="E562" s="15" t="s">
        <v>13002</v>
      </c>
      <c r="F562" s="15" t="s">
        <v>13003</v>
      </c>
      <c r="G562" s="15" t="s">
        <v>13004</v>
      </c>
      <c r="H562" s="16" t="s">
        <v>13005</v>
      </c>
    </row>
    <row r="563" spans="1:8" ht="56.25" x14ac:dyDescent="0.3">
      <c r="A563" s="13" t="s">
        <v>13006</v>
      </c>
      <c r="B563" s="14" t="s">
        <v>13007</v>
      </c>
      <c r="C563" s="15" t="s">
        <v>13008</v>
      </c>
      <c r="D563" s="15" t="s">
        <v>13009</v>
      </c>
      <c r="E563" s="15" t="s">
        <v>13010</v>
      </c>
      <c r="F563" s="15" t="s">
        <v>13011</v>
      </c>
      <c r="G563" s="15" t="s">
        <v>13011</v>
      </c>
      <c r="H563" s="16" t="s">
        <v>13011</v>
      </c>
    </row>
    <row r="564" spans="1:8" x14ac:dyDescent="0.3">
      <c r="A564" s="13">
        <v>32048</v>
      </c>
      <c r="B564" s="14" t="s">
        <v>13012</v>
      </c>
      <c r="C564" s="15"/>
      <c r="D564" s="15"/>
      <c r="E564" s="15"/>
      <c r="F564" s="15"/>
      <c r="G564" s="15"/>
      <c r="H564" s="16"/>
    </row>
    <row r="565" spans="1:8" ht="22.5" x14ac:dyDescent="0.3">
      <c r="A565" s="13" t="s">
        <v>13013</v>
      </c>
      <c r="B565" s="14" t="s">
        <v>12999</v>
      </c>
      <c r="C565" s="15" t="s">
        <v>13014</v>
      </c>
      <c r="D565" s="15"/>
      <c r="E565" s="15" t="s">
        <v>13015</v>
      </c>
      <c r="F565" s="15" t="s">
        <v>13016</v>
      </c>
      <c r="G565" s="15" t="s">
        <v>13017</v>
      </c>
      <c r="H565" s="16" t="s">
        <v>13018</v>
      </c>
    </row>
    <row r="566" spans="1:8" ht="33.75" x14ac:dyDescent="0.3">
      <c r="A566" s="13" t="s">
        <v>13019</v>
      </c>
      <c r="B566" s="14" t="s">
        <v>13007</v>
      </c>
      <c r="C566" s="15" t="s">
        <v>13020</v>
      </c>
      <c r="D566" s="15" t="s">
        <v>13021</v>
      </c>
      <c r="E566" s="15" t="s">
        <v>13022</v>
      </c>
      <c r="F566" s="15" t="s">
        <v>13023</v>
      </c>
      <c r="G566" s="15" t="s">
        <v>13024</v>
      </c>
      <c r="H566" s="16" t="s">
        <v>13025</v>
      </c>
    </row>
    <row r="567" spans="1:8" x14ac:dyDescent="0.3">
      <c r="A567" s="13">
        <v>32049</v>
      </c>
      <c r="B567" s="14" t="s">
        <v>13026</v>
      </c>
      <c r="C567" s="15"/>
      <c r="D567" s="15"/>
      <c r="E567" s="15"/>
      <c r="F567" s="15"/>
      <c r="G567" s="15"/>
      <c r="H567" s="16"/>
    </row>
    <row r="568" spans="1:8" ht="56.25" x14ac:dyDescent="0.3">
      <c r="A568" s="13" t="s">
        <v>13027</v>
      </c>
      <c r="B568" s="14" t="s">
        <v>12999</v>
      </c>
      <c r="C568" s="15" t="s">
        <v>13028</v>
      </c>
      <c r="D568" s="15" t="s">
        <v>13029</v>
      </c>
      <c r="E568" s="15" t="s">
        <v>13030</v>
      </c>
      <c r="F568" s="15" t="s">
        <v>13031</v>
      </c>
      <c r="G568" s="15" t="s">
        <v>13032</v>
      </c>
      <c r="H568" s="16" t="s">
        <v>13033</v>
      </c>
    </row>
    <row r="569" spans="1:8" ht="33.75" x14ac:dyDescent="0.3">
      <c r="A569" s="13" t="s">
        <v>13034</v>
      </c>
      <c r="B569" s="14" t="s">
        <v>13007</v>
      </c>
      <c r="C569" s="15" t="s">
        <v>13035</v>
      </c>
      <c r="D569" s="15" t="s">
        <v>13036</v>
      </c>
      <c r="E569" s="15" t="s">
        <v>13037</v>
      </c>
      <c r="F569" s="15" t="s">
        <v>13038</v>
      </c>
      <c r="G569" s="15" t="s">
        <v>13039</v>
      </c>
      <c r="H569" s="16" t="s">
        <v>13038</v>
      </c>
    </row>
    <row r="570" spans="1:8" x14ac:dyDescent="0.3">
      <c r="A570" s="13">
        <v>32050</v>
      </c>
      <c r="B570" s="14" t="s">
        <v>13040</v>
      </c>
      <c r="C570" s="15"/>
      <c r="D570" s="15"/>
      <c r="E570" s="15"/>
      <c r="F570" s="15"/>
      <c r="G570" s="15"/>
      <c r="H570" s="16"/>
    </row>
    <row r="571" spans="1:8" ht="90" x14ac:dyDescent="0.3">
      <c r="A571" s="13" t="s">
        <v>13041</v>
      </c>
      <c r="B571" s="14" t="s">
        <v>12999</v>
      </c>
      <c r="C571" s="15" t="s">
        <v>13042</v>
      </c>
      <c r="D571" s="15" t="s">
        <v>13043</v>
      </c>
      <c r="E571" s="15" t="s">
        <v>13044</v>
      </c>
      <c r="F571" s="15" t="s">
        <v>13045</v>
      </c>
      <c r="G571" s="15" t="s">
        <v>13046</v>
      </c>
      <c r="H571" s="16" t="s">
        <v>13047</v>
      </c>
    </row>
    <row r="572" spans="1:8" ht="33.75" x14ac:dyDescent="0.3">
      <c r="A572" s="13" t="s">
        <v>13048</v>
      </c>
      <c r="B572" s="14" t="s">
        <v>13007</v>
      </c>
      <c r="C572" s="15" t="s">
        <v>13049</v>
      </c>
      <c r="D572" s="15" t="s">
        <v>13050</v>
      </c>
      <c r="E572" s="15" t="s">
        <v>13051</v>
      </c>
      <c r="F572" s="15" t="s">
        <v>13052</v>
      </c>
      <c r="G572" s="15" t="s">
        <v>13053</v>
      </c>
      <c r="H572" s="16" t="s">
        <v>13054</v>
      </c>
    </row>
    <row r="573" spans="1:8" x14ac:dyDescent="0.3">
      <c r="A573" s="13">
        <v>32051</v>
      </c>
      <c r="B573" s="14" t="s">
        <v>13055</v>
      </c>
      <c r="C573" s="15"/>
      <c r="D573" s="15"/>
      <c r="E573" s="15"/>
      <c r="F573" s="15"/>
      <c r="G573" s="15"/>
      <c r="H573" s="16"/>
    </row>
    <row r="574" spans="1:8" ht="22.5" x14ac:dyDescent="0.3">
      <c r="A574" s="13" t="s">
        <v>13056</v>
      </c>
      <c r="B574" s="14" t="s">
        <v>12999</v>
      </c>
      <c r="C574" s="15" t="s">
        <v>13057</v>
      </c>
      <c r="D574" s="15" t="s">
        <v>13058</v>
      </c>
      <c r="E574" s="15" t="s">
        <v>13059</v>
      </c>
      <c r="F574" s="15"/>
      <c r="G574" s="15" t="s">
        <v>13060</v>
      </c>
      <c r="H574" s="16" t="s">
        <v>13061</v>
      </c>
    </row>
    <row r="575" spans="1:8" ht="33.75" x14ac:dyDescent="0.3">
      <c r="A575" s="13" t="s">
        <v>13062</v>
      </c>
      <c r="B575" s="14" t="s">
        <v>13007</v>
      </c>
      <c r="C575" s="15" t="s">
        <v>13063</v>
      </c>
      <c r="D575" s="15" t="s">
        <v>13064</v>
      </c>
      <c r="E575" s="15" t="s">
        <v>13065</v>
      </c>
      <c r="F575" s="15" t="s">
        <v>13066</v>
      </c>
      <c r="G575" s="15" t="s">
        <v>13067</v>
      </c>
      <c r="H575" s="16" t="s">
        <v>13065</v>
      </c>
    </row>
    <row r="576" spans="1:8" x14ac:dyDescent="0.3">
      <c r="A576" s="13">
        <v>32052</v>
      </c>
      <c r="B576" s="14" t="s">
        <v>13068</v>
      </c>
      <c r="C576" s="15"/>
      <c r="D576" s="15"/>
      <c r="E576" s="15"/>
      <c r="F576" s="15"/>
      <c r="G576" s="15"/>
      <c r="H576" s="16"/>
    </row>
    <row r="577" spans="1:8" ht="56.25" x14ac:dyDescent="0.3">
      <c r="A577" s="13" t="s">
        <v>13069</v>
      </c>
      <c r="B577" s="14" t="s">
        <v>12999</v>
      </c>
      <c r="C577" s="15" t="s">
        <v>13070</v>
      </c>
      <c r="D577" s="15" t="s">
        <v>13071</v>
      </c>
      <c r="E577" s="15" t="s">
        <v>13072</v>
      </c>
      <c r="F577" s="15" t="s">
        <v>13073</v>
      </c>
      <c r="G577" s="15" t="s">
        <v>13074</v>
      </c>
      <c r="H577" s="16" t="s">
        <v>13075</v>
      </c>
    </row>
    <row r="578" spans="1:8" ht="33.75" x14ac:dyDescent="0.3">
      <c r="A578" s="13" t="s">
        <v>13076</v>
      </c>
      <c r="B578" s="14" t="s">
        <v>13007</v>
      </c>
      <c r="C578" s="15" t="s">
        <v>13077</v>
      </c>
      <c r="D578" s="15" t="s">
        <v>13078</v>
      </c>
      <c r="E578" s="15" t="s">
        <v>13079</v>
      </c>
      <c r="F578" s="15" t="s">
        <v>13080</v>
      </c>
      <c r="G578" s="15" t="s">
        <v>13081</v>
      </c>
      <c r="H578" s="16" t="s">
        <v>13082</v>
      </c>
    </row>
    <row r="579" spans="1:8" x14ac:dyDescent="0.3">
      <c r="A579" s="13">
        <v>32053</v>
      </c>
      <c r="B579" s="14" t="s">
        <v>13083</v>
      </c>
      <c r="C579" s="15"/>
      <c r="D579" s="15"/>
      <c r="E579" s="15"/>
      <c r="F579" s="15"/>
      <c r="G579" s="15"/>
      <c r="H579" s="16"/>
    </row>
    <row r="580" spans="1:8" ht="33.75" x14ac:dyDescent="0.3">
      <c r="A580" s="13" t="s">
        <v>13084</v>
      </c>
      <c r="B580" s="14" t="s">
        <v>12999</v>
      </c>
      <c r="C580" s="15" t="s">
        <v>13085</v>
      </c>
      <c r="D580" s="15" t="s">
        <v>13086</v>
      </c>
      <c r="E580" s="15" t="s">
        <v>13087</v>
      </c>
      <c r="F580" s="15" t="s">
        <v>13088</v>
      </c>
      <c r="G580" s="15" t="s">
        <v>13089</v>
      </c>
      <c r="H580" s="16" t="s">
        <v>13090</v>
      </c>
    </row>
    <row r="581" spans="1:8" ht="33.75" x14ac:dyDescent="0.3">
      <c r="A581" s="13" t="s">
        <v>13091</v>
      </c>
      <c r="B581" s="14" t="s">
        <v>13007</v>
      </c>
      <c r="C581" s="15" t="s">
        <v>13092</v>
      </c>
      <c r="D581" s="15" t="s">
        <v>13093</v>
      </c>
      <c r="E581" s="15" t="s">
        <v>13094</v>
      </c>
      <c r="F581" s="15" t="s">
        <v>13095</v>
      </c>
      <c r="G581" s="15" t="s">
        <v>13096</v>
      </c>
      <c r="H581" s="16" t="s">
        <v>13097</v>
      </c>
    </row>
    <row r="582" spans="1:8" x14ac:dyDescent="0.3">
      <c r="A582" s="13">
        <v>32054</v>
      </c>
      <c r="B582" s="14" t="s">
        <v>13098</v>
      </c>
      <c r="C582" s="15"/>
      <c r="D582" s="15"/>
      <c r="E582" s="15"/>
      <c r="F582" s="15"/>
      <c r="G582" s="15"/>
      <c r="H582" s="16"/>
    </row>
    <row r="583" spans="1:8" ht="67.5" x14ac:dyDescent="0.3">
      <c r="A583" s="13" t="s">
        <v>13099</v>
      </c>
      <c r="B583" s="14" t="s">
        <v>12999</v>
      </c>
      <c r="C583" s="15" t="s">
        <v>13100</v>
      </c>
      <c r="D583" s="15" t="s">
        <v>13101</v>
      </c>
      <c r="E583" s="15" t="s">
        <v>13102</v>
      </c>
      <c r="F583" s="15" t="s">
        <v>13103</v>
      </c>
      <c r="G583" s="15" t="s">
        <v>13104</v>
      </c>
      <c r="H583" s="16" t="s">
        <v>13105</v>
      </c>
    </row>
    <row r="584" spans="1:8" ht="33.75" x14ac:dyDescent="0.3">
      <c r="A584" s="13" t="s">
        <v>13106</v>
      </c>
      <c r="B584" s="14" t="s">
        <v>13007</v>
      </c>
      <c r="C584" s="15" t="s">
        <v>13107</v>
      </c>
      <c r="D584" s="15" t="s">
        <v>13108</v>
      </c>
      <c r="E584" s="15" t="s">
        <v>13109</v>
      </c>
      <c r="F584" s="15" t="s">
        <v>13110</v>
      </c>
      <c r="G584" s="15" t="s">
        <v>13110</v>
      </c>
      <c r="H584" s="16" t="s">
        <v>13111</v>
      </c>
    </row>
    <row r="585" spans="1:8" x14ac:dyDescent="0.3">
      <c r="A585" s="13">
        <v>32055</v>
      </c>
      <c r="B585" s="14" t="s">
        <v>13112</v>
      </c>
      <c r="C585" s="15"/>
      <c r="D585" s="15"/>
      <c r="E585" s="15"/>
      <c r="F585" s="15"/>
      <c r="G585" s="15"/>
      <c r="H585" s="16"/>
    </row>
    <row r="586" spans="1:8" ht="33.75" x14ac:dyDescent="0.3">
      <c r="A586" s="13" t="s">
        <v>13113</v>
      </c>
      <c r="B586" s="14" t="s">
        <v>12999</v>
      </c>
      <c r="C586" s="15" t="s">
        <v>13114</v>
      </c>
      <c r="D586" s="15" t="s">
        <v>13115</v>
      </c>
      <c r="E586" s="15" t="s">
        <v>13116</v>
      </c>
      <c r="F586" s="15" t="s">
        <v>13117</v>
      </c>
      <c r="G586" s="15" t="s">
        <v>13118</v>
      </c>
      <c r="H586" s="16" t="s">
        <v>13119</v>
      </c>
    </row>
    <row r="587" spans="1:8" ht="67.5" x14ac:dyDescent="0.3">
      <c r="A587" s="13" t="s">
        <v>13120</v>
      </c>
      <c r="B587" s="14" t="s">
        <v>13007</v>
      </c>
      <c r="C587" s="15" t="s">
        <v>13121</v>
      </c>
      <c r="D587" s="15" t="s">
        <v>13122</v>
      </c>
      <c r="E587" s="15" t="s">
        <v>13123</v>
      </c>
      <c r="F587" s="15" t="s">
        <v>13124</v>
      </c>
      <c r="G587" s="15" t="s">
        <v>13125</v>
      </c>
      <c r="H587" s="16" t="s">
        <v>13126</v>
      </c>
    </row>
    <row r="588" spans="1:8" x14ac:dyDescent="0.3">
      <c r="A588" s="13">
        <v>32056</v>
      </c>
      <c r="B588" s="14" t="s">
        <v>13127</v>
      </c>
      <c r="C588" s="15"/>
      <c r="D588" s="15"/>
      <c r="E588" s="15"/>
      <c r="F588" s="15"/>
      <c r="G588" s="15"/>
      <c r="H588" s="16"/>
    </row>
    <row r="589" spans="1:8" ht="22.5" x14ac:dyDescent="0.3">
      <c r="A589" s="13" t="s">
        <v>13128</v>
      </c>
      <c r="B589" s="14" t="s">
        <v>12999</v>
      </c>
      <c r="C589" s="15" t="s">
        <v>13129</v>
      </c>
      <c r="D589" s="15" t="s">
        <v>13130</v>
      </c>
      <c r="E589" s="15" t="s">
        <v>13131</v>
      </c>
      <c r="F589" s="15" t="s">
        <v>13132</v>
      </c>
      <c r="G589" s="15" t="s">
        <v>13133</v>
      </c>
      <c r="H589" s="16" t="s">
        <v>13134</v>
      </c>
    </row>
    <row r="590" spans="1:8" ht="56.25" x14ac:dyDescent="0.3">
      <c r="A590" s="13" t="s">
        <v>13135</v>
      </c>
      <c r="B590" s="14" t="s">
        <v>13007</v>
      </c>
      <c r="C590" s="15" t="s">
        <v>13136</v>
      </c>
      <c r="D590" s="15" t="s">
        <v>13137</v>
      </c>
      <c r="E590" s="15" t="s">
        <v>13138</v>
      </c>
      <c r="F590" s="15" t="s">
        <v>13139</v>
      </c>
      <c r="G590" s="15" t="s">
        <v>13140</v>
      </c>
      <c r="H590" s="16" t="s">
        <v>13141</v>
      </c>
    </row>
    <row r="591" spans="1:8" x14ac:dyDescent="0.3">
      <c r="A591" s="13">
        <v>32057</v>
      </c>
      <c r="B591" s="14" t="s">
        <v>13142</v>
      </c>
      <c r="C591" s="15"/>
      <c r="D591" s="15"/>
      <c r="E591" s="15"/>
      <c r="F591" s="15"/>
      <c r="G591" s="15"/>
      <c r="H591" s="16"/>
    </row>
    <row r="592" spans="1:8" ht="33.75" x14ac:dyDescent="0.3">
      <c r="A592" s="13" t="s">
        <v>13143</v>
      </c>
      <c r="B592" s="14" t="s">
        <v>12999</v>
      </c>
      <c r="C592" s="15" t="s">
        <v>13144</v>
      </c>
      <c r="D592" s="15" t="s">
        <v>13145</v>
      </c>
      <c r="E592" s="15" t="s">
        <v>13146</v>
      </c>
      <c r="F592" s="15" t="s">
        <v>13147</v>
      </c>
      <c r="G592" s="15" t="s">
        <v>13148</v>
      </c>
      <c r="H592" s="16" t="s">
        <v>13149</v>
      </c>
    </row>
    <row r="593" spans="1:8" ht="56.25" x14ac:dyDescent="0.3">
      <c r="A593" s="13" t="s">
        <v>13150</v>
      </c>
      <c r="B593" s="14" t="s">
        <v>13007</v>
      </c>
      <c r="C593" s="15" t="s">
        <v>13151</v>
      </c>
      <c r="D593" s="15" t="s">
        <v>13152</v>
      </c>
      <c r="E593" s="15" t="s">
        <v>13153</v>
      </c>
      <c r="F593" s="15" t="s">
        <v>13154</v>
      </c>
      <c r="G593" s="15" t="s">
        <v>13155</v>
      </c>
      <c r="H593" s="16" t="s">
        <v>13156</v>
      </c>
    </row>
    <row r="594" spans="1:8" x14ac:dyDescent="0.3">
      <c r="A594" s="13">
        <v>32058</v>
      </c>
      <c r="B594" s="14" t="s">
        <v>13157</v>
      </c>
      <c r="C594" s="15"/>
      <c r="D594" s="15"/>
      <c r="E594" s="15"/>
      <c r="F594" s="15"/>
      <c r="G594" s="15"/>
      <c r="H594" s="16"/>
    </row>
    <row r="595" spans="1:8" ht="45" x14ac:dyDescent="0.3">
      <c r="A595" s="13" t="s">
        <v>13158</v>
      </c>
      <c r="B595" s="14" t="s">
        <v>12999</v>
      </c>
      <c r="C595" s="15" t="s">
        <v>13159</v>
      </c>
      <c r="D595" s="15" t="s">
        <v>13160</v>
      </c>
      <c r="E595" s="15" t="s">
        <v>13161</v>
      </c>
      <c r="F595" s="15" t="s">
        <v>13162</v>
      </c>
      <c r="G595" s="15" t="s">
        <v>13163</v>
      </c>
      <c r="H595" s="16" t="s">
        <v>13161</v>
      </c>
    </row>
    <row r="596" spans="1:8" ht="33.75" x14ac:dyDescent="0.3">
      <c r="A596" s="13" t="s">
        <v>13164</v>
      </c>
      <c r="B596" s="14" t="s">
        <v>13007</v>
      </c>
      <c r="C596" s="15" t="s">
        <v>13165</v>
      </c>
      <c r="D596" s="15" t="s">
        <v>13166</v>
      </c>
      <c r="E596" s="15" t="s">
        <v>13167</v>
      </c>
      <c r="F596" s="15" t="s">
        <v>13168</v>
      </c>
      <c r="G596" s="15" t="s">
        <v>13168</v>
      </c>
      <c r="H596" s="16" t="s">
        <v>13169</v>
      </c>
    </row>
    <row r="597" spans="1:8" x14ac:dyDescent="0.3">
      <c r="A597" s="13">
        <v>32059</v>
      </c>
      <c r="B597" s="14" t="s">
        <v>13170</v>
      </c>
      <c r="C597" s="15"/>
      <c r="D597" s="15"/>
      <c r="E597" s="15"/>
      <c r="F597" s="15"/>
      <c r="G597" s="15"/>
      <c r="H597" s="16"/>
    </row>
    <row r="598" spans="1:8" ht="45" x14ac:dyDescent="0.3">
      <c r="A598" s="13" t="s">
        <v>13171</v>
      </c>
      <c r="B598" s="14" t="s">
        <v>12999</v>
      </c>
      <c r="C598" s="15" t="s">
        <v>13172</v>
      </c>
      <c r="D598" s="15" t="s">
        <v>13173</v>
      </c>
      <c r="E598" s="15" t="s">
        <v>13174</v>
      </c>
      <c r="F598" s="15" t="s">
        <v>13175</v>
      </c>
      <c r="G598" s="15" t="s">
        <v>13176</v>
      </c>
      <c r="H598" s="16" t="s">
        <v>13177</v>
      </c>
    </row>
    <row r="599" spans="1:8" ht="56.25" x14ac:dyDescent="0.3">
      <c r="A599" s="13" t="s">
        <v>13178</v>
      </c>
      <c r="B599" s="14" t="s">
        <v>13007</v>
      </c>
      <c r="C599" s="15" t="s">
        <v>13179</v>
      </c>
      <c r="D599" s="15" t="s">
        <v>13180</v>
      </c>
      <c r="E599" s="15" t="s">
        <v>13181</v>
      </c>
      <c r="F599" s="15" t="s">
        <v>13182</v>
      </c>
      <c r="G599" s="15" t="s">
        <v>13183</v>
      </c>
      <c r="H599" s="16" t="s">
        <v>13184</v>
      </c>
    </row>
    <row r="600" spans="1:8" x14ac:dyDescent="0.3">
      <c r="A600" s="13">
        <v>32060</v>
      </c>
      <c r="B600" s="14" t="s">
        <v>13185</v>
      </c>
      <c r="C600" s="15"/>
      <c r="D600" s="15"/>
      <c r="E600" s="15"/>
      <c r="F600" s="15"/>
      <c r="G600" s="15"/>
      <c r="H600" s="16"/>
    </row>
    <row r="601" spans="1:8" ht="45" x14ac:dyDescent="0.3">
      <c r="A601" s="13" t="s">
        <v>13186</v>
      </c>
      <c r="B601" s="14" t="s">
        <v>12999</v>
      </c>
      <c r="C601" s="15" t="s">
        <v>13187</v>
      </c>
      <c r="D601" s="15" t="s">
        <v>13188</v>
      </c>
      <c r="E601" s="15" t="s">
        <v>13189</v>
      </c>
      <c r="F601" s="15" t="s">
        <v>13190</v>
      </c>
      <c r="G601" s="15" t="s">
        <v>13191</v>
      </c>
      <c r="H601" s="16" t="s">
        <v>13192</v>
      </c>
    </row>
    <row r="602" spans="1:8" ht="78.75" x14ac:dyDescent="0.3">
      <c r="A602" s="13" t="s">
        <v>13193</v>
      </c>
      <c r="B602" s="14" t="s">
        <v>13007</v>
      </c>
      <c r="C602" s="15" t="s">
        <v>13194</v>
      </c>
      <c r="D602" s="15" t="s">
        <v>13195</v>
      </c>
      <c r="E602" s="15"/>
      <c r="F602" s="15" t="s">
        <v>13196</v>
      </c>
      <c r="G602" s="15" t="s">
        <v>13197</v>
      </c>
      <c r="H602" s="16" t="s">
        <v>13198</v>
      </c>
    </row>
    <row r="603" spans="1:8" x14ac:dyDescent="0.3">
      <c r="A603" s="13">
        <v>32061</v>
      </c>
      <c r="B603" s="14" t="s">
        <v>13199</v>
      </c>
      <c r="C603" s="15"/>
      <c r="D603" s="15"/>
      <c r="E603" s="15"/>
      <c r="F603" s="15"/>
      <c r="G603" s="15"/>
      <c r="H603" s="16"/>
    </row>
    <row r="604" spans="1:8" ht="22.5" x14ac:dyDescent="0.3">
      <c r="A604" s="13" t="s">
        <v>13200</v>
      </c>
      <c r="B604" s="14" t="s">
        <v>12999</v>
      </c>
      <c r="C604" s="15" t="s">
        <v>13201</v>
      </c>
      <c r="D604" s="15" t="s">
        <v>13202</v>
      </c>
      <c r="E604" s="15" t="s">
        <v>13203</v>
      </c>
      <c r="F604" s="15" t="s">
        <v>13204</v>
      </c>
      <c r="G604" s="15" t="s">
        <v>13205</v>
      </c>
      <c r="H604" s="16" t="s">
        <v>13206</v>
      </c>
    </row>
    <row r="605" spans="1:8" ht="45" x14ac:dyDescent="0.3">
      <c r="A605" s="13" t="s">
        <v>13207</v>
      </c>
      <c r="B605" s="14" t="s">
        <v>13007</v>
      </c>
      <c r="C605" s="15" t="s">
        <v>13208</v>
      </c>
      <c r="D605" s="15" t="s">
        <v>13209</v>
      </c>
      <c r="E605" s="15" t="s">
        <v>13210</v>
      </c>
      <c r="F605" s="15" t="s">
        <v>13211</v>
      </c>
      <c r="G605" s="15" t="s">
        <v>13212</v>
      </c>
      <c r="H605" s="16" t="s">
        <v>13213</v>
      </c>
    </row>
    <row r="606" spans="1:8" x14ac:dyDescent="0.3">
      <c r="A606" s="13">
        <v>32062</v>
      </c>
      <c r="B606" s="14" t="s">
        <v>13214</v>
      </c>
      <c r="C606" s="15"/>
      <c r="D606" s="15"/>
      <c r="E606" s="15"/>
      <c r="F606" s="15"/>
      <c r="G606" s="15"/>
      <c r="H606" s="16"/>
    </row>
    <row r="607" spans="1:8" ht="146.25" x14ac:dyDescent="0.3">
      <c r="A607" s="13" t="s">
        <v>13215</v>
      </c>
      <c r="B607" s="14" t="s">
        <v>12999</v>
      </c>
      <c r="C607" s="15" t="s">
        <v>13216</v>
      </c>
      <c r="D607" s="15" t="s">
        <v>13217</v>
      </c>
      <c r="E607" s="15" t="s">
        <v>13218</v>
      </c>
      <c r="F607" s="15" t="s">
        <v>13219</v>
      </c>
      <c r="G607" s="15" t="s">
        <v>13220</v>
      </c>
      <c r="H607" s="16" t="s">
        <v>13221</v>
      </c>
    </row>
    <row r="608" spans="1:8" ht="33.75" x14ac:dyDescent="0.3">
      <c r="A608" s="13" t="s">
        <v>13222</v>
      </c>
      <c r="B608" s="14" t="s">
        <v>13007</v>
      </c>
      <c r="C608" s="15" t="s">
        <v>13223</v>
      </c>
      <c r="D608" s="15" t="s">
        <v>13224</v>
      </c>
      <c r="E608" s="15" t="s">
        <v>13225</v>
      </c>
      <c r="F608" s="15" t="s">
        <v>13226</v>
      </c>
      <c r="G608" s="15" t="s">
        <v>13227</v>
      </c>
      <c r="H608" s="16" t="s">
        <v>13228</v>
      </c>
    </row>
    <row r="609" spans="1:8" x14ac:dyDescent="0.3">
      <c r="A609" s="13">
        <v>32063</v>
      </c>
      <c r="B609" s="14" t="s">
        <v>13229</v>
      </c>
      <c r="C609" s="15"/>
      <c r="D609" s="15"/>
      <c r="E609" s="15"/>
      <c r="F609" s="15"/>
      <c r="G609" s="15"/>
      <c r="H609" s="16"/>
    </row>
    <row r="610" spans="1:8" ht="33.75" x14ac:dyDescent="0.3">
      <c r="A610" s="13" t="s">
        <v>13230</v>
      </c>
      <c r="B610" s="14" t="s">
        <v>12999</v>
      </c>
      <c r="C610" s="15" t="s">
        <v>13231</v>
      </c>
      <c r="D610" s="15" t="s">
        <v>13232</v>
      </c>
      <c r="E610" s="15" t="s">
        <v>13233</v>
      </c>
      <c r="F610" s="15" t="s">
        <v>13234</v>
      </c>
      <c r="G610" s="15" t="s">
        <v>13235</v>
      </c>
      <c r="H610" s="16" t="s">
        <v>13236</v>
      </c>
    </row>
    <row r="611" spans="1:8" ht="33.75" x14ac:dyDescent="0.3">
      <c r="A611" s="13" t="s">
        <v>13237</v>
      </c>
      <c r="B611" s="14" t="s">
        <v>13007</v>
      </c>
      <c r="C611" s="15" t="s">
        <v>13194</v>
      </c>
      <c r="D611" s="15" t="s">
        <v>13238</v>
      </c>
      <c r="E611" s="15" t="s">
        <v>13239</v>
      </c>
      <c r="F611" s="15" t="s">
        <v>13240</v>
      </c>
      <c r="G611" s="15" t="s">
        <v>13241</v>
      </c>
      <c r="H611" s="16" t="s">
        <v>13242</v>
      </c>
    </row>
    <row r="612" spans="1:8" x14ac:dyDescent="0.3">
      <c r="A612" s="13">
        <v>32064</v>
      </c>
      <c r="B612" s="14" t="s">
        <v>13243</v>
      </c>
      <c r="C612" s="15"/>
      <c r="D612" s="15"/>
      <c r="E612" s="15"/>
      <c r="F612" s="15"/>
      <c r="G612" s="15"/>
      <c r="H612" s="16"/>
    </row>
    <row r="613" spans="1:8" ht="22.5" x14ac:dyDescent="0.3">
      <c r="A613" s="13" t="s">
        <v>13244</v>
      </c>
      <c r="B613" s="14" t="s">
        <v>12999</v>
      </c>
      <c r="C613" s="15" t="s">
        <v>13245</v>
      </c>
      <c r="D613" s="15" t="s">
        <v>13246</v>
      </c>
      <c r="E613" s="15" t="s">
        <v>13247</v>
      </c>
      <c r="F613" s="15" t="s">
        <v>13248</v>
      </c>
      <c r="G613" s="15" t="s">
        <v>13249</v>
      </c>
      <c r="H613" s="16" t="s">
        <v>13250</v>
      </c>
    </row>
    <row r="614" spans="1:8" ht="33.75" x14ac:dyDescent="0.3">
      <c r="A614" s="13" t="s">
        <v>13251</v>
      </c>
      <c r="B614" s="14" t="s">
        <v>13007</v>
      </c>
      <c r="C614" s="15" t="s">
        <v>13252</v>
      </c>
      <c r="D614" s="15" t="s">
        <v>13253</v>
      </c>
      <c r="E614" s="15" t="s">
        <v>13254</v>
      </c>
      <c r="F614" s="15" t="s">
        <v>13255</v>
      </c>
      <c r="G614" s="15" t="s">
        <v>13256</v>
      </c>
      <c r="H614" s="16" t="s">
        <v>13257</v>
      </c>
    </row>
    <row r="615" spans="1:8" x14ac:dyDescent="0.3">
      <c r="A615" s="13">
        <v>32065</v>
      </c>
      <c r="B615" s="14" t="s">
        <v>13258</v>
      </c>
      <c r="C615" s="15"/>
      <c r="D615" s="15"/>
      <c r="E615" s="15"/>
      <c r="F615" s="15"/>
      <c r="G615" s="15"/>
      <c r="H615" s="16"/>
    </row>
    <row r="616" spans="1:8" ht="56.25" x14ac:dyDescent="0.3">
      <c r="A616" s="13" t="s">
        <v>13259</v>
      </c>
      <c r="B616" s="14" t="s">
        <v>12999</v>
      </c>
      <c r="C616" s="15" t="s">
        <v>13260</v>
      </c>
      <c r="D616" s="15" t="s">
        <v>13261</v>
      </c>
      <c r="E616" s="15" t="s">
        <v>13262</v>
      </c>
      <c r="F616" s="15" t="s">
        <v>13263</v>
      </c>
      <c r="G616" s="15" t="s">
        <v>13264</v>
      </c>
      <c r="H616" s="16" t="s">
        <v>13265</v>
      </c>
    </row>
    <row r="617" spans="1:8" ht="33.75" x14ac:dyDescent="0.3">
      <c r="A617" s="13" t="s">
        <v>13266</v>
      </c>
      <c r="B617" s="14" t="s">
        <v>13007</v>
      </c>
      <c r="C617" s="15" t="s">
        <v>13267</v>
      </c>
      <c r="D617" s="15" t="s">
        <v>13268</v>
      </c>
      <c r="E617" s="15" t="s">
        <v>13269</v>
      </c>
      <c r="F617" s="15" t="s">
        <v>13270</v>
      </c>
      <c r="G617" s="15" t="s">
        <v>13271</v>
      </c>
      <c r="H617" s="16" t="s">
        <v>13272</v>
      </c>
    </row>
    <row r="618" spans="1:8" x14ac:dyDescent="0.3">
      <c r="A618" s="13">
        <v>32066</v>
      </c>
      <c r="B618" s="14" t="s">
        <v>13273</v>
      </c>
      <c r="C618" s="15"/>
      <c r="D618" s="15"/>
      <c r="E618" s="15"/>
      <c r="F618" s="15"/>
      <c r="G618" s="15"/>
      <c r="H618" s="16"/>
    </row>
    <row r="619" spans="1:8" ht="45" x14ac:dyDescent="0.3">
      <c r="A619" s="13" t="s">
        <v>13274</v>
      </c>
      <c r="B619" s="14" t="s">
        <v>12999</v>
      </c>
      <c r="C619" s="15" t="s">
        <v>13275</v>
      </c>
      <c r="D619" s="15" t="s">
        <v>13276</v>
      </c>
      <c r="E619" s="15" t="s">
        <v>13277</v>
      </c>
      <c r="F619" s="15" t="s">
        <v>13278</v>
      </c>
      <c r="G619" s="15" t="s">
        <v>13279</v>
      </c>
      <c r="H619" s="16" t="s">
        <v>13280</v>
      </c>
    </row>
    <row r="620" spans="1:8" ht="45" x14ac:dyDescent="0.3">
      <c r="A620" s="13" t="s">
        <v>13281</v>
      </c>
      <c r="B620" s="14" t="s">
        <v>13007</v>
      </c>
      <c r="C620" s="15" t="s">
        <v>13282</v>
      </c>
      <c r="D620" s="15" t="s">
        <v>13283</v>
      </c>
      <c r="E620" s="15" t="s">
        <v>13284</v>
      </c>
      <c r="F620" s="15" t="s">
        <v>13285</v>
      </c>
      <c r="G620" s="15" t="s">
        <v>13286</v>
      </c>
      <c r="H620" s="16" t="s">
        <v>13287</v>
      </c>
    </row>
    <row r="621" spans="1:8" x14ac:dyDescent="0.3">
      <c r="A621" s="13">
        <v>32067</v>
      </c>
      <c r="B621" s="14" t="s">
        <v>13288</v>
      </c>
      <c r="C621" s="15"/>
      <c r="D621" s="15"/>
      <c r="E621" s="15"/>
      <c r="F621" s="15"/>
      <c r="G621" s="15"/>
      <c r="H621" s="16"/>
    </row>
    <row r="622" spans="1:8" ht="56.25" x14ac:dyDescent="0.3">
      <c r="A622" s="13" t="s">
        <v>13289</v>
      </c>
      <c r="B622" s="14" t="s">
        <v>12999</v>
      </c>
      <c r="C622" s="15" t="s">
        <v>13290</v>
      </c>
      <c r="D622" s="15" t="s">
        <v>13291</v>
      </c>
      <c r="E622" s="15" t="s">
        <v>13292</v>
      </c>
      <c r="F622" s="15" t="s">
        <v>13293</v>
      </c>
      <c r="G622" s="15" t="s">
        <v>13294</v>
      </c>
      <c r="H622" s="16" t="s">
        <v>13295</v>
      </c>
    </row>
    <row r="623" spans="1:8" ht="33.75" x14ac:dyDescent="0.3">
      <c r="A623" s="13" t="s">
        <v>13296</v>
      </c>
      <c r="B623" s="14" t="s">
        <v>13007</v>
      </c>
      <c r="C623" s="15" t="s">
        <v>13297</v>
      </c>
      <c r="D623" s="15" t="s">
        <v>13298</v>
      </c>
      <c r="E623" s="15" t="s">
        <v>13299</v>
      </c>
      <c r="F623" s="15" t="s">
        <v>13300</v>
      </c>
      <c r="G623" s="15" t="s">
        <v>13301</v>
      </c>
      <c r="H623" s="16" t="s">
        <v>13302</v>
      </c>
    </row>
    <row r="624" spans="1:8" x14ac:dyDescent="0.3">
      <c r="A624" s="13">
        <v>32068</v>
      </c>
      <c r="B624" s="14" t="s">
        <v>13303</v>
      </c>
      <c r="C624" s="15"/>
      <c r="D624" s="15"/>
      <c r="E624" s="15"/>
      <c r="F624" s="15"/>
      <c r="G624" s="15"/>
      <c r="H624" s="16"/>
    </row>
    <row r="625" spans="1:8" ht="22.5" x14ac:dyDescent="0.3">
      <c r="A625" s="13" t="s">
        <v>13304</v>
      </c>
      <c r="B625" s="14" t="s">
        <v>12999</v>
      </c>
      <c r="C625" s="15" t="s">
        <v>13305</v>
      </c>
      <c r="D625" s="15" t="s">
        <v>13306</v>
      </c>
      <c r="E625" s="15" t="s">
        <v>13307</v>
      </c>
      <c r="F625" s="15" t="s">
        <v>13308</v>
      </c>
      <c r="G625" s="15" t="s">
        <v>13309</v>
      </c>
      <c r="H625" s="16" t="s">
        <v>13310</v>
      </c>
    </row>
    <row r="626" spans="1:8" ht="33.75" x14ac:dyDescent="0.3">
      <c r="A626" s="13" t="s">
        <v>13311</v>
      </c>
      <c r="B626" s="14" t="s">
        <v>13007</v>
      </c>
      <c r="C626" s="15" t="s">
        <v>13312</v>
      </c>
      <c r="D626" s="15"/>
      <c r="E626" s="15" t="s">
        <v>13313</v>
      </c>
      <c r="F626" s="15" t="s">
        <v>12060</v>
      </c>
      <c r="G626" s="15" t="s">
        <v>13314</v>
      </c>
      <c r="H626" s="16" t="s">
        <v>13315</v>
      </c>
    </row>
    <row r="627" spans="1:8" x14ac:dyDescent="0.3">
      <c r="A627" s="13">
        <v>32069</v>
      </c>
      <c r="B627" s="14" t="s">
        <v>13316</v>
      </c>
      <c r="C627" s="15"/>
      <c r="D627" s="15"/>
      <c r="E627" s="15"/>
      <c r="F627" s="15"/>
      <c r="G627" s="15"/>
      <c r="H627" s="16"/>
    </row>
    <row r="628" spans="1:8" ht="45" x14ac:dyDescent="0.3">
      <c r="A628" s="13" t="s">
        <v>13317</v>
      </c>
      <c r="B628" s="14" t="s">
        <v>12999</v>
      </c>
      <c r="C628" s="15" t="s">
        <v>13318</v>
      </c>
      <c r="D628" s="15" t="s">
        <v>13319</v>
      </c>
      <c r="E628" s="15" t="s">
        <v>13320</v>
      </c>
      <c r="F628" s="15" t="s">
        <v>13321</v>
      </c>
      <c r="G628" s="15" t="s">
        <v>13322</v>
      </c>
      <c r="H628" s="16" t="s">
        <v>13323</v>
      </c>
    </row>
    <row r="629" spans="1:8" ht="33.75" x14ac:dyDescent="0.3">
      <c r="A629" s="13" t="s">
        <v>13324</v>
      </c>
      <c r="B629" s="14" t="s">
        <v>13007</v>
      </c>
      <c r="C629" s="15" t="s">
        <v>13325</v>
      </c>
      <c r="D629" s="15" t="s">
        <v>13326</v>
      </c>
      <c r="E629" s="15" t="s">
        <v>13327</v>
      </c>
      <c r="F629" s="15" t="s">
        <v>13328</v>
      </c>
      <c r="G629" s="15" t="s">
        <v>13329</v>
      </c>
      <c r="H629" s="16" t="s">
        <v>13330</v>
      </c>
    </row>
    <row r="630" spans="1:8" x14ac:dyDescent="0.3">
      <c r="A630" s="13">
        <v>32070</v>
      </c>
      <c r="B630" s="14" t="s">
        <v>13331</v>
      </c>
      <c r="C630" s="15"/>
      <c r="D630" s="15"/>
      <c r="E630" s="15"/>
      <c r="F630" s="15"/>
      <c r="G630" s="15"/>
      <c r="H630" s="16"/>
    </row>
    <row r="631" spans="1:8" ht="33.75" x14ac:dyDescent="0.3">
      <c r="A631" s="13" t="s">
        <v>13332</v>
      </c>
      <c r="B631" s="14" t="s">
        <v>12999</v>
      </c>
      <c r="C631" s="15" t="s">
        <v>13333</v>
      </c>
      <c r="D631" s="15" t="s">
        <v>13334</v>
      </c>
      <c r="E631" s="15" t="s">
        <v>13335</v>
      </c>
      <c r="F631" s="15" t="s">
        <v>13336</v>
      </c>
      <c r="G631" s="15" t="s">
        <v>13337</v>
      </c>
      <c r="H631" s="16" t="s">
        <v>13338</v>
      </c>
    </row>
    <row r="632" spans="1:8" ht="56.25" x14ac:dyDescent="0.3">
      <c r="A632" s="13" t="s">
        <v>13339</v>
      </c>
      <c r="B632" s="14" t="s">
        <v>13007</v>
      </c>
      <c r="C632" s="15" t="s">
        <v>13340</v>
      </c>
      <c r="D632" s="15" t="s">
        <v>13341</v>
      </c>
      <c r="E632" s="15" t="s">
        <v>13342</v>
      </c>
      <c r="F632" s="15" t="s">
        <v>13343</v>
      </c>
      <c r="G632" s="15" t="s">
        <v>13343</v>
      </c>
      <c r="H632" s="16" t="s">
        <v>13344</v>
      </c>
    </row>
    <row r="633" spans="1:8" x14ac:dyDescent="0.3">
      <c r="A633" s="13">
        <v>32071</v>
      </c>
      <c r="B633" s="14" t="s">
        <v>13345</v>
      </c>
      <c r="C633" s="15"/>
      <c r="D633" s="15"/>
      <c r="E633" s="15"/>
      <c r="F633" s="15"/>
      <c r="G633" s="15"/>
      <c r="H633" s="16"/>
    </row>
    <row r="634" spans="1:8" ht="45" x14ac:dyDescent="0.3">
      <c r="A634" s="13" t="s">
        <v>13346</v>
      </c>
      <c r="B634" s="14" t="s">
        <v>12999</v>
      </c>
      <c r="C634" s="15" t="s">
        <v>13347</v>
      </c>
      <c r="D634" s="15" t="s">
        <v>13348</v>
      </c>
      <c r="E634" s="15" t="s">
        <v>13349</v>
      </c>
      <c r="F634" s="15" t="s">
        <v>13350</v>
      </c>
      <c r="G634" s="15" t="s">
        <v>13351</v>
      </c>
      <c r="H634" s="16" t="s">
        <v>13352</v>
      </c>
    </row>
    <row r="635" spans="1:8" ht="33.75" x14ac:dyDescent="0.3">
      <c r="A635" s="13" t="s">
        <v>13353</v>
      </c>
      <c r="B635" s="14" t="s">
        <v>13007</v>
      </c>
      <c r="C635" s="15" t="s">
        <v>13354</v>
      </c>
      <c r="D635" s="15" t="s">
        <v>13355</v>
      </c>
      <c r="E635" s="15" t="s">
        <v>13356</v>
      </c>
      <c r="F635" s="15" t="s">
        <v>13357</v>
      </c>
      <c r="G635" s="15" t="s">
        <v>13358</v>
      </c>
      <c r="H635" s="16" t="s">
        <v>13359</v>
      </c>
    </row>
    <row r="636" spans="1:8" x14ac:dyDescent="0.3">
      <c r="A636" s="13">
        <v>32072</v>
      </c>
      <c r="B636" s="14" t="s">
        <v>13360</v>
      </c>
      <c r="C636" s="15"/>
      <c r="D636" s="15"/>
      <c r="E636" s="15"/>
      <c r="F636" s="15"/>
      <c r="G636" s="15"/>
      <c r="H636" s="16"/>
    </row>
    <row r="637" spans="1:8" ht="33.75" x14ac:dyDescent="0.3">
      <c r="A637" s="13" t="s">
        <v>13361</v>
      </c>
      <c r="B637" s="14" t="s">
        <v>12999</v>
      </c>
      <c r="C637" s="15" t="s">
        <v>13362</v>
      </c>
      <c r="D637" s="15" t="s">
        <v>13363</v>
      </c>
      <c r="E637" s="15" t="s">
        <v>13364</v>
      </c>
      <c r="F637" s="15" t="s">
        <v>13365</v>
      </c>
      <c r="G637" s="15" t="s">
        <v>13366</v>
      </c>
      <c r="H637" s="16" t="s">
        <v>13367</v>
      </c>
    </row>
    <row r="638" spans="1:8" ht="33.75" x14ac:dyDescent="0.3">
      <c r="A638" s="13" t="s">
        <v>13368</v>
      </c>
      <c r="B638" s="14" t="s">
        <v>13007</v>
      </c>
      <c r="C638" s="15"/>
      <c r="D638" s="15" t="s">
        <v>13369</v>
      </c>
      <c r="E638" s="15" t="s">
        <v>13370</v>
      </c>
      <c r="F638" s="15" t="s">
        <v>13371</v>
      </c>
      <c r="G638" s="15" t="s">
        <v>13371</v>
      </c>
      <c r="H638" s="16" t="s">
        <v>13372</v>
      </c>
    </row>
    <row r="639" spans="1:8" x14ac:dyDescent="0.3">
      <c r="A639" s="13">
        <v>32073</v>
      </c>
      <c r="B639" s="14" t="s">
        <v>13373</v>
      </c>
      <c r="C639" s="15"/>
      <c r="D639" s="15"/>
      <c r="E639" s="15"/>
      <c r="F639" s="15"/>
      <c r="G639" s="15"/>
      <c r="H639" s="16"/>
    </row>
    <row r="640" spans="1:8" ht="56.25" x14ac:dyDescent="0.3">
      <c r="A640" s="13" t="s">
        <v>13374</v>
      </c>
      <c r="B640" s="14" t="s">
        <v>12999</v>
      </c>
      <c r="C640" s="15" t="s">
        <v>13375</v>
      </c>
      <c r="D640" s="15" t="s">
        <v>13376</v>
      </c>
      <c r="E640" s="15" t="s">
        <v>13377</v>
      </c>
      <c r="F640" s="15" t="s">
        <v>13378</v>
      </c>
      <c r="G640" s="15" t="s">
        <v>13379</v>
      </c>
      <c r="H640" s="16" t="s">
        <v>13380</v>
      </c>
    </row>
    <row r="641" spans="1:8" ht="33.75" x14ac:dyDescent="0.3">
      <c r="A641" s="13" t="s">
        <v>13381</v>
      </c>
      <c r="B641" s="14" t="s">
        <v>13007</v>
      </c>
      <c r="C641" s="15" t="s">
        <v>13382</v>
      </c>
      <c r="D641" s="15" t="s">
        <v>13383</v>
      </c>
      <c r="E641" s="15" t="s">
        <v>13384</v>
      </c>
      <c r="F641" s="15" t="s">
        <v>13385</v>
      </c>
      <c r="G641" s="15" t="s">
        <v>13386</v>
      </c>
      <c r="H641" s="16" t="s">
        <v>13387</v>
      </c>
    </row>
    <row r="642" spans="1:8" x14ac:dyDescent="0.3">
      <c r="A642" s="13">
        <v>32074</v>
      </c>
      <c r="B642" s="14" t="s">
        <v>13388</v>
      </c>
      <c r="C642" s="15"/>
      <c r="D642" s="15"/>
      <c r="E642" s="15"/>
      <c r="F642" s="15"/>
      <c r="G642" s="15"/>
      <c r="H642" s="16"/>
    </row>
    <row r="643" spans="1:8" ht="33.75" x14ac:dyDescent="0.3">
      <c r="A643" s="13" t="s">
        <v>13389</v>
      </c>
      <c r="B643" s="14" t="s">
        <v>12999</v>
      </c>
      <c r="C643" s="15" t="s">
        <v>13390</v>
      </c>
      <c r="D643" s="15" t="s">
        <v>13391</v>
      </c>
      <c r="E643" s="15" t="s">
        <v>13392</v>
      </c>
      <c r="F643" s="15" t="s">
        <v>13393</v>
      </c>
      <c r="G643" s="15" t="s">
        <v>13394</v>
      </c>
      <c r="H643" s="16" t="s">
        <v>13395</v>
      </c>
    </row>
    <row r="644" spans="1:8" ht="33.75" x14ac:dyDescent="0.3">
      <c r="A644" s="13" t="s">
        <v>13396</v>
      </c>
      <c r="B644" s="14" t="s">
        <v>13007</v>
      </c>
      <c r="C644" s="15" t="s">
        <v>13397</v>
      </c>
      <c r="D644" s="15" t="s">
        <v>13398</v>
      </c>
      <c r="E644" s="15" t="s">
        <v>13399</v>
      </c>
      <c r="F644" s="15" t="s">
        <v>13400</v>
      </c>
      <c r="G644" s="15" t="s">
        <v>13401</v>
      </c>
      <c r="H644" s="16" t="s">
        <v>13402</v>
      </c>
    </row>
    <row r="645" spans="1:8" x14ac:dyDescent="0.3">
      <c r="A645" s="13">
        <v>32075</v>
      </c>
      <c r="B645" s="14" t="s">
        <v>13403</v>
      </c>
      <c r="C645" s="15"/>
      <c r="D645" s="15"/>
      <c r="E645" s="15"/>
      <c r="F645" s="15" t="s">
        <v>13404</v>
      </c>
      <c r="G645" s="15"/>
      <c r="H645" s="16"/>
    </row>
    <row r="646" spans="1:8" ht="101.25" x14ac:dyDescent="0.3">
      <c r="A646" s="13" t="s">
        <v>13405</v>
      </c>
      <c r="B646" s="14" t="s">
        <v>12999</v>
      </c>
      <c r="C646" s="15" t="s">
        <v>13406</v>
      </c>
      <c r="D646" s="15" t="s">
        <v>13407</v>
      </c>
      <c r="E646" s="15" t="s">
        <v>13408</v>
      </c>
      <c r="F646" s="15" t="s">
        <v>13409</v>
      </c>
      <c r="G646" s="15" t="s">
        <v>13410</v>
      </c>
      <c r="H646" s="16" t="s">
        <v>13411</v>
      </c>
    </row>
    <row r="647" spans="1:8" ht="56.25" x14ac:dyDescent="0.3">
      <c r="A647" s="13" t="s">
        <v>13412</v>
      </c>
      <c r="B647" s="14" t="s">
        <v>13007</v>
      </c>
      <c r="C647" s="15" t="s">
        <v>13413</v>
      </c>
      <c r="D647" s="15" t="s">
        <v>13414</v>
      </c>
      <c r="E647" s="15" t="s">
        <v>13415</v>
      </c>
      <c r="F647" s="15" t="s">
        <v>13416</v>
      </c>
      <c r="G647" s="15" t="s">
        <v>13417</v>
      </c>
      <c r="H647" s="16" t="s">
        <v>13418</v>
      </c>
    </row>
    <row r="648" spans="1:8" x14ac:dyDescent="0.3">
      <c r="A648" s="13">
        <v>32076</v>
      </c>
      <c r="B648" s="14" t="s">
        <v>13419</v>
      </c>
      <c r="C648" s="15"/>
      <c r="D648" s="15"/>
      <c r="E648" s="15"/>
      <c r="F648" s="15"/>
      <c r="G648" s="15"/>
      <c r="H648" s="16"/>
    </row>
    <row r="649" spans="1:8" ht="45" x14ac:dyDescent="0.3">
      <c r="A649" s="13" t="s">
        <v>13420</v>
      </c>
      <c r="B649" s="14" t="s">
        <v>12999</v>
      </c>
      <c r="C649" s="15" t="s">
        <v>13421</v>
      </c>
      <c r="D649" s="15" t="s">
        <v>13422</v>
      </c>
      <c r="E649" s="15" t="s">
        <v>13423</v>
      </c>
      <c r="F649" s="15" t="s">
        <v>13424</v>
      </c>
      <c r="G649" s="15" t="s">
        <v>13425</v>
      </c>
      <c r="H649" s="16" t="s">
        <v>13426</v>
      </c>
    </row>
    <row r="650" spans="1:8" ht="33.75" x14ac:dyDescent="0.3">
      <c r="A650" s="13" t="s">
        <v>13427</v>
      </c>
      <c r="B650" s="14" t="s">
        <v>13007</v>
      </c>
      <c r="C650" s="15" t="s">
        <v>13428</v>
      </c>
      <c r="D650" s="15" t="s">
        <v>13429</v>
      </c>
      <c r="E650" s="15" t="s">
        <v>13430</v>
      </c>
      <c r="F650" s="15" t="s">
        <v>13431</v>
      </c>
      <c r="G650" s="15" t="s">
        <v>13432</v>
      </c>
      <c r="H650" s="16" t="s">
        <v>13433</v>
      </c>
    </row>
    <row r="651" spans="1:8" ht="23.25" x14ac:dyDescent="0.3">
      <c r="A651" s="13">
        <v>32077</v>
      </c>
      <c r="B651" s="14" t="s">
        <v>19766</v>
      </c>
      <c r="C651" s="15"/>
      <c r="D651" s="15"/>
      <c r="E651" s="15"/>
      <c r="F651" s="15"/>
      <c r="G651" s="15"/>
      <c r="H651" s="16"/>
    </row>
    <row r="652" spans="1:8" ht="22.5" x14ac:dyDescent="0.3">
      <c r="A652" s="13" t="s">
        <v>13434</v>
      </c>
      <c r="B652" s="14" t="s">
        <v>12999</v>
      </c>
      <c r="C652" s="15" t="s">
        <v>13435</v>
      </c>
      <c r="D652" s="15"/>
      <c r="E652" s="15" t="s">
        <v>13436</v>
      </c>
      <c r="F652" s="15" t="s">
        <v>13437</v>
      </c>
      <c r="G652" s="15" t="s">
        <v>13438</v>
      </c>
      <c r="H652" s="16" t="s">
        <v>13439</v>
      </c>
    </row>
    <row r="653" spans="1:8" ht="45" x14ac:dyDescent="0.3">
      <c r="A653" s="13" t="s">
        <v>13440</v>
      </c>
      <c r="B653" s="14" t="s">
        <v>13007</v>
      </c>
      <c r="C653" s="15" t="s">
        <v>13441</v>
      </c>
      <c r="D653" s="15" t="s">
        <v>13442</v>
      </c>
      <c r="E653" s="15" t="s">
        <v>13443</v>
      </c>
      <c r="F653" s="15" t="s">
        <v>11519</v>
      </c>
      <c r="G653" s="15" t="s">
        <v>13444</v>
      </c>
      <c r="H653" s="16" t="s">
        <v>13445</v>
      </c>
    </row>
    <row r="654" spans="1:8" ht="22.5" x14ac:dyDescent="0.3">
      <c r="A654" s="13">
        <v>32078</v>
      </c>
      <c r="B654" s="14" t="s">
        <v>13446</v>
      </c>
      <c r="C654" s="15"/>
      <c r="D654" s="15"/>
      <c r="E654" s="15"/>
      <c r="F654" s="15"/>
      <c r="G654" s="15"/>
      <c r="H654" s="16"/>
    </row>
    <row r="655" spans="1:8" ht="33.75" x14ac:dyDescent="0.3">
      <c r="A655" s="13" t="s">
        <v>13447</v>
      </c>
      <c r="B655" s="14" t="s">
        <v>12999</v>
      </c>
      <c r="C655" s="15" t="s">
        <v>13448</v>
      </c>
      <c r="D655" s="15" t="s">
        <v>13449</v>
      </c>
      <c r="E655" s="15" t="s">
        <v>13450</v>
      </c>
      <c r="F655" s="15" t="s">
        <v>13451</v>
      </c>
      <c r="G655" s="15" t="s">
        <v>13452</v>
      </c>
      <c r="H655" s="16" t="s">
        <v>13439</v>
      </c>
    </row>
    <row r="656" spans="1:8" ht="56.25" x14ac:dyDescent="0.3">
      <c r="A656" s="13" t="s">
        <v>13453</v>
      </c>
      <c r="B656" s="14" t="s">
        <v>13007</v>
      </c>
      <c r="C656" s="15" t="s">
        <v>13454</v>
      </c>
      <c r="D656" s="15" t="s">
        <v>13455</v>
      </c>
      <c r="E656" s="15" t="s">
        <v>13456</v>
      </c>
      <c r="F656" s="15" t="s">
        <v>13457</v>
      </c>
      <c r="G656" s="15" t="s">
        <v>13458</v>
      </c>
      <c r="H656" s="16" t="s">
        <v>13459</v>
      </c>
    </row>
    <row r="657" spans="1:8" x14ac:dyDescent="0.3">
      <c r="A657" s="13">
        <v>32079</v>
      </c>
      <c r="B657" s="14" t="s">
        <v>13460</v>
      </c>
      <c r="C657" s="15"/>
      <c r="D657" s="15"/>
      <c r="E657" s="15"/>
      <c r="F657" s="15"/>
      <c r="G657" s="15"/>
      <c r="H657" s="16"/>
    </row>
    <row r="658" spans="1:8" ht="112.5" x14ac:dyDescent="0.3">
      <c r="A658" s="13" t="s">
        <v>13461</v>
      </c>
      <c r="B658" s="14" t="s">
        <v>12999</v>
      </c>
      <c r="C658" s="15" t="s">
        <v>13462</v>
      </c>
      <c r="D658" s="15" t="s">
        <v>13463</v>
      </c>
      <c r="E658" s="15" t="s">
        <v>13464</v>
      </c>
      <c r="F658" s="15" t="s">
        <v>13465</v>
      </c>
      <c r="G658" s="15" t="s">
        <v>13465</v>
      </c>
      <c r="H658" s="16" t="s">
        <v>13466</v>
      </c>
    </row>
    <row r="659" spans="1:8" ht="33.75" x14ac:dyDescent="0.3">
      <c r="A659" s="13" t="s">
        <v>13467</v>
      </c>
      <c r="B659" s="14" t="s">
        <v>13007</v>
      </c>
      <c r="C659" s="15" t="s">
        <v>13468</v>
      </c>
      <c r="D659" s="15" t="s">
        <v>13469</v>
      </c>
      <c r="E659" s="15" t="s">
        <v>13470</v>
      </c>
      <c r="F659" s="15" t="s">
        <v>13471</v>
      </c>
      <c r="G659" s="15" t="s">
        <v>13472</v>
      </c>
      <c r="H659" s="16" t="s">
        <v>13473</v>
      </c>
    </row>
    <row r="660" spans="1:8" x14ac:dyDescent="0.3">
      <c r="A660" s="13">
        <v>32080</v>
      </c>
      <c r="B660" s="14" t="s">
        <v>13474</v>
      </c>
      <c r="C660" s="15"/>
      <c r="D660" s="15"/>
      <c r="E660" s="15"/>
      <c r="F660" s="15"/>
      <c r="G660" s="15"/>
      <c r="H660" s="16"/>
    </row>
    <row r="661" spans="1:8" ht="33.75" x14ac:dyDescent="0.3">
      <c r="A661" s="13" t="s">
        <v>13475</v>
      </c>
      <c r="B661" s="14" t="s">
        <v>12999</v>
      </c>
      <c r="C661" s="15" t="s">
        <v>13476</v>
      </c>
      <c r="D661" s="15" t="s">
        <v>13477</v>
      </c>
      <c r="E661" s="15" t="s">
        <v>13478</v>
      </c>
      <c r="F661" s="15" t="s">
        <v>13479</v>
      </c>
      <c r="G661" s="15" t="s">
        <v>13480</v>
      </c>
      <c r="H661" s="16" t="s">
        <v>13481</v>
      </c>
    </row>
    <row r="662" spans="1:8" ht="45" x14ac:dyDescent="0.3">
      <c r="A662" s="13" t="s">
        <v>13482</v>
      </c>
      <c r="B662" s="14" t="s">
        <v>13007</v>
      </c>
      <c r="C662" s="15" t="s">
        <v>13483</v>
      </c>
      <c r="D662" s="15" t="s">
        <v>13484</v>
      </c>
      <c r="E662" s="15" t="s">
        <v>13485</v>
      </c>
      <c r="F662" s="15" t="s">
        <v>13486</v>
      </c>
      <c r="G662" s="15" t="s">
        <v>13487</v>
      </c>
      <c r="H662" s="16" t="s">
        <v>13488</v>
      </c>
    </row>
    <row r="663" spans="1:8" x14ac:dyDescent="0.3">
      <c r="A663" s="13">
        <v>32081</v>
      </c>
      <c r="B663" s="14" t="s">
        <v>13489</v>
      </c>
      <c r="C663" s="15"/>
      <c r="D663" s="15"/>
      <c r="E663" s="15"/>
      <c r="F663" s="15"/>
      <c r="G663" s="15"/>
      <c r="H663" s="16"/>
    </row>
    <row r="664" spans="1:8" ht="56.25" x14ac:dyDescent="0.3">
      <c r="A664" s="13" t="s">
        <v>13490</v>
      </c>
      <c r="B664" s="14" t="s">
        <v>12999</v>
      </c>
      <c r="C664" s="15" t="s">
        <v>13491</v>
      </c>
      <c r="D664" s="15" t="s">
        <v>13492</v>
      </c>
      <c r="E664" s="15" t="s">
        <v>13493</v>
      </c>
      <c r="F664" s="15" t="s">
        <v>13494</v>
      </c>
      <c r="G664" s="15" t="s">
        <v>13495</v>
      </c>
      <c r="H664" s="16" t="s">
        <v>13496</v>
      </c>
    </row>
    <row r="665" spans="1:8" ht="33.75" x14ac:dyDescent="0.3">
      <c r="A665" s="13" t="s">
        <v>13497</v>
      </c>
      <c r="B665" s="14" t="s">
        <v>13007</v>
      </c>
      <c r="C665" s="15" t="s">
        <v>13498</v>
      </c>
      <c r="D665" s="15" t="s">
        <v>13499</v>
      </c>
      <c r="E665" s="15" t="s">
        <v>13500</v>
      </c>
      <c r="F665" s="15" t="s">
        <v>13501</v>
      </c>
      <c r="G665" s="15" t="s">
        <v>13502</v>
      </c>
      <c r="H665" s="16" t="s">
        <v>13503</v>
      </c>
    </row>
    <row r="666" spans="1:8" x14ac:dyDescent="0.3">
      <c r="A666" s="13">
        <v>32082</v>
      </c>
      <c r="B666" s="14" t="s">
        <v>13504</v>
      </c>
      <c r="C666" s="15"/>
      <c r="D666" s="15"/>
      <c r="E666" s="15"/>
      <c r="F666" s="15"/>
      <c r="G666" s="15"/>
      <c r="H666" s="16"/>
    </row>
    <row r="667" spans="1:8" ht="45" x14ac:dyDescent="0.3">
      <c r="A667" s="13" t="s">
        <v>13505</v>
      </c>
      <c r="B667" s="14" t="s">
        <v>12999</v>
      </c>
      <c r="C667" s="15" t="s">
        <v>13506</v>
      </c>
      <c r="D667" s="15" t="s">
        <v>13507</v>
      </c>
      <c r="E667" s="15" t="s">
        <v>13508</v>
      </c>
      <c r="F667" s="15" t="s">
        <v>13509</v>
      </c>
      <c r="G667" s="15" t="s">
        <v>13510</v>
      </c>
      <c r="H667" s="16" t="s">
        <v>13511</v>
      </c>
    </row>
    <row r="668" spans="1:8" ht="33.75" x14ac:dyDescent="0.3">
      <c r="A668" s="13" t="s">
        <v>13512</v>
      </c>
      <c r="B668" s="14" t="s">
        <v>13007</v>
      </c>
      <c r="C668" s="15" t="s">
        <v>13513</v>
      </c>
      <c r="D668" s="15" t="s">
        <v>13514</v>
      </c>
      <c r="E668" s="15" t="s">
        <v>13515</v>
      </c>
      <c r="F668" s="15" t="s">
        <v>13516</v>
      </c>
      <c r="G668" s="15" t="s">
        <v>13517</v>
      </c>
      <c r="H668" s="16" t="s">
        <v>13518</v>
      </c>
    </row>
    <row r="669" spans="1:8" x14ac:dyDescent="0.3">
      <c r="A669" s="13">
        <v>32083</v>
      </c>
      <c r="B669" s="14" t="s">
        <v>13519</v>
      </c>
      <c r="C669" s="15"/>
      <c r="D669" s="15"/>
      <c r="E669" s="15"/>
      <c r="F669" s="15"/>
      <c r="G669" s="15"/>
      <c r="H669" s="16"/>
    </row>
    <row r="670" spans="1:8" ht="22.5" x14ac:dyDescent="0.3">
      <c r="A670" s="13" t="s">
        <v>13520</v>
      </c>
      <c r="B670" s="14" t="s">
        <v>12999</v>
      </c>
      <c r="C670" s="15" t="s">
        <v>13521</v>
      </c>
      <c r="D670" s="15" t="s">
        <v>13522</v>
      </c>
      <c r="E670" s="15" t="s">
        <v>13523</v>
      </c>
      <c r="F670" s="15" t="s">
        <v>13524</v>
      </c>
      <c r="G670" s="15" t="s">
        <v>13523</v>
      </c>
      <c r="H670" s="16" t="s">
        <v>13525</v>
      </c>
    </row>
    <row r="671" spans="1:8" ht="33.75" x14ac:dyDescent="0.3">
      <c r="A671" s="13" t="s">
        <v>13526</v>
      </c>
      <c r="B671" s="14" t="s">
        <v>13007</v>
      </c>
      <c r="C671" s="15" t="s">
        <v>13527</v>
      </c>
      <c r="D671" s="15" t="s">
        <v>13528</v>
      </c>
      <c r="E671" s="15" t="s">
        <v>13529</v>
      </c>
      <c r="F671" s="15" t="s">
        <v>13530</v>
      </c>
      <c r="G671" s="15" t="s">
        <v>13530</v>
      </c>
      <c r="H671" s="16" t="s">
        <v>13531</v>
      </c>
    </row>
    <row r="672" spans="1:8" x14ac:dyDescent="0.3">
      <c r="A672" s="13">
        <v>32084</v>
      </c>
      <c r="B672" s="14" t="s">
        <v>13532</v>
      </c>
      <c r="C672" s="15"/>
      <c r="D672" s="15"/>
      <c r="E672" s="15"/>
      <c r="F672" s="15"/>
      <c r="G672" s="15"/>
      <c r="H672" s="16"/>
    </row>
    <row r="673" spans="1:8" ht="45" x14ac:dyDescent="0.3">
      <c r="A673" s="13" t="s">
        <v>13533</v>
      </c>
      <c r="B673" s="14" t="s">
        <v>12999</v>
      </c>
      <c r="C673" s="15" t="s">
        <v>13534</v>
      </c>
      <c r="D673" s="15" t="s">
        <v>13535</v>
      </c>
      <c r="E673" s="15" t="s">
        <v>13536</v>
      </c>
      <c r="F673" s="15" t="s">
        <v>13537</v>
      </c>
      <c r="G673" s="15" t="s">
        <v>13538</v>
      </c>
      <c r="H673" s="16" t="s">
        <v>13539</v>
      </c>
    </row>
    <row r="674" spans="1:8" ht="78.75" x14ac:dyDescent="0.3">
      <c r="A674" s="13" t="s">
        <v>13540</v>
      </c>
      <c r="B674" s="14" t="s">
        <v>13007</v>
      </c>
      <c r="C674" s="15" t="s">
        <v>13541</v>
      </c>
      <c r="D674" s="15" t="s">
        <v>13542</v>
      </c>
      <c r="E674" s="15" t="s">
        <v>13543</v>
      </c>
      <c r="F674" s="15" t="s">
        <v>13544</v>
      </c>
      <c r="G674" s="15" t="s">
        <v>13545</v>
      </c>
      <c r="H674" s="16" t="s">
        <v>13546</v>
      </c>
    </row>
    <row r="675" spans="1:8" x14ac:dyDescent="0.3">
      <c r="A675" s="13">
        <v>32085</v>
      </c>
      <c r="B675" s="14" t="s">
        <v>13547</v>
      </c>
      <c r="C675" s="15"/>
      <c r="D675" s="15"/>
      <c r="E675" s="15"/>
      <c r="F675" s="15"/>
      <c r="G675" s="15"/>
      <c r="H675" s="16"/>
    </row>
    <row r="676" spans="1:8" ht="56.25" x14ac:dyDescent="0.3">
      <c r="A676" s="13" t="s">
        <v>13548</v>
      </c>
      <c r="B676" s="14" t="s">
        <v>12999</v>
      </c>
      <c r="C676" s="15" t="s">
        <v>13549</v>
      </c>
      <c r="D676" s="15" t="s">
        <v>13550</v>
      </c>
      <c r="E676" s="15" t="s">
        <v>13551</v>
      </c>
      <c r="F676" s="15" t="s">
        <v>13552</v>
      </c>
      <c r="G676" s="15" t="s">
        <v>13553</v>
      </c>
      <c r="H676" s="16" t="s">
        <v>13554</v>
      </c>
    </row>
    <row r="677" spans="1:8" ht="45" x14ac:dyDescent="0.3">
      <c r="A677" s="13" t="s">
        <v>13555</v>
      </c>
      <c r="B677" s="14" t="s">
        <v>13007</v>
      </c>
      <c r="C677" s="15" t="s">
        <v>13556</v>
      </c>
      <c r="D677" s="15" t="s">
        <v>13557</v>
      </c>
      <c r="E677" s="15" t="s">
        <v>13558</v>
      </c>
      <c r="F677" s="15" t="s">
        <v>13559</v>
      </c>
      <c r="G677" s="15" t="s">
        <v>13560</v>
      </c>
      <c r="H677" s="16" t="s">
        <v>13558</v>
      </c>
    </row>
    <row r="678" spans="1:8" x14ac:dyDescent="0.3">
      <c r="A678" s="13">
        <v>32086</v>
      </c>
      <c r="B678" s="14" t="s">
        <v>13561</v>
      </c>
      <c r="C678" s="15"/>
      <c r="D678" s="15"/>
      <c r="E678" s="15"/>
      <c r="F678" s="15"/>
      <c r="G678" s="15"/>
      <c r="H678" s="16"/>
    </row>
    <row r="679" spans="1:8" ht="67.5" x14ac:dyDescent="0.3">
      <c r="A679" s="13" t="s">
        <v>13562</v>
      </c>
      <c r="B679" s="14" t="s">
        <v>12999</v>
      </c>
      <c r="C679" s="15" t="s">
        <v>3830</v>
      </c>
      <c r="D679" s="15" t="s">
        <v>13563</v>
      </c>
      <c r="E679" s="15" t="s">
        <v>13564</v>
      </c>
      <c r="F679" s="15" t="s">
        <v>13565</v>
      </c>
      <c r="G679" s="15" t="s">
        <v>13566</v>
      </c>
      <c r="H679" s="16" t="s">
        <v>13567</v>
      </c>
    </row>
    <row r="680" spans="1:8" ht="33.75" x14ac:dyDescent="0.3">
      <c r="A680" s="13" t="s">
        <v>13568</v>
      </c>
      <c r="B680" s="14" t="s">
        <v>13007</v>
      </c>
      <c r="C680" s="15" t="s">
        <v>13569</v>
      </c>
      <c r="D680" s="15" t="s">
        <v>13570</v>
      </c>
      <c r="E680" s="15" t="s">
        <v>13571</v>
      </c>
      <c r="F680" s="15" t="s">
        <v>13572</v>
      </c>
      <c r="G680" s="15" t="s">
        <v>13573</v>
      </c>
      <c r="H680" s="16" t="s">
        <v>13574</v>
      </c>
    </row>
    <row r="681" spans="1:8" x14ac:dyDescent="0.3">
      <c r="A681" s="13">
        <v>32087</v>
      </c>
      <c r="B681" s="14" t="s">
        <v>13575</v>
      </c>
      <c r="C681" s="15"/>
      <c r="D681" s="15"/>
      <c r="E681" s="15"/>
      <c r="F681" s="15"/>
      <c r="G681" s="15"/>
      <c r="H681" s="16"/>
    </row>
    <row r="682" spans="1:8" ht="78.75" x14ac:dyDescent="0.3">
      <c r="A682" s="13" t="s">
        <v>13576</v>
      </c>
      <c r="B682" s="14" t="s">
        <v>12999</v>
      </c>
      <c r="C682" s="15" t="s">
        <v>13577</v>
      </c>
      <c r="D682" s="15" t="s">
        <v>13578</v>
      </c>
      <c r="E682" s="15" t="s">
        <v>13579</v>
      </c>
      <c r="F682" s="15" t="s">
        <v>13580</v>
      </c>
      <c r="G682" s="15" t="s">
        <v>13581</v>
      </c>
      <c r="H682" s="16" t="s">
        <v>13582</v>
      </c>
    </row>
    <row r="683" spans="1:8" ht="33.75" x14ac:dyDescent="0.3">
      <c r="A683" s="13" t="s">
        <v>13583</v>
      </c>
      <c r="B683" s="14" t="s">
        <v>13007</v>
      </c>
      <c r="C683" s="15" t="s">
        <v>13584</v>
      </c>
      <c r="D683" s="15" t="s">
        <v>13585</v>
      </c>
      <c r="E683" s="15" t="s">
        <v>13586</v>
      </c>
      <c r="F683" s="15" t="s">
        <v>13587</v>
      </c>
      <c r="G683" s="15" t="s">
        <v>13588</v>
      </c>
      <c r="H683" s="16" t="s">
        <v>13589</v>
      </c>
    </row>
    <row r="684" spans="1:8" x14ac:dyDescent="0.3">
      <c r="A684" s="13">
        <v>32088</v>
      </c>
      <c r="B684" s="14" t="s">
        <v>13590</v>
      </c>
      <c r="C684" s="15"/>
      <c r="D684" s="15"/>
      <c r="E684" s="15"/>
      <c r="F684" s="15"/>
      <c r="G684" s="15"/>
      <c r="H684" s="16"/>
    </row>
    <row r="685" spans="1:8" ht="22.5" x14ac:dyDescent="0.3">
      <c r="A685" s="13" t="s">
        <v>13591</v>
      </c>
      <c r="B685" s="14" t="s">
        <v>12999</v>
      </c>
      <c r="C685" s="15" t="s">
        <v>13592</v>
      </c>
      <c r="D685" s="15"/>
      <c r="E685" s="15" t="s">
        <v>13593</v>
      </c>
      <c r="F685" s="15" t="s">
        <v>13594</v>
      </c>
      <c r="G685" s="15" t="s">
        <v>13595</v>
      </c>
      <c r="H685" s="16" t="s">
        <v>13596</v>
      </c>
    </row>
    <row r="686" spans="1:8" ht="33.75" x14ac:dyDescent="0.3">
      <c r="A686" s="13" t="s">
        <v>13597</v>
      </c>
      <c r="B686" s="14" t="s">
        <v>13007</v>
      </c>
      <c r="C686" s="15" t="s">
        <v>13598</v>
      </c>
      <c r="D686" s="15" t="s">
        <v>13599</v>
      </c>
      <c r="E686" s="15" t="s">
        <v>13600</v>
      </c>
      <c r="F686" s="15" t="s">
        <v>13599</v>
      </c>
      <c r="G686" s="15" t="s">
        <v>13601</v>
      </c>
      <c r="H686" s="16" t="s">
        <v>13602</v>
      </c>
    </row>
    <row r="687" spans="1:8" x14ac:dyDescent="0.3">
      <c r="A687" s="13">
        <v>32089</v>
      </c>
      <c r="B687" s="14" t="s">
        <v>13603</v>
      </c>
      <c r="C687" s="15"/>
      <c r="D687" s="15"/>
      <c r="E687" s="15"/>
      <c r="F687" s="15"/>
      <c r="G687" s="15"/>
      <c r="H687" s="16"/>
    </row>
    <row r="688" spans="1:8" ht="33.75" x14ac:dyDescent="0.3">
      <c r="A688" s="13" t="s">
        <v>13604</v>
      </c>
      <c r="B688" s="14" t="s">
        <v>12999</v>
      </c>
      <c r="C688" s="15" t="s">
        <v>13605</v>
      </c>
      <c r="D688" s="15" t="s">
        <v>13606</v>
      </c>
      <c r="E688" s="15" t="s">
        <v>13607</v>
      </c>
      <c r="F688" s="15"/>
      <c r="G688" s="15" t="s">
        <v>13608</v>
      </c>
      <c r="H688" s="16" t="s">
        <v>13609</v>
      </c>
    </row>
    <row r="689" spans="1:8" ht="33.75" x14ac:dyDescent="0.3">
      <c r="A689" s="13" t="s">
        <v>13610</v>
      </c>
      <c r="B689" s="14" t="s">
        <v>13007</v>
      </c>
      <c r="C689" s="15"/>
      <c r="D689" s="15" t="s">
        <v>13611</v>
      </c>
      <c r="E689" s="15" t="s">
        <v>13612</v>
      </c>
      <c r="F689" s="15" t="s">
        <v>13613</v>
      </c>
      <c r="G689" s="15" t="s">
        <v>13614</v>
      </c>
      <c r="H689" s="16" t="s">
        <v>13615</v>
      </c>
    </row>
    <row r="690" spans="1:8" x14ac:dyDescent="0.3">
      <c r="A690" s="13">
        <v>32090</v>
      </c>
      <c r="B690" s="14" t="s">
        <v>13616</v>
      </c>
      <c r="C690" s="15"/>
      <c r="D690" s="15"/>
      <c r="E690" s="15"/>
      <c r="F690" s="15"/>
      <c r="G690" s="15"/>
      <c r="H690" s="16"/>
    </row>
    <row r="691" spans="1:8" ht="22.5" x14ac:dyDescent="0.3">
      <c r="A691" s="13" t="s">
        <v>13617</v>
      </c>
      <c r="B691" s="14" t="s">
        <v>12999</v>
      </c>
      <c r="C691" s="15" t="s">
        <v>13618</v>
      </c>
      <c r="D691" s="15"/>
      <c r="E691" s="15" t="s">
        <v>13619</v>
      </c>
      <c r="F691" s="15" t="s">
        <v>13620</v>
      </c>
      <c r="G691" s="15"/>
      <c r="H691" s="16" t="s">
        <v>13621</v>
      </c>
    </row>
    <row r="692" spans="1:8" ht="33.75" x14ac:dyDescent="0.3">
      <c r="A692" s="13" t="s">
        <v>13622</v>
      </c>
      <c r="B692" s="14" t="s">
        <v>13007</v>
      </c>
      <c r="C692" s="15" t="s">
        <v>13623</v>
      </c>
      <c r="D692" s="15"/>
      <c r="E692" s="15" t="s">
        <v>13624</v>
      </c>
      <c r="F692" s="15" t="s">
        <v>13625</v>
      </c>
      <c r="G692" s="15"/>
      <c r="H692" s="16" t="s">
        <v>13626</v>
      </c>
    </row>
    <row r="693" spans="1:8" ht="22.5" x14ac:dyDescent="0.3">
      <c r="A693" s="13">
        <v>32091</v>
      </c>
      <c r="B693" s="14" t="s">
        <v>13627</v>
      </c>
      <c r="C693" s="15"/>
      <c r="D693" s="15"/>
      <c r="E693" s="15"/>
      <c r="F693" s="15"/>
      <c r="G693" s="15"/>
      <c r="H693" s="16"/>
    </row>
    <row r="694" spans="1:8" ht="22.5" x14ac:dyDescent="0.3">
      <c r="A694" s="13" t="s">
        <v>13628</v>
      </c>
      <c r="B694" s="14" t="s">
        <v>12999</v>
      </c>
      <c r="C694" s="15" t="s">
        <v>13629</v>
      </c>
      <c r="D694" s="15" t="s">
        <v>13630</v>
      </c>
      <c r="E694" s="15" t="s">
        <v>13631</v>
      </c>
      <c r="F694" s="15" t="s">
        <v>13632</v>
      </c>
      <c r="G694" s="15" t="s">
        <v>13633</v>
      </c>
      <c r="H694" s="16" t="s">
        <v>13634</v>
      </c>
    </row>
    <row r="695" spans="1:8" ht="56.25" x14ac:dyDescent="0.3">
      <c r="A695" s="13" t="s">
        <v>13635</v>
      </c>
      <c r="B695" s="14" t="s">
        <v>13007</v>
      </c>
      <c r="C695" s="15" t="s">
        <v>13636</v>
      </c>
      <c r="D695" s="15" t="s">
        <v>13637</v>
      </c>
      <c r="E695" s="15" t="s">
        <v>13638</v>
      </c>
      <c r="F695" s="15" t="s">
        <v>13639</v>
      </c>
      <c r="G695" s="15" t="s">
        <v>13640</v>
      </c>
      <c r="H695" s="16" t="s">
        <v>13641</v>
      </c>
    </row>
    <row r="696" spans="1:8" x14ac:dyDescent="0.3">
      <c r="A696" s="13">
        <v>32092</v>
      </c>
      <c r="B696" s="14" t="s">
        <v>13642</v>
      </c>
      <c r="C696" s="15"/>
      <c r="D696" s="15"/>
      <c r="E696" s="15"/>
      <c r="F696" s="15"/>
      <c r="G696" s="15"/>
      <c r="H696" s="16"/>
    </row>
    <row r="697" spans="1:8" ht="22.5" x14ac:dyDescent="0.3">
      <c r="A697" s="13" t="s">
        <v>13643</v>
      </c>
      <c r="B697" s="14" t="s">
        <v>12999</v>
      </c>
      <c r="C697" s="15" t="s">
        <v>13644</v>
      </c>
      <c r="D697" s="15" t="s">
        <v>13645</v>
      </c>
      <c r="E697" s="15" t="s">
        <v>13646</v>
      </c>
      <c r="F697" s="15" t="s">
        <v>13647</v>
      </c>
      <c r="G697" s="15" t="s">
        <v>13647</v>
      </c>
      <c r="H697" s="16" t="s">
        <v>13648</v>
      </c>
    </row>
    <row r="698" spans="1:8" ht="33.75" x14ac:dyDescent="0.3">
      <c r="A698" s="13" t="s">
        <v>13649</v>
      </c>
      <c r="B698" s="14" t="s">
        <v>13007</v>
      </c>
      <c r="C698" s="15" t="s">
        <v>13650</v>
      </c>
      <c r="D698" s="15"/>
      <c r="E698" s="15" t="s">
        <v>13651</v>
      </c>
      <c r="F698" s="15" t="s">
        <v>13652</v>
      </c>
      <c r="G698" s="15" t="s">
        <v>13653</v>
      </c>
      <c r="H698" s="16" t="s">
        <v>13654</v>
      </c>
    </row>
    <row r="699" spans="1:8" x14ac:dyDescent="0.3">
      <c r="A699" s="13">
        <v>32093</v>
      </c>
      <c r="B699" s="14" t="s">
        <v>13655</v>
      </c>
      <c r="C699" s="15"/>
      <c r="D699" s="15"/>
      <c r="E699" s="15"/>
      <c r="F699" s="15"/>
      <c r="G699" s="15"/>
      <c r="H699" s="16"/>
    </row>
    <row r="700" spans="1:8" ht="22.5" x14ac:dyDescent="0.3">
      <c r="A700" s="13" t="s">
        <v>13656</v>
      </c>
      <c r="B700" s="14" t="s">
        <v>12999</v>
      </c>
      <c r="C700" s="15" t="s">
        <v>13657</v>
      </c>
      <c r="D700" s="15" t="s">
        <v>13658</v>
      </c>
      <c r="E700" s="15" t="s">
        <v>13659</v>
      </c>
      <c r="F700" s="15" t="s">
        <v>13660</v>
      </c>
      <c r="G700" s="15" t="s">
        <v>13661</v>
      </c>
      <c r="H700" s="16" t="s">
        <v>13662</v>
      </c>
    </row>
    <row r="701" spans="1:8" ht="33.75" x14ac:dyDescent="0.3">
      <c r="A701" s="13" t="s">
        <v>13663</v>
      </c>
      <c r="B701" s="14" t="s">
        <v>13007</v>
      </c>
      <c r="C701" s="15" t="s">
        <v>13664</v>
      </c>
      <c r="D701" s="15" t="s">
        <v>13665</v>
      </c>
      <c r="E701" s="15" t="s">
        <v>13666</v>
      </c>
      <c r="F701" s="15" t="s">
        <v>13667</v>
      </c>
      <c r="G701" s="15" t="s">
        <v>13668</v>
      </c>
      <c r="H701" s="16" t="s">
        <v>13669</v>
      </c>
    </row>
    <row r="702" spans="1:8" x14ac:dyDescent="0.3">
      <c r="A702" s="13">
        <v>32094</v>
      </c>
      <c r="B702" s="14" t="s">
        <v>13670</v>
      </c>
      <c r="C702" s="15"/>
      <c r="D702" s="15"/>
      <c r="E702" s="15"/>
      <c r="F702" s="15"/>
      <c r="G702" s="15"/>
      <c r="H702" s="16"/>
    </row>
    <row r="703" spans="1:8" ht="22.5" x14ac:dyDescent="0.3">
      <c r="A703" s="13" t="s">
        <v>13671</v>
      </c>
      <c r="B703" s="14" t="s">
        <v>12999</v>
      </c>
      <c r="C703" s="15" t="s">
        <v>13672</v>
      </c>
      <c r="D703" s="15" t="s">
        <v>13673</v>
      </c>
      <c r="E703" s="15" t="s">
        <v>13674</v>
      </c>
      <c r="F703" s="15" t="s">
        <v>13675</v>
      </c>
      <c r="G703" s="15" t="s">
        <v>13675</v>
      </c>
      <c r="H703" s="16" t="s">
        <v>13676</v>
      </c>
    </row>
    <row r="704" spans="1:8" ht="33.75" x14ac:dyDescent="0.3">
      <c r="A704" s="13" t="s">
        <v>13677</v>
      </c>
      <c r="B704" s="14" t="s">
        <v>13007</v>
      </c>
      <c r="C704" s="15" t="s">
        <v>13678</v>
      </c>
      <c r="D704" s="15"/>
      <c r="E704" s="15" t="s">
        <v>13679</v>
      </c>
      <c r="F704" s="15" t="s">
        <v>13680</v>
      </c>
      <c r="G704" s="15" t="s">
        <v>13681</v>
      </c>
      <c r="H704" s="16" t="s">
        <v>13682</v>
      </c>
    </row>
    <row r="705" spans="1:8" x14ac:dyDescent="0.3">
      <c r="A705" s="13">
        <v>32095</v>
      </c>
      <c r="B705" s="14" t="s">
        <v>13683</v>
      </c>
      <c r="C705" s="15"/>
      <c r="D705" s="15"/>
      <c r="E705" s="15"/>
      <c r="F705" s="15"/>
      <c r="G705" s="15"/>
      <c r="H705" s="16"/>
    </row>
    <row r="706" spans="1:8" ht="33.75" x14ac:dyDescent="0.3">
      <c r="A706" s="13" t="s">
        <v>13684</v>
      </c>
      <c r="B706" s="14" t="s">
        <v>12999</v>
      </c>
      <c r="C706" s="15" t="s">
        <v>13685</v>
      </c>
      <c r="D706" s="15" t="s">
        <v>13686</v>
      </c>
      <c r="E706" s="15" t="s">
        <v>13687</v>
      </c>
      <c r="F706" s="15" t="s">
        <v>13688</v>
      </c>
      <c r="G706" s="15" t="s">
        <v>13689</v>
      </c>
      <c r="H706" s="16" t="s">
        <v>13690</v>
      </c>
    </row>
    <row r="707" spans="1:8" ht="33.75" x14ac:dyDescent="0.3">
      <c r="A707" s="13" t="s">
        <v>13691</v>
      </c>
      <c r="B707" s="14" t="s">
        <v>13007</v>
      </c>
      <c r="C707" s="15" t="s">
        <v>13692</v>
      </c>
      <c r="D707" s="15" t="s">
        <v>13693</v>
      </c>
      <c r="E707" s="15" t="s">
        <v>13694</v>
      </c>
      <c r="F707" s="15" t="s">
        <v>13695</v>
      </c>
      <c r="G707" s="15" t="s">
        <v>13696</v>
      </c>
      <c r="H707" s="16" t="s">
        <v>13697</v>
      </c>
    </row>
    <row r="708" spans="1:8" x14ac:dyDescent="0.3">
      <c r="A708" s="13">
        <v>32096</v>
      </c>
      <c r="B708" s="14" t="s">
        <v>13698</v>
      </c>
      <c r="C708" s="15"/>
      <c r="D708" s="15"/>
      <c r="E708" s="15"/>
      <c r="F708" s="15"/>
      <c r="G708" s="15"/>
      <c r="H708" s="16"/>
    </row>
    <row r="709" spans="1:8" ht="22.5" x14ac:dyDescent="0.3">
      <c r="A709" s="13" t="s">
        <v>13699</v>
      </c>
      <c r="B709" s="14" t="s">
        <v>12999</v>
      </c>
      <c r="C709" s="15" t="s">
        <v>13700</v>
      </c>
      <c r="D709" s="15" t="s">
        <v>13701</v>
      </c>
      <c r="E709" s="15" t="s">
        <v>13702</v>
      </c>
      <c r="F709" s="15" t="s">
        <v>13703</v>
      </c>
      <c r="G709" s="15" t="s">
        <v>13704</v>
      </c>
      <c r="H709" s="16" t="s">
        <v>13705</v>
      </c>
    </row>
    <row r="710" spans="1:8" ht="33.75" x14ac:dyDescent="0.3">
      <c r="A710" s="13" t="s">
        <v>13706</v>
      </c>
      <c r="B710" s="14" t="s">
        <v>13007</v>
      </c>
      <c r="C710" s="15" t="s">
        <v>13707</v>
      </c>
      <c r="D710" s="15" t="s">
        <v>13708</v>
      </c>
      <c r="E710" s="15" t="s">
        <v>13709</v>
      </c>
      <c r="F710" s="15" t="s">
        <v>13710</v>
      </c>
      <c r="G710" s="15" t="s">
        <v>13711</v>
      </c>
      <c r="H710" s="16" t="s">
        <v>13712</v>
      </c>
    </row>
    <row r="711" spans="1:8" x14ac:dyDescent="0.3">
      <c r="A711" s="13">
        <v>32097</v>
      </c>
      <c r="B711" s="14" t="s">
        <v>13713</v>
      </c>
      <c r="C711" s="15"/>
      <c r="D711" s="15"/>
      <c r="E711" s="15"/>
      <c r="F711" s="15"/>
      <c r="G711" s="15"/>
      <c r="H711" s="16"/>
    </row>
    <row r="712" spans="1:8" ht="45" x14ac:dyDescent="0.3">
      <c r="A712" s="13" t="s">
        <v>13714</v>
      </c>
      <c r="B712" s="14" t="s">
        <v>12999</v>
      </c>
      <c r="C712" s="15" t="s">
        <v>13715</v>
      </c>
      <c r="D712" s="15" t="s">
        <v>13716</v>
      </c>
      <c r="E712" s="15" t="s">
        <v>13717</v>
      </c>
      <c r="F712" s="15" t="s">
        <v>13718</v>
      </c>
      <c r="G712" s="15" t="s">
        <v>13719</v>
      </c>
      <c r="H712" s="16" t="s">
        <v>13720</v>
      </c>
    </row>
    <row r="713" spans="1:8" ht="33.75" x14ac:dyDescent="0.3">
      <c r="A713" s="13" t="s">
        <v>13721</v>
      </c>
      <c r="B713" s="14" t="s">
        <v>13007</v>
      </c>
      <c r="C713" s="15" t="s">
        <v>13722</v>
      </c>
      <c r="D713" s="15"/>
      <c r="E713" s="15" t="s">
        <v>13723</v>
      </c>
      <c r="F713" s="15" t="s">
        <v>13724</v>
      </c>
      <c r="G713" s="15" t="s">
        <v>13725</v>
      </c>
      <c r="H713" s="16" t="s">
        <v>13724</v>
      </c>
    </row>
    <row r="714" spans="1:8" x14ac:dyDescent="0.3">
      <c r="A714" s="13">
        <v>32098</v>
      </c>
      <c r="B714" s="14" t="s">
        <v>13726</v>
      </c>
      <c r="C714" s="15"/>
      <c r="D714" s="15"/>
      <c r="E714" s="15"/>
      <c r="F714" s="15"/>
      <c r="G714" s="15"/>
      <c r="H714" s="16"/>
    </row>
    <row r="715" spans="1:8" ht="33.75" x14ac:dyDescent="0.3">
      <c r="A715" s="13" t="s">
        <v>13727</v>
      </c>
      <c r="B715" s="14" t="s">
        <v>12999</v>
      </c>
      <c r="C715" s="15" t="s">
        <v>13728</v>
      </c>
      <c r="D715" s="15" t="s">
        <v>13729</v>
      </c>
      <c r="E715" s="15" t="s">
        <v>13730</v>
      </c>
      <c r="F715" s="15" t="s">
        <v>13731</v>
      </c>
      <c r="G715" s="15" t="s">
        <v>13732</v>
      </c>
      <c r="H715" s="16" t="s">
        <v>13733</v>
      </c>
    </row>
    <row r="716" spans="1:8" ht="33.75" x14ac:dyDescent="0.3">
      <c r="A716" s="13" t="s">
        <v>13734</v>
      </c>
      <c r="B716" s="14" t="s">
        <v>13007</v>
      </c>
      <c r="C716" s="15" t="s">
        <v>13735</v>
      </c>
      <c r="D716" s="15"/>
      <c r="E716" s="15" t="s">
        <v>13736</v>
      </c>
      <c r="F716" s="15" t="s">
        <v>13737</v>
      </c>
      <c r="G716" s="15" t="s">
        <v>13738</v>
      </c>
      <c r="H716" s="16" t="s">
        <v>13739</v>
      </c>
    </row>
    <row r="717" spans="1:8" ht="22.5" x14ac:dyDescent="0.3">
      <c r="A717" s="13">
        <v>32099</v>
      </c>
      <c r="B717" s="14" t="s">
        <v>13740</v>
      </c>
      <c r="C717" s="15"/>
      <c r="D717" s="15"/>
      <c r="E717" s="15"/>
      <c r="F717" s="15"/>
      <c r="G717" s="15"/>
      <c r="H717" s="16"/>
    </row>
    <row r="718" spans="1:8" ht="22.5" x14ac:dyDescent="0.3">
      <c r="A718" s="13" t="s">
        <v>13741</v>
      </c>
      <c r="B718" s="14" t="s">
        <v>12999</v>
      </c>
      <c r="C718" s="15" t="s">
        <v>13742</v>
      </c>
      <c r="D718" s="15" t="s">
        <v>10588</v>
      </c>
      <c r="E718" s="15" t="s">
        <v>13743</v>
      </c>
      <c r="F718" s="15" t="s">
        <v>13744</v>
      </c>
      <c r="G718" s="15" t="s">
        <v>13745</v>
      </c>
      <c r="H718" s="16" t="s">
        <v>13745</v>
      </c>
    </row>
    <row r="719" spans="1:8" ht="33.75" x14ac:dyDescent="0.3">
      <c r="A719" s="13" t="s">
        <v>13746</v>
      </c>
      <c r="B719" s="14" t="s">
        <v>13007</v>
      </c>
      <c r="C719" s="15" t="s">
        <v>13747</v>
      </c>
      <c r="D719" s="15" t="s">
        <v>13748</v>
      </c>
      <c r="E719" s="15" t="s">
        <v>13749</v>
      </c>
      <c r="F719" s="15" t="s">
        <v>13750</v>
      </c>
      <c r="G719" s="15" t="s">
        <v>13751</v>
      </c>
      <c r="H719" s="16" t="s">
        <v>13752</v>
      </c>
    </row>
    <row r="720" spans="1:8" x14ac:dyDescent="0.3">
      <c r="A720" s="13">
        <v>32100</v>
      </c>
      <c r="B720" s="14" t="s">
        <v>13753</v>
      </c>
      <c r="C720" s="15"/>
      <c r="D720" s="15"/>
      <c r="E720" s="15"/>
      <c r="F720" s="15"/>
      <c r="G720" s="15"/>
      <c r="H720" s="16"/>
    </row>
    <row r="721" spans="1:8" ht="33.75" x14ac:dyDescent="0.3">
      <c r="A721" s="13" t="s">
        <v>13754</v>
      </c>
      <c r="B721" s="14" t="s">
        <v>12999</v>
      </c>
      <c r="C721" s="15" t="s">
        <v>13755</v>
      </c>
      <c r="D721" s="15" t="s">
        <v>13756</v>
      </c>
      <c r="E721" s="15" t="s">
        <v>13757</v>
      </c>
      <c r="F721" s="15" t="s">
        <v>13757</v>
      </c>
      <c r="G721" s="15" t="s">
        <v>13758</v>
      </c>
      <c r="H721" s="16" t="s">
        <v>13757</v>
      </c>
    </row>
    <row r="722" spans="1:8" ht="33.75" x14ac:dyDescent="0.3">
      <c r="A722" s="13" t="s">
        <v>13759</v>
      </c>
      <c r="B722" s="14" t="s">
        <v>13007</v>
      </c>
      <c r="C722" s="15" t="s">
        <v>13760</v>
      </c>
      <c r="D722" s="15"/>
      <c r="E722" s="15" t="s">
        <v>13761</v>
      </c>
      <c r="F722" s="15" t="s">
        <v>13762</v>
      </c>
      <c r="G722" s="15" t="s">
        <v>13763</v>
      </c>
      <c r="H722" s="16" t="s">
        <v>13764</v>
      </c>
    </row>
    <row r="723" spans="1:8" x14ac:dyDescent="0.3">
      <c r="A723" s="13">
        <v>32101</v>
      </c>
      <c r="B723" s="14" t="s">
        <v>13765</v>
      </c>
      <c r="C723" s="15"/>
      <c r="D723" s="15"/>
      <c r="E723" s="15"/>
      <c r="F723" s="15"/>
      <c r="G723" s="15"/>
      <c r="H723" s="16"/>
    </row>
    <row r="724" spans="1:8" ht="33.75" x14ac:dyDescent="0.3">
      <c r="A724" s="13" t="s">
        <v>13766</v>
      </c>
      <c r="B724" s="14" t="s">
        <v>12999</v>
      </c>
      <c r="C724" s="15" t="s">
        <v>13767</v>
      </c>
      <c r="D724" s="15" t="s">
        <v>13768</v>
      </c>
      <c r="E724" s="15" t="s">
        <v>13769</v>
      </c>
      <c r="F724" s="15" t="s">
        <v>13770</v>
      </c>
      <c r="G724" s="15" t="s">
        <v>13771</v>
      </c>
      <c r="H724" s="16" t="s">
        <v>13772</v>
      </c>
    </row>
    <row r="725" spans="1:8" ht="33.75" x14ac:dyDescent="0.3">
      <c r="A725" s="13" t="s">
        <v>13773</v>
      </c>
      <c r="B725" s="14" t="s">
        <v>13007</v>
      </c>
      <c r="C725" s="15" t="s">
        <v>13774</v>
      </c>
      <c r="D725" s="15" t="s">
        <v>13775</v>
      </c>
      <c r="E725" s="15" t="s">
        <v>13776</v>
      </c>
      <c r="F725" s="15" t="s">
        <v>13777</v>
      </c>
      <c r="G725" s="15" t="s">
        <v>13778</v>
      </c>
      <c r="H725" s="16" t="s">
        <v>13779</v>
      </c>
    </row>
    <row r="726" spans="1:8" x14ac:dyDescent="0.3">
      <c r="A726" s="13">
        <v>32102</v>
      </c>
      <c r="B726" s="14" t="s">
        <v>13780</v>
      </c>
      <c r="C726" s="15"/>
      <c r="D726" s="15"/>
      <c r="E726" s="15"/>
      <c r="F726" s="15"/>
      <c r="G726" s="15"/>
      <c r="H726" s="16"/>
    </row>
    <row r="727" spans="1:8" ht="22.5" x14ac:dyDescent="0.3">
      <c r="A727" s="13" t="s">
        <v>13781</v>
      </c>
      <c r="B727" s="14" t="s">
        <v>12999</v>
      </c>
      <c r="C727" s="15" t="s">
        <v>13782</v>
      </c>
      <c r="D727" s="15" t="s">
        <v>13783</v>
      </c>
      <c r="E727" s="15" t="s">
        <v>13784</v>
      </c>
      <c r="F727" s="15" t="s">
        <v>13785</v>
      </c>
      <c r="G727" s="15" t="s">
        <v>13786</v>
      </c>
      <c r="H727" s="16" t="s">
        <v>13787</v>
      </c>
    </row>
    <row r="728" spans="1:8" ht="33.75" x14ac:dyDescent="0.3">
      <c r="A728" s="13" t="s">
        <v>13788</v>
      </c>
      <c r="B728" s="14" t="s">
        <v>13007</v>
      </c>
      <c r="C728" s="15" t="s">
        <v>13789</v>
      </c>
      <c r="D728" s="15" t="s">
        <v>13790</v>
      </c>
      <c r="E728" s="15" t="s">
        <v>13791</v>
      </c>
      <c r="F728" s="15" t="s">
        <v>13792</v>
      </c>
      <c r="G728" s="15" t="s">
        <v>13793</v>
      </c>
      <c r="H728" s="16" t="s">
        <v>13794</v>
      </c>
    </row>
    <row r="729" spans="1:8" x14ac:dyDescent="0.3">
      <c r="A729" s="13">
        <v>32103</v>
      </c>
      <c r="B729" s="14" t="s">
        <v>13795</v>
      </c>
      <c r="C729" s="15"/>
      <c r="D729" s="15"/>
      <c r="E729" s="15"/>
      <c r="F729" s="15"/>
      <c r="G729" s="15"/>
      <c r="H729" s="16"/>
    </row>
    <row r="730" spans="1:8" ht="22.5" x14ac:dyDescent="0.3">
      <c r="A730" s="13" t="s">
        <v>13796</v>
      </c>
      <c r="B730" s="14" t="s">
        <v>12999</v>
      </c>
      <c r="C730" s="15" t="s">
        <v>13797</v>
      </c>
      <c r="D730" s="15" t="s">
        <v>13798</v>
      </c>
      <c r="E730" s="15" t="s">
        <v>13799</v>
      </c>
      <c r="F730" s="15" t="s">
        <v>13800</v>
      </c>
      <c r="G730" s="15" t="s">
        <v>13801</v>
      </c>
      <c r="H730" s="16" t="s">
        <v>13802</v>
      </c>
    </row>
    <row r="731" spans="1:8" ht="33.75" x14ac:dyDescent="0.3">
      <c r="A731" s="13" t="s">
        <v>13803</v>
      </c>
      <c r="B731" s="14" t="s">
        <v>13007</v>
      </c>
      <c r="C731" s="15" t="s">
        <v>13804</v>
      </c>
      <c r="D731" s="15" t="s">
        <v>13805</v>
      </c>
      <c r="E731" s="15" t="s">
        <v>13806</v>
      </c>
      <c r="F731" s="15" t="s">
        <v>13805</v>
      </c>
      <c r="G731" s="15" t="s">
        <v>13807</v>
      </c>
      <c r="H731" s="16" t="s">
        <v>13808</v>
      </c>
    </row>
    <row r="732" spans="1:8" x14ac:dyDescent="0.3">
      <c r="A732" s="13">
        <v>32104</v>
      </c>
      <c r="B732" s="14" t="s">
        <v>13809</v>
      </c>
      <c r="C732" s="15"/>
      <c r="D732" s="15"/>
      <c r="E732" s="15"/>
      <c r="F732" s="15"/>
      <c r="G732" s="15"/>
      <c r="H732" s="16"/>
    </row>
    <row r="733" spans="1:8" ht="45" x14ac:dyDescent="0.3">
      <c r="A733" s="13" t="s">
        <v>13810</v>
      </c>
      <c r="B733" s="14" t="s">
        <v>12999</v>
      </c>
      <c r="C733" s="15" t="s">
        <v>13811</v>
      </c>
      <c r="D733" s="15" t="s">
        <v>13812</v>
      </c>
      <c r="E733" s="15" t="s">
        <v>13813</v>
      </c>
      <c r="F733" s="15" t="s">
        <v>13814</v>
      </c>
      <c r="G733" s="15" t="s">
        <v>13815</v>
      </c>
      <c r="H733" s="16" t="s">
        <v>13816</v>
      </c>
    </row>
    <row r="734" spans="1:8" ht="33.75" x14ac:dyDescent="0.3">
      <c r="A734" s="13" t="s">
        <v>13817</v>
      </c>
      <c r="B734" s="14" t="s">
        <v>13007</v>
      </c>
      <c r="C734" s="15" t="s">
        <v>13818</v>
      </c>
      <c r="D734" s="15"/>
      <c r="E734" s="15" t="s">
        <v>13819</v>
      </c>
      <c r="F734" s="15" t="s">
        <v>13820</v>
      </c>
      <c r="G734" s="15" t="s">
        <v>13821</v>
      </c>
      <c r="H734" s="16" t="s">
        <v>13822</v>
      </c>
    </row>
    <row r="735" spans="1:8" x14ac:dyDescent="0.3">
      <c r="A735" s="13">
        <v>32105</v>
      </c>
      <c r="B735" s="14" t="s">
        <v>13823</v>
      </c>
      <c r="C735" s="15"/>
      <c r="D735" s="15"/>
      <c r="E735" s="15"/>
      <c r="F735" s="15"/>
      <c r="G735" s="15"/>
      <c r="H735" s="16"/>
    </row>
    <row r="736" spans="1:8" ht="45" x14ac:dyDescent="0.3">
      <c r="A736" s="13" t="s">
        <v>13824</v>
      </c>
      <c r="B736" s="14" t="s">
        <v>12999</v>
      </c>
      <c r="C736" s="15" t="s">
        <v>13825</v>
      </c>
      <c r="D736" s="15" t="s">
        <v>13826</v>
      </c>
      <c r="E736" s="15" t="s">
        <v>13827</v>
      </c>
      <c r="F736" s="15" t="s">
        <v>13828</v>
      </c>
      <c r="G736" s="15" t="s">
        <v>13829</v>
      </c>
      <c r="H736" s="16" t="s">
        <v>13830</v>
      </c>
    </row>
    <row r="737" spans="1:8" ht="33.75" x14ac:dyDescent="0.3">
      <c r="A737" s="13" t="s">
        <v>13831</v>
      </c>
      <c r="B737" s="14" t="s">
        <v>13007</v>
      </c>
      <c r="C737" s="15" t="s">
        <v>13832</v>
      </c>
      <c r="D737" s="15" t="s">
        <v>13833</v>
      </c>
      <c r="E737" s="15" t="s">
        <v>13834</v>
      </c>
      <c r="F737" s="15" t="s">
        <v>13835</v>
      </c>
      <c r="G737" s="15" t="s">
        <v>13835</v>
      </c>
      <c r="H737" s="16" t="s">
        <v>13836</v>
      </c>
    </row>
    <row r="738" spans="1:8" x14ac:dyDescent="0.3">
      <c r="A738" s="13">
        <v>32106</v>
      </c>
      <c r="B738" s="14" t="s">
        <v>13837</v>
      </c>
      <c r="C738" s="15"/>
      <c r="D738" s="15"/>
      <c r="E738" s="15"/>
      <c r="F738" s="15"/>
      <c r="G738" s="15"/>
      <c r="H738" s="16"/>
    </row>
    <row r="739" spans="1:8" ht="33.75" x14ac:dyDescent="0.3">
      <c r="A739" s="13" t="s">
        <v>13838</v>
      </c>
      <c r="B739" s="14" t="s">
        <v>12999</v>
      </c>
      <c r="C739" s="15" t="s">
        <v>13839</v>
      </c>
      <c r="D739" s="15" t="s">
        <v>13840</v>
      </c>
      <c r="E739" s="15" t="s">
        <v>13841</v>
      </c>
      <c r="F739" s="15" t="s">
        <v>13842</v>
      </c>
      <c r="G739" s="15" t="s">
        <v>13841</v>
      </c>
      <c r="H739" s="16" t="s">
        <v>13843</v>
      </c>
    </row>
    <row r="740" spans="1:8" ht="33.75" x14ac:dyDescent="0.3">
      <c r="A740" s="13" t="s">
        <v>13844</v>
      </c>
      <c r="B740" s="14" t="s">
        <v>13007</v>
      </c>
      <c r="C740" s="15" t="s">
        <v>13845</v>
      </c>
      <c r="D740" s="15" t="s">
        <v>13846</v>
      </c>
      <c r="E740" s="15" t="s">
        <v>13847</v>
      </c>
      <c r="F740" s="15" t="s">
        <v>13848</v>
      </c>
      <c r="G740" s="15" t="s">
        <v>13849</v>
      </c>
      <c r="H740" s="16" t="s">
        <v>13850</v>
      </c>
    </row>
    <row r="741" spans="1:8" x14ac:dyDescent="0.3">
      <c r="A741" s="13">
        <v>32107</v>
      </c>
      <c r="B741" s="14" t="s">
        <v>11569</v>
      </c>
      <c r="C741" s="15"/>
      <c r="D741" s="15"/>
      <c r="E741" s="15"/>
      <c r="F741" s="15"/>
      <c r="G741" s="15"/>
      <c r="H741" s="16"/>
    </row>
    <row r="742" spans="1:8" ht="67.5" x14ac:dyDescent="0.3">
      <c r="A742" s="13" t="s">
        <v>13851</v>
      </c>
      <c r="B742" s="14" t="s">
        <v>12999</v>
      </c>
      <c r="C742" s="15" t="s">
        <v>11571</v>
      </c>
      <c r="D742" s="15" t="s">
        <v>13852</v>
      </c>
      <c r="E742" s="15" t="s">
        <v>13853</v>
      </c>
      <c r="F742" s="15" t="s">
        <v>13854</v>
      </c>
      <c r="G742" s="15" t="s">
        <v>13855</v>
      </c>
      <c r="H742" s="16" t="s">
        <v>13856</v>
      </c>
    </row>
    <row r="743" spans="1:8" ht="33.75" x14ac:dyDescent="0.3">
      <c r="A743" s="13" t="s">
        <v>13857</v>
      </c>
      <c r="B743" s="14" t="s">
        <v>13007</v>
      </c>
      <c r="C743" s="15" t="s">
        <v>13858</v>
      </c>
      <c r="D743" s="15" t="s">
        <v>13859</v>
      </c>
      <c r="E743" s="15" t="s">
        <v>13860</v>
      </c>
      <c r="F743" s="15" t="s">
        <v>13861</v>
      </c>
      <c r="G743" s="15" t="s">
        <v>13862</v>
      </c>
      <c r="H743" s="16" t="s">
        <v>13863</v>
      </c>
    </row>
    <row r="744" spans="1:8" x14ac:dyDescent="0.3">
      <c r="A744" s="13">
        <v>32108</v>
      </c>
      <c r="B744" s="14" t="s">
        <v>13864</v>
      </c>
      <c r="C744" s="15"/>
      <c r="D744" s="15"/>
      <c r="E744" s="15"/>
      <c r="F744" s="15"/>
      <c r="G744" s="15"/>
      <c r="H744" s="16"/>
    </row>
    <row r="745" spans="1:8" ht="56.25" x14ac:dyDescent="0.3">
      <c r="A745" s="13" t="s">
        <v>13865</v>
      </c>
      <c r="B745" s="14" t="s">
        <v>12999</v>
      </c>
      <c r="C745" s="15" t="s">
        <v>13866</v>
      </c>
      <c r="D745" s="15" t="s">
        <v>13867</v>
      </c>
      <c r="E745" s="15" t="s">
        <v>13868</v>
      </c>
      <c r="F745" s="15" t="s">
        <v>13869</v>
      </c>
      <c r="G745" s="15" t="s">
        <v>13870</v>
      </c>
      <c r="H745" s="16" t="s">
        <v>13869</v>
      </c>
    </row>
    <row r="746" spans="1:8" ht="33.75" x14ac:dyDescent="0.3">
      <c r="A746" s="13" t="s">
        <v>13871</v>
      </c>
      <c r="B746" s="14" t="s">
        <v>13007</v>
      </c>
      <c r="C746" s="15" t="s">
        <v>13872</v>
      </c>
      <c r="D746" s="15" t="s">
        <v>13873</v>
      </c>
      <c r="E746" s="15" t="s">
        <v>13874</v>
      </c>
      <c r="F746" s="15" t="s">
        <v>13875</v>
      </c>
      <c r="G746" s="15" t="s">
        <v>13876</v>
      </c>
      <c r="H746" s="16" t="s">
        <v>13877</v>
      </c>
    </row>
    <row r="747" spans="1:8" x14ac:dyDescent="0.3">
      <c r="A747" s="13">
        <v>32109</v>
      </c>
      <c r="B747" s="14" t="s">
        <v>13878</v>
      </c>
      <c r="C747" s="15"/>
      <c r="D747" s="15"/>
      <c r="E747" s="15"/>
      <c r="F747" s="15"/>
      <c r="G747" s="15"/>
      <c r="H747" s="16"/>
    </row>
    <row r="748" spans="1:8" ht="33.75" x14ac:dyDescent="0.3">
      <c r="A748" s="13" t="s">
        <v>13879</v>
      </c>
      <c r="B748" s="14" t="s">
        <v>12999</v>
      </c>
      <c r="C748" s="15" t="s">
        <v>13880</v>
      </c>
      <c r="D748" s="15" t="s">
        <v>13881</v>
      </c>
      <c r="E748" s="15" t="s">
        <v>13882</v>
      </c>
      <c r="F748" s="15" t="s">
        <v>13883</v>
      </c>
      <c r="G748" s="15" t="s">
        <v>13884</v>
      </c>
      <c r="H748" s="16" t="s">
        <v>13885</v>
      </c>
    </row>
    <row r="749" spans="1:8" ht="33.75" x14ac:dyDescent="0.3">
      <c r="A749" s="13" t="s">
        <v>13886</v>
      </c>
      <c r="B749" s="14" t="s">
        <v>13007</v>
      </c>
      <c r="C749" s="15" t="s">
        <v>13887</v>
      </c>
      <c r="D749" s="15" t="s">
        <v>13888</v>
      </c>
      <c r="E749" s="15" t="s">
        <v>13889</v>
      </c>
      <c r="F749" s="15" t="s">
        <v>13890</v>
      </c>
      <c r="G749" s="15" t="s">
        <v>13891</v>
      </c>
      <c r="H749" s="16" t="s">
        <v>13892</v>
      </c>
    </row>
    <row r="750" spans="1:8" x14ac:dyDescent="0.3">
      <c r="A750" s="13">
        <v>32110</v>
      </c>
      <c r="B750" s="14" t="s">
        <v>13893</v>
      </c>
      <c r="C750" s="15"/>
      <c r="D750" s="15"/>
      <c r="E750" s="15"/>
      <c r="F750" s="15"/>
      <c r="G750" s="15"/>
      <c r="H750" s="16"/>
    </row>
    <row r="751" spans="1:8" ht="22.5" x14ac:dyDescent="0.3">
      <c r="A751" s="13" t="s">
        <v>13894</v>
      </c>
      <c r="B751" s="14" t="s">
        <v>12999</v>
      </c>
      <c r="C751" s="15" t="s">
        <v>13895</v>
      </c>
      <c r="D751" s="15" t="s">
        <v>13896</v>
      </c>
      <c r="E751" s="15" t="s">
        <v>13897</v>
      </c>
      <c r="F751" s="15" t="s">
        <v>13898</v>
      </c>
      <c r="G751" s="15" t="s">
        <v>13899</v>
      </c>
      <c r="H751" s="16" t="s">
        <v>13900</v>
      </c>
    </row>
    <row r="752" spans="1:8" ht="33.75" x14ac:dyDescent="0.3">
      <c r="A752" s="13" t="s">
        <v>13901</v>
      </c>
      <c r="B752" s="14" t="s">
        <v>13007</v>
      </c>
      <c r="C752" s="15" t="s">
        <v>13902</v>
      </c>
      <c r="D752" s="15" t="s">
        <v>13903</v>
      </c>
      <c r="E752" s="15" t="s">
        <v>13904</v>
      </c>
      <c r="F752" s="15" t="s">
        <v>13905</v>
      </c>
      <c r="G752" s="15" t="s">
        <v>13906</v>
      </c>
      <c r="H752" s="16" t="s">
        <v>13907</v>
      </c>
    </row>
    <row r="753" spans="1:8" x14ac:dyDescent="0.3">
      <c r="A753" s="13">
        <v>32111</v>
      </c>
      <c r="B753" s="14" t="s">
        <v>13908</v>
      </c>
      <c r="C753" s="15"/>
      <c r="D753" s="15"/>
      <c r="E753" s="15"/>
      <c r="F753" s="15"/>
      <c r="G753" s="15"/>
      <c r="H753" s="16"/>
    </row>
    <row r="754" spans="1:8" ht="33.75" x14ac:dyDescent="0.3">
      <c r="A754" s="13" t="s">
        <v>13909</v>
      </c>
      <c r="B754" s="14" t="s">
        <v>12999</v>
      </c>
      <c r="C754" s="15" t="s">
        <v>13910</v>
      </c>
      <c r="D754" s="15" t="s">
        <v>13911</v>
      </c>
      <c r="E754" s="15" t="s">
        <v>13912</v>
      </c>
      <c r="F754" s="15" t="s">
        <v>13913</v>
      </c>
      <c r="G754" s="15" t="s">
        <v>13914</v>
      </c>
      <c r="H754" s="16" t="s">
        <v>13915</v>
      </c>
    </row>
    <row r="755" spans="1:8" ht="33.75" x14ac:dyDescent="0.3">
      <c r="A755" s="13" t="s">
        <v>13916</v>
      </c>
      <c r="B755" s="14" t="s">
        <v>13007</v>
      </c>
      <c r="C755" s="15" t="s">
        <v>13917</v>
      </c>
      <c r="D755" s="15" t="s">
        <v>13918</v>
      </c>
      <c r="E755" s="15" t="s">
        <v>13919</v>
      </c>
      <c r="F755" s="15" t="s">
        <v>11850</v>
      </c>
      <c r="G755" s="15" t="s">
        <v>11850</v>
      </c>
      <c r="H755" s="16" t="s">
        <v>11850</v>
      </c>
    </row>
    <row r="756" spans="1:8" x14ac:dyDescent="0.3">
      <c r="A756" s="13">
        <v>32112</v>
      </c>
      <c r="B756" s="14" t="s">
        <v>13920</v>
      </c>
      <c r="C756" s="15"/>
      <c r="D756" s="15"/>
      <c r="E756" s="15"/>
      <c r="F756" s="15"/>
      <c r="G756" s="15"/>
      <c r="H756" s="16"/>
    </row>
    <row r="757" spans="1:8" ht="22.5" x14ac:dyDescent="0.3">
      <c r="A757" s="13" t="s">
        <v>13921</v>
      </c>
      <c r="B757" s="14" t="s">
        <v>12999</v>
      </c>
      <c r="C757" s="15" t="s">
        <v>13922</v>
      </c>
      <c r="D757" s="15" t="s">
        <v>13923</v>
      </c>
      <c r="E757" s="15" t="s">
        <v>13924</v>
      </c>
      <c r="F757" s="15" t="s">
        <v>13925</v>
      </c>
      <c r="G757" s="15" t="s">
        <v>13925</v>
      </c>
      <c r="H757" s="16" t="s">
        <v>13926</v>
      </c>
    </row>
    <row r="758" spans="1:8" ht="33.75" x14ac:dyDescent="0.3">
      <c r="A758" s="13" t="s">
        <v>13927</v>
      </c>
      <c r="B758" s="14" t="s">
        <v>13007</v>
      </c>
      <c r="C758" s="15" t="s">
        <v>13928</v>
      </c>
      <c r="D758" s="15"/>
      <c r="E758" s="15" t="s">
        <v>13929</v>
      </c>
      <c r="F758" s="15" t="s">
        <v>13930</v>
      </c>
      <c r="G758" s="15" t="s">
        <v>13599</v>
      </c>
      <c r="H758" s="16" t="s">
        <v>13931</v>
      </c>
    </row>
    <row r="759" spans="1:8" x14ac:dyDescent="0.3">
      <c r="A759" s="13">
        <v>32113</v>
      </c>
      <c r="B759" s="14" t="s">
        <v>13932</v>
      </c>
      <c r="C759" s="15"/>
      <c r="D759" s="15"/>
      <c r="E759" s="15"/>
      <c r="F759" s="15"/>
      <c r="G759" s="15"/>
      <c r="H759" s="16"/>
    </row>
    <row r="760" spans="1:8" ht="33.75" x14ac:dyDescent="0.3">
      <c r="A760" s="13" t="s">
        <v>13933</v>
      </c>
      <c r="B760" s="14" t="s">
        <v>12999</v>
      </c>
      <c r="C760" s="15" t="s">
        <v>13934</v>
      </c>
      <c r="D760" s="15" t="s">
        <v>13935</v>
      </c>
      <c r="E760" s="15" t="s">
        <v>13936</v>
      </c>
      <c r="F760" s="15" t="s">
        <v>13937</v>
      </c>
      <c r="G760" s="15" t="s">
        <v>13938</v>
      </c>
      <c r="H760" s="16" t="s">
        <v>13939</v>
      </c>
    </row>
    <row r="761" spans="1:8" ht="33.75" x14ac:dyDescent="0.3">
      <c r="A761" s="13" t="s">
        <v>13940</v>
      </c>
      <c r="B761" s="14" t="s">
        <v>13007</v>
      </c>
      <c r="C761" s="15" t="s">
        <v>13941</v>
      </c>
      <c r="D761" s="15" t="s">
        <v>13942</v>
      </c>
      <c r="E761" s="15" t="s">
        <v>13943</v>
      </c>
      <c r="F761" s="15" t="s">
        <v>13944</v>
      </c>
      <c r="G761" s="15" t="s">
        <v>13945</v>
      </c>
      <c r="H761" s="16" t="s">
        <v>13946</v>
      </c>
    </row>
    <row r="762" spans="1:8" x14ac:dyDescent="0.3">
      <c r="A762" s="13">
        <v>32114</v>
      </c>
      <c r="B762" s="14" t="s">
        <v>13947</v>
      </c>
      <c r="C762" s="15"/>
      <c r="D762" s="15"/>
      <c r="E762" s="15"/>
      <c r="F762" s="15"/>
      <c r="G762" s="15"/>
      <c r="H762" s="16"/>
    </row>
    <row r="763" spans="1:8" ht="22.5" x14ac:dyDescent="0.3">
      <c r="A763" s="13" t="s">
        <v>13948</v>
      </c>
      <c r="B763" s="14" t="s">
        <v>12999</v>
      </c>
      <c r="C763" s="15" t="s">
        <v>13949</v>
      </c>
      <c r="D763" s="15" t="s">
        <v>13950</v>
      </c>
      <c r="E763" s="15" t="s">
        <v>13951</v>
      </c>
      <c r="F763" s="15" t="s">
        <v>13952</v>
      </c>
      <c r="G763" s="15" t="s">
        <v>13953</v>
      </c>
      <c r="H763" s="16" t="s">
        <v>13954</v>
      </c>
    </row>
    <row r="764" spans="1:8" ht="33.75" x14ac:dyDescent="0.3">
      <c r="A764" s="13" t="s">
        <v>13955</v>
      </c>
      <c r="B764" s="14" t="s">
        <v>13007</v>
      </c>
      <c r="C764" s="15" t="s">
        <v>13956</v>
      </c>
      <c r="D764" s="15" t="s">
        <v>13957</v>
      </c>
      <c r="E764" s="15" t="s">
        <v>13958</v>
      </c>
      <c r="F764" s="15" t="s">
        <v>13959</v>
      </c>
      <c r="G764" s="15" t="s">
        <v>13960</v>
      </c>
      <c r="H764" s="16" t="s">
        <v>13961</v>
      </c>
    </row>
    <row r="765" spans="1:8" x14ac:dyDescent="0.3">
      <c r="A765" s="13">
        <v>32115</v>
      </c>
      <c r="B765" s="14" t="s">
        <v>13962</v>
      </c>
      <c r="C765" s="15"/>
      <c r="D765" s="15"/>
      <c r="E765" s="15"/>
      <c r="F765" s="15"/>
      <c r="G765" s="15"/>
      <c r="H765" s="16"/>
    </row>
    <row r="766" spans="1:8" ht="22.5" x14ac:dyDescent="0.3">
      <c r="A766" s="13" t="s">
        <v>13963</v>
      </c>
      <c r="B766" s="14" t="s">
        <v>12999</v>
      </c>
      <c r="C766" s="15" t="s">
        <v>13964</v>
      </c>
      <c r="D766" s="15" t="s">
        <v>13965</v>
      </c>
      <c r="E766" s="15"/>
      <c r="F766" s="15" t="s">
        <v>13966</v>
      </c>
      <c r="G766" s="15" t="s">
        <v>13967</v>
      </c>
      <c r="H766" s="16" t="s">
        <v>13968</v>
      </c>
    </row>
    <row r="767" spans="1:8" ht="33.75" x14ac:dyDescent="0.3">
      <c r="A767" s="13" t="s">
        <v>13969</v>
      </c>
      <c r="B767" s="14" t="s">
        <v>13007</v>
      </c>
      <c r="C767" s="15" t="s">
        <v>13970</v>
      </c>
      <c r="D767" s="15" t="s">
        <v>13971</v>
      </c>
      <c r="E767" s="15"/>
      <c r="F767" s="15" t="s">
        <v>13972</v>
      </c>
      <c r="G767" s="15" t="s">
        <v>13973</v>
      </c>
      <c r="H767" s="16" t="s">
        <v>13974</v>
      </c>
    </row>
    <row r="768" spans="1:8" x14ac:dyDescent="0.3">
      <c r="A768" s="13">
        <v>32116</v>
      </c>
      <c r="B768" s="14" t="s">
        <v>13975</v>
      </c>
      <c r="C768" s="15"/>
      <c r="D768" s="15"/>
      <c r="E768" s="15"/>
      <c r="F768" s="15"/>
      <c r="G768" s="15"/>
      <c r="H768" s="16"/>
    </row>
    <row r="769" spans="1:8" ht="101.25" x14ac:dyDescent="0.3">
      <c r="A769" s="13" t="s">
        <v>13976</v>
      </c>
      <c r="B769" s="14" t="s">
        <v>12999</v>
      </c>
      <c r="C769" s="15" t="s">
        <v>13977</v>
      </c>
      <c r="D769" s="15" t="s">
        <v>13978</v>
      </c>
      <c r="E769" s="15" t="s">
        <v>13979</v>
      </c>
      <c r="F769" s="15" t="s">
        <v>13980</v>
      </c>
      <c r="G769" s="15" t="s">
        <v>13981</v>
      </c>
      <c r="H769" s="16" t="s">
        <v>13982</v>
      </c>
    </row>
    <row r="770" spans="1:8" ht="33.75" x14ac:dyDescent="0.3">
      <c r="A770" s="13" t="s">
        <v>13983</v>
      </c>
      <c r="B770" s="14" t="s">
        <v>13007</v>
      </c>
      <c r="C770" s="15" t="s">
        <v>13984</v>
      </c>
      <c r="D770" s="15" t="s">
        <v>13985</v>
      </c>
      <c r="E770" s="15" t="s">
        <v>13986</v>
      </c>
      <c r="F770" s="15" t="s">
        <v>13987</v>
      </c>
      <c r="G770" s="15" t="s">
        <v>13988</v>
      </c>
      <c r="H770" s="16" t="s">
        <v>13989</v>
      </c>
    </row>
    <row r="771" spans="1:8" x14ac:dyDescent="0.3">
      <c r="A771" s="13">
        <v>32117</v>
      </c>
      <c r="B771" s="14" t="s">
        <v>13990</v>
      </c>
      <c r="C771" s="15"/>
      <c r="D771" s="15"/>
      <c r="E771" s="15"/>
      <c r="F771" s="15"/>
      <c r="G771" s="15"/>
      <c r="H771" s="16"/>
    </row>
    <row r="772" spans="1:8" ht="67.5" x14ac:dyDescent="0.3">
      <c r="A772" s="13" t="s">
        <v>13991</v>
      </c>
      <c r="B772" s="14" t="s">
        <v>12999</v>
      </c>
      <c r="C772" s="15" t="s">
        <v>13992</v>
      </c>
      <c r="D772" s="15" t="s">
        <v>13993</v>
      </c>
      <c r="E772" s="15" t="s">
        <v>13994</v>
      </c>
      <c r="F772" s="15" t="s">
        <v>13995</v>
      </c>
      <c r="G772" s="15" t="s">
        <v>13996</v>
      </c>
      <c r="H772" s="16" t="s">
        <v>13997</v>
      </c>
    </row>
    <row r="773" spans="1:8" ht="33.75" x14ac:dyDescent="0.3">
      <c r="A773" s="13" t="s">
        <v>13998</v>
      </c>
      <c r="B773" s="14" t="s">
        <v>13007</v>
      </c>
      <c r="C773" s="15" t="s">
        <v>13999</v>
      </c>
      <c r="D773" s="15" t="s">
        <v>14000</v>
      </c>
      <c r="E773" s="15" t="s">
        <v>14001</v>
      </c>
      <c r="F773" s="15" t="s">
        <v>14002</v>
      </c>
      <c r="G773" s="15" t="s">
        <v>14003</v>
      </c>
      <c r="H773" s="16" t="s">
        <v>14004</v>
      </c>
    </row>
    <row r="774" spans="1:8" x14ac:dyDescent="0.3">
      <c r="A774" s="13">
        <v>32118</v>
      </c>
      <c r="B774" s="14" t="s">
        <v>14005</v>
      </c>
      <c r="C774" s="15"/>
      <c r="D774" s="15"/>
      <c r="E774" s="15"/>
      <c r="F774" s="15"/>
      <c r="G774" s="15"/>
      <c r="H774" s="16"/>
    </row>
    <row r="775" spans="1:8" ht="67.5" x14ac:dyDescent="0.3">
      <c r="A775" s="13" t="s">
        <v>14006</v>
      </c>
      <c r="B775" s="14" t="s">
        <v>12999</v>
      </c>
      <c r="C775" s="15" t="s">
        <v>14007</v>
      </c>
      <c r="D775" s="15" t="s">
        <v>14008</v>
      </c>
      <c r="E775" s="15" t="s">
        <v>14009</v>
      </c>
      <c r="F775" s="15" t="s">
        <v>14010</v>
      </c>
      <c r="G775" s="15" t="s">
        <v>14011</v>
      </c>
      <c r="H775" s="16" t="s">
        <v>14012</v>
      </c>
    </row>
    <row r="776" spans="1:8" ht="45" x14ac:dyDescent="0.3">
      <c r="A776" s="13" t="s">
        <v>14013</v>
      </c>
      <c r="B776" s="14" t="s">
        <v>13007</v>
      </c>
      <c r="C776" s="15" t="s">
        <v>14014</v>
      </c>
      <c r="D776" s="15" t="s">
        <v>14015</v>
      </c>
      <c r="E776" s="15" t="s">
        <v>14016</v>
      </c>
      <c r="F776" s="15" t="s">
        <v>14017</v>
      </c>
      <c r="G776" s="15" t="s">
        <v>14018</v>
      </c>
      <c r="H776" s="16" t="s">
        <v>14019</v>
      </c>
    </row>
    <row r="777" spans="1:8" x14ac:dyDescent="0.3">
      <c r="A777" s="13">
        <v>32119</v>
      </c>
      <c r="B777" s="14" t="s">
        <v>14020</v>
      </c>
      <c r="C777" s="15"/>
      <c r="D777" s="15"/>
      <c r="E777" s="15"/>
      <c r="F777" s="15"/>
      <c r="G777" s="15"/>
      <c r="H777" s="16"/>
    </row>
    <row r="778" spans="1:8" ht="112.5" x14ac:dyDescent="0.3">
      <c r="A778" s="13" t="s">
        <v>14021</v>
      </c>
      <c r="B778" s="14" t="s">
        <v>12999</v>
      </c>
      <c r="C778" s="15" t="s">
        <v>14022</v>
      </c>
      <c r="D778" s="15" t="s">
        <v>14023</v>
      </c>
      <c r="E778" s="15" t="s">
        <v>14024</v>
      </c>
      <c r="F778" s="15" t="s">
        <v>14025</v>
      </c>
      <c r="G778" s="15" t="s">
        <v>14026</v>
      </c>
      <c r="H778" s="16" t="s">
        <v>14027</v>
      </c>
    </row>
    <row r="779" spans="1:8" ht="33.75" x14ac:dyDescent="0.3">
      <c r="A779" s="13" t="s">
        <v>14028</v>
      </c>
      <c r="B779" s="14" t="s">
        <v>13007</v>
      </c>
      <c r="C779" s="15" t="s">
        <v>14029</v>
      </c>
      <c r="D779" s="15" t="s">
        <v>14030</v>
      </c>
      <c r="E779" s="15" t="s">
        <v>14031</v>
      </c>
      <c r="F779" s="15" t="s">
        <v>14032</v>
      </c>
      <c r="G779" s="15" t="s">
        <v>14033</v>
      </c>
      <c r="H779" s="16" t="s">
        <v>14034</v>
      </c>
    </row>
    <row r="780" spans="1:8" x14ac:dyDescent="0.3">
      <c r="A780" s="13">
        <v>32120</v>
      </c>
      <c r="B780" s="14" t="s">
        <v>14035</v>
      </c>
      <c r="C780" s="15"/>
      <c r="D780" s="15"/>
      <c r="E780" s="15"/>
      <c r="F780" s="15"/>
      <c r="G780" s="15"/>
      <c r="H780" s="16"/>
    </row>
    <row r="781" spans="1:8" ht="45" x14ac:dyDescent="0.3">
      <c r="A781" s="13" t="s">
        <v>14036</v>
      </c>
      <c r="B781" s="14" t="s">
        <v>12999</v>
      </c>
      <c r="C781" s="15" t="s">
        <v>14037</v>
      </c>
      <c r="D781" s="15" t="s">
        <v>14038</v>
      </c>
      <c r="E781" s="15" t="s">
        <v>14039</v>
      </c>
      <c r="F781" s="15" t="s">
        <v>14040</v>
      </c>
      <c r="G781" s="15" t="s">
        <v>14041</v>
      </c>
      <c r="H781" s="16" t="s">
        <v>14042</v>
      </c>
    </row>
    <row r="782" spans="1:8" ht="33.75" x14ac:dyDescent="0.3">
      <c r="A782" s="13" t="s">
        <v>14043</v>
      </c>
      <c r="B782" s="14" t="s">
        <v>13007</v>
      </c>
      <c r="C782" s="15" t="s">
        <v>14044</v>
      </c>
      <c r="D782" s="15" t="s">
        <v>14045</v>
      </c>
      <c r="E782" s="15" t="s">
        <v>14046</v>
      </c>
      <c r="F782" s="15" t="s">
        <v>14047</v>
      </c>
      <c r="G782" s="15" t="s">
        <v>14048</v>
      </c>
      <c r="H782" s="16" t="s">
        <v>14049</v>
      </c>
    </row>
    <row r="783" spans="1:8" ht="12" x14ac:dyDescent="0.3">
      <c r="A783" s="13">
        <v>32121</v>
      </c>
      <c r="B783" s="14" t="s">
        <v>19767</v>
      </c>
      <c r="C783" s="15"/>
      <c r="D783" s="15"/>
      <c r="E783" s="15"/>
      <c r="F783" s="15"/>
      <c r="G783" s="15"/>
      <c r="H783" s="16"/>
    </row>
    <row r="784" spans="1:8" ht="22.5" x14ac:dyDescent="0.3">
      <c r="A784" s="13" t="s">
        <v>14050</v>
      </c>
      <c r="B784" s="14" t="s">
        <v>12999</v>
      </c>
      <c r="C784" s="15" t="s">
        <v>14051</v>
      </c>
      <c r="D784" s="15" t="s">
        <v>14052</v>
      </c>
      <c r="E784" s="15" t="s">
        <v>14053</v>
      </c>
      <c r="F784" s="15" t="s">
        <v>14054</v>
      </c>
      <c r="G784" s="15" t="s">
        <v>14053</v>
      </c>
      <c r="H784" s="16" t="s">
        <v>14055</v>
      </c>
    </row>
    <row r="785" spans="1:8" ht="33.75" x14ac:dyDescent="0.3">
      <c r="A785" s="13" t="s">
        <v>14056</v>
      </c>
      <c r="B785" s="14" t="s">
        <v>13007</v>
      </c>
      <c r="C785" s="15" t="s">
        <v>14057</v>
      </c>
      <c r="D785" s="15" t="s">
        <v>14058</v>
      </c>
      <c r="E785" s="15" t="s">
        <v>14059</v>
      </c>
      <c r="F785" s="15" t="s">
        <v>14060</v>
      </c>
      <c r="G785" s="15" t="s">
        <v>14061</v>
      </c>
      <c r="H785" s="16" t="s">
        <v>14062</v>
      </c>
    </row>
    <row r="786" spans="1:8" ht="22.5" x14ac:dyDescent="0.3">
      <c r="A786" s="13">
        <v>32122</v>
      </c>
      <c r="B786" s="14" t="s">
        <v>14063</v>
      </c>
      <c r="C786" s="15"/>
      <c r="D786" s="15"/>
      <c r="E786" s="15"/>
      <c r="F786" s="15"/>
      <c r="G786" s="15"/>
      <c r="H786" s="16"/>
    </row>
    <row r="787" spans="1:8" ht="22.5" x14ac:dyDescent="0.3">
      <c r="A787" s="13" t="s">
        <v>14064</v>
      </c>
      <c r="B787" s="14" t="s">
        <v>12999</v>
      </c>
      <c r="C787" s="15" t="s">
        <v>14065</v>
      </c>
      <c r="D787" s="15"/>
      <c r="E787" s="15" t="s">
        <v>14066</v>
      </c>
      <c r="F787" s="15" t="s">
        <v>14067</v>
      </c>
      <c r="G787" s="15" t="s">
        <v>14068</v>
      </c>
      <c r="H787" s="16" t="s">
        <v>14069</v>
      </c>
    </row>
    <row r="788" spans="1:8" ht="33.75" x14ac:dyDescent="0.3">
      <c r="A788" s="13" t="s">
        <v>14070</v>
      </c>
      <c r="B788" s="14" t="s">
        <v>13007</v>
      </c>
      <c r="C788" s="15" t="s">
        <v>14071</v>
      </c>
      <c r="D788" s="15" t="s">
        <v>14072</v>
      </c>
      <c r="E788" s="15" t="s">
        <v>14073</v>
      </c>
      <c r="F788" s="15" t="s">
        <v>14074</v>
      </c>
      <c r="G788" s="15" t="s">
        <v>14075</v>
      </c>
      <c r="H788" s="16" t="s">
        <v>14076</v>
      </c>
    </row>
    <row r="789" spans="1:8" x14ac:dyDescent="0.3">
      <c r="A789" s="13">
        <v>32123</v>
      </c>
      <c r="B789" s="14" t="s">
        <v>14077</v>
      </c>
      <c r="C789" s="15"/>
      <c r="D789" s="15"/>
      <c r="E789" s="15"/>
      <c r="F789" s="15"/>
      <c r="G789" s="15"/>
      <c r="H789" s="16"/>
    </row>
    <row r="790" spans="1:8" ht="45" x14ac:dyDescent="0.3">
      <c r="A790" s="13" t="s">
        <v>14078</v>
      </c>
      <c r="B790" s="14" t="s">
        <v>12999</v>
      </c>
      <c r="C790" s="15" t="s">
        <v>14079</v>
      </c>
      <c r="D790" s="15" t="s">
        <v>14080</v>
      </c>
      <c r="E790" s="15" t="s">
        <v>14081</v>
      </c>
      <c r="F790" s="15" t="s">
        <v>14082</v>
      </c>
      <c r="G790" s="15" t="s">
        <v>14083</v>
      </c>
      <c r="H790" s="16"/>
    </row>
    <row r="791" spans="1:8" ht="33.75" x14ac:dyDescent="0.3">
      <c r="A791" s="13" t="s">
        <v>14084</v>
      </c>
      <c r="B791" s="14" t="s">
        <v>13007</v>
      </c>
      <c r="C791" s="15" t="s">
        <v>14085</v>
      </c>
      <c r="D791" s="15" t="s">
        <v>14086</v>
      </c>
      <c r="E791" s="15" t="s">
        <v>14087</v>
      </c>
      <c r="F791" s="15" t="s">
        <v>14088</v>
      </c>
      <c r="G791" s="15" t="s">
        <v>14089</v>
      </c>
      <c r="H791" s="16"/>
    </row>
    <row r="792" spans="1:8" x14ac:dyDescent="0.3">
      <c r="A792" s="13">
        <v>32124</v>
      </c>
      <c r="B792" s="14" t="s">
        <v>14090</v>
      </c>
      <c r="C792" s="15"/>
      <c r="D792" s="15"/>
      <c r="E792" s="15"/>
      <c r="F792" s="15"/>
      <c r="G792" s="15"/>
      <c r="H792" s="16"/>
    </row>
    <row r="793" spans="1:8" ht="78.75" x14ac:dyDescent="0.3">
      <c r="A793" s="13" t="s">
        <v>14091</v>
      </c>
      <c r="B793" s="14" t="s">
        <v>12999</v>
      </c>
      <c r="C793" s="15" t="s">
        <v>14092</v>
      </c>
      <c r="D793" s="15" t="s">
        <v>14093</v>
      </c>
      <c r="E793" s="15" t="s">
        <v>14094</v>
      </c>
      <c r="F793" s="15" t="s">
        <v>14095</v>
      </c>
      <c r="G793" s="15" t="s">
        <v>14096</v>
      </c>
      <c r="H793" s="16"/>
    </row>
    <row r="794" spans="1:8" ht="45" x14ac:dyDescent="0.3">
      <c r="A794" s="13" t="s">
        <v>14097</v>
      </c>
      <c r="B794" s="14" t="s">
        <v>13007</v>
      </c>
      <c r="C794" s="15" t="s">
        <v>14098</v>
      </c>
      <c r="D794" s="15" t="s">
        <v>14099</v>
      </c>
      <c r="E794" s="15" t="s">
        <v>14100</v>
      </c>
      <c r="F794" s="15" t="s">
        <v>14101</v>
      </c>
      <c r="G794" s="15" t="s">
        <v>14102</v>
      </c>
      <c r="H794" s="16" t="s">
        <v>14103</v>
      </c>
    </row>
    <row r="795" spans="1:8" x14ac:dyDescent="0.3">
      <c r="A795" s="13">
        <v>32125</v>
      </c>
      <c r="B795" s="14" t="s">
        <v>14104</v>
      </c>
      <c r="C795" s="15"/>
      <c r="D795" s="15"/>
      <c r="E795" s="15"/>
      <c r="F795" s="15"/>
      <c r="G795" s="15"/>
      <c r="H795" s="16"/>
    </row>
    <row r="796" spans="1:8" ht="33.75" x14ac:dyDescent="0.3">
      <c r="A796" s="13" t="s">
        <v>14105</v>
      </c>
      <c r="B796" s="14" t="s">
        <v>12999</v>
      </c>
      <c r="C796" s="15" t="s">
        <v>14106</v>
      </c>
      <c r="D796" s="15" t="s">
        <v>14107</v>
      </c>
      <c r="E796" s="15" t="s">
        <v>14108</v>
      </c>
      <c r="F796" s="15" t="s">
        <v>14109</v>
      </c>
      <c r="G796" s="15" t="s">
        <v>14110</v>
      </c>
      <c r="H796" s="16" t="s">
        <v>14111</v>
      </c>
    </row>
    <row r="797" spans="1:8" ht="33.75" x14ac:dyDescent="0.3">
      <c r="A797" s="13" t="s">
        <v>14112</v>
      </c>
      <c r="B797" s="14" t="s">
        <v>13007</v>
      </c>
      <c r="C797" s="15" t="s">
        <v>14113</v>
      </c>
      <c r="D797" s="15"/>
      <c r="E797" s="15" t="s">
        <v>14114</v>
      </c>
      <c r="F797" s="15" t="s">
        <v>14115</v>
      </c>
      <c r="G797" s="15" t="s">
        <v>14116</v>
      </c>
      <c r="H797" s="16" t="s">
        <v>14117</v>
      </c>
    </row>
    <row r="798" spans="1:8" x14ac:dyDescent="0.3">
      <c r="A798" s="13">
        <v>32126</v>
      </c>
      <c r="B798" s="14" t="s">
        <v>14118</v>
      </c>
      <c r="C798" s="15"/>
      <c r="D798" s="15"/>
      <c r="E798" s="15"/>
      <c r="F798" s="15"/>
      <c r="G798" s="15"/>
      <c r="H798" s="16"/>
    </row>
    <row r="799" spans="1:8" ht="67.5" x14ac:dyDescent="0.3">
      <c r="A799" s="13" t="s">
        <v>14119</v>
      </c>
      <c r="B799" s="14" t="s">
        <v>12999</v>
      </c>
      <c r="C799" s="15" t="s">
        <v>14120</v>
      </c>
      <c r="D799" s="15" t="s">
        <v>14121</v>
      </c>
      <c r="E799" s="15" t="s">
        <v>14122</v>
      </c>
      <c r="F799" s="15" t="s">
        <v>14123</v>
      </c>
      <c r="G799" s="15" t="s">
        <v>14124</v>
      </c>
      <c r="H799" s="16" t="s">
        <v>14125</v>
      </c>
    </row>
    <row r="800" spans="1:8" ht="33.75" x14ac:dyDescent="0.3">
      <c r="A800" s="13" t="s">
        <v>14126</v>
      </c>
      <c r="B800" s="14" t="s">
        <v>13007</v>
      </c>
      <c r="C800" s="15" t="s">
        <v>14127</v>
      </c>
      <c r="D800" s="15" t="s">
        <v>14128</v>
      </c>
      <c r="E800" s="15" t="s">
        <v>14129</v>
      </c>
      <c r="F800" s="15" t="s">
        <v>14130</v>
      </c>
      <c r="G800" s="15" t="s">
        <v>14130</v>
      </c>
      <c r="H800" s="16" t="s">
        <v>14131</v>
      </c>
    </row>
    <row r="801" spans="1:8" ht="33.75" x14ac:dyDescent="0.3">
      <c r="A801" s="13">
        <v>32127</v>
      </c>
      <c r="B801" s="14" t="s">
        <v>14132</v>
      </c>
      <c r="C801" s="15"/>
      <c r="D801" s="15" t="s">
        <v>57</v>
      </c>
      <c r="E801" s="15"/>
      <c r="F801" s="15"/>
      <c r="G801" s="15"/>
      <c r="H801" s="16"/>
    </row>
    <row r="802" spans="1:8" ht="22.5" x14ac:dyDescent="0.3">
      <c r="A802" s="13" t="s">
        <v>14133</v>
      </c>
      <c r="B802" s="14" t="s">
        <v>12999</v>
      </c>
      <c r="C802" s="15" t="s">
        <v>14134</v>
      </c>
      <c r="D802" s="15"/>
      <c r="E802" s="15" t="s">
        <v>57</v>
      </c>
      <c r="F802" s="15" t="s">
        <v>57</v>
      </c>
      <c r="G802" s="15" t="s">
        <v>14135</v>
      </c>
      <c r="H802" s="16" t="s">
        <v>14136</v>
      </c>
    </row>
    <row r="803" spans="1:8" ht="33.75" x14ac:dyDescent="0.3">
      <c r="A803" s="13" t="s">
        <v>14137</v>
      </c>
      <c r="B803" s="14" t="s">
        <v>13007</v>
      </c>
      <c r="C803" s="15" t="s">
        <v>14138</v>
      </c>
      <c r="D803" s="15"/>
      <c r="E803" s="15" t="s">
        <v>57</v>
      </c>
      <c r="F803" s="15" t="s">
        <v>57</v>
      </c>
      <c r="G803" s="15" t="s">
        <v>14139</v>
      </c>
      <c r="H803" s="16" t="s">
        <v>14140</v>
      </c>
    </row>
    <row r="804" spans="1:8" x14ac:dyDescent="0.3">
      <c r="A804" s="13">
        <v>32128</v>
      </c>
      <c r="B804" s="14" t="s">
        <v>14141</v>
      </c>
      <c r="C804" s="15"/>
      <c r="D804" s="15"/>
      <c r="E804" s="15"/>
      <c r="F804" s="15"/>
      <c r="G804" s="15"/>
      <c r="H804" s="16"/>
    </row>
    <row r="805" spans="1:8" ht="22.5" x14ac:dyDescent="0.3">
      <c r="A805" s="13" t="s">
        <v>14142</v>
      </c>
      <c r="B805" s="14" t="s">
        <v>12999</v>
      </c>
      <c r="C805" s="15" t="s">
        <v>14143</v>
      </c>
      <c r="D805" s="15"/>
      <c r="E805" s="15" t="s">
        <v>14144</v>
      </c>
      <c r="F805" s="15" t="s">
        <v>14145</v>
      </c>
      <c r="G805" s="15" t="s">
        <v>14146</v>
      </c>
      <c r="H805" s="16" t="s">
        <v>14146</v>
      </c>
    </row>
    <row r="806" spans="1:8" ht="33.75" x14ac:dyDescent="0.3">
      <c r="A806" s="13" t="s">
        <v>14147</v>
      </c>
      <c r="B806" s="14" t="s">
        <v>13007</v>
      </c>
      <c r="C806" s="15" t="s">
        <v>14148</v>
      </c>
      <c r="D806" s="15" t="s">
        <v>14149</v>
      </c>
      <c r="E806" s="15" t="s">
        <v>14150</v>
      </c>
      <c r="F806" s="15" t="s">
        <v>14151</v>
      </c>
      <c r="G806" s="15" t="s">
        <v>14152</v>
      </c>
      <c r="H806" s="16" t="s">
        <v>14153</v>
      </c>
    </row>
    <row r="807" spans="1:8" x14ac:dyDescent="0.3">
      <c r="A807" s="13">
        <v>32129</v>
      </c>
      <c r="B807" s="14" t="s">
        <v>14154</v>
      </c>
      <c r="C807" s="15"/>
      <c r="D807" s="15"/>
      <c r="E807" s="15"/>
      <c r="F807" s="15"/>
      <c r="G807" s="15"/>
      <c r="H807" s="16"/>
    </row>
    <row r="808" spans="1:8" ht="33.75" x14ac:dyDescent="0.3">
      <c r="A808" s="13" t="s">
        <v>14155</v>
      </c>
      <c r="B808" s="14" t="s">
        <v>12999</v>
      </c>
      <c r="C808" s="15" t="s">
        <v>14156</v>
      </c>
      <c r="D808" s="15" t="s">
        <v>14157</v>
      </c>
      <c r="E808" s="15" t="s">
        <v>14158</v>
      </c>
      <c r="F808" s="15" t="s">
        <v>14159</v>
      </c>
      <c r="G808" s="15" t="s">
        <v>14160</v>
      </c>
      <c r="H808" s="16" t="s">
        <v>14161</v>
      </c>
    </row>
    <row r="809" spans="1:8" ht="33.75" x14ac:dyDescent="0.3">
      <c r="A809" s="13" t="s">
        <v>14162</v>
      </c>
      <c r="B809" s="14" t="s">
        <v>13007</v>
      </c>
      <c r="C809" s="15" t="s">
        <v>14163</v>
      </c>
      <c r="D809" s="15" t="s">
        <v>14164</v>
      </c>
      <c r="E809" s="15" t="s">
        <v>14165</v>
      </c>
      <c r="F809" s="15" t="s">
        <v>14166</v>
      </c>
      <c r="G809" s="15" t="s">
        <v>14167</v>
      </c>
      <c r="H809" s="16" t="s">
        <v>14168</v>
      </c>
    </row>
    <row r="810" spans="1:8" x14ac:dyDescent="0.3">
      <c r="A810" s="13">
        <v>32130</v>
      </c>
      <c r="B810" s="14" t="s">
        <v>14169</v>
      </c>
      <c r="C810" s="15"/>
      <c r="D810" s="15"/>
      <c r="E810" s="15"/>
      <c r="F810" s="15"/>
      <c r="G810" s="15"/>
      <c r="H810" s="16"/>
    </row>
    <row r="811" spans="1:8" ht="33.75" x14ac:dyDescent="0.3">
      <c r="A811" s="13" t="s">
        <v>14170</v>
      </c>
      <c r="B811" s="14" t="s">
        <v>12999</v>
      </c>
      <c r="C811" s="15" t="s">
        <v>14171</v>
      </c>
      <c r="D811" s="15" t="s">
        <v>14172</v>
      </c>
      <c r="E811" s="15" t="s">
        <v>14173</v>
      </c>
      <c r="F811" s="15" t="s">
        <v>14174</v>
      </c>
      <c r="G811" s="15" t="s">
        <v>14175</v>
      </c>
      <c r="H811" s="16" t="s">
        <v>14176</v>
      </c>
    </row>
    <row r="812" spans="1:8" ht="33.75" x14ac:dyDescent="0.3">
      <c r="A812" s="13" t="s">
        <v>14177</v>
      </c>
      <c r="B812" s="14" t="s">
        <v>13007</v>
      </c>
      <c r="C812" s="15" t="s">
        <v>14178</v>
      </c>
      <c r="D812" s="15" t="s">
        <v>14179</v>
      </c>
      <c r="E812" s="15" t="s">
        <v>14180</v>
      </c>
      <c r="F812" s="15" t="s">
        <v>14181</v>
      </c>
      <c r="G812" s="15" t="s">
        <v>14182</v>
      </c>
      <c r="H812" s="16" t="s">
        <v>14183</v>
      </c>
    </row>
    <row r="813" spans="1:8" x14ac:dyDescent="0.3">
      <c r="A813" s="13">
        <v>32131</v>
      </c>
      <c r="B813" s="14" t="s">
        <v>14184</v>
      </c>
      <c r="C813" s="15"/>
      <c r="D813" s="15"/>
      <c r="E813" s="15"/>
      <c r="F813" s="15"/>
      <c r="G813" s="15"/>
      <c r="H813" s="16"/>
    </row>
    <row r="814" spans="1:8" ht="45" x14ac:dyDescent="0.3">
      <c r="A814" s="13" t="s">
        <v>14185</v>
      </c>
      <c r="B814" s="14" t="s">
        <v>12999</v>
      </c>
      <c r="C814" s="15" t="s">
        <v>14186</v>
      </c>
      <c r="D814" s="15" t="s">
        <v>14187</v>
      </c>
      <c r="E814" s="15" t="s">
        <v>14188</v>
      </c>
      <c r="F814" s="15" t="s">
        <v>14189</v>
      </c>
      <c r="G814" s="15" t="s">
        <v>14190</v>
      </c>
      <c r="H814" s="16" t="s">
        <v>14191</v>
      </c>
    </row>
    <row r="815" spans="1:8" ht="33.75" x14ac:dyDescent="0.3">
      <c r="A815" s="13" t="s">
        <v>14192</v>
      </c>
      <c r="B815" s="14" t="s">
        <v>13007</v>
      </c>
      <c r="C815" s="15" t="s">
        <v>14193</v>
      </c>
      <c r="D815" s="15" t="s">
        <v>14194</v>
      </c>
      <c r="E815" s="15" t="s">
        <v>14195</v>
      </c>
      <c r="F815" s="15" t="s">
        <v>14196</v>
      </c>
      <c r="G815" s="15" t="s">
        <v>14197</v>
      </c>
      <c r="H815" s="16" t="s">
        <v>14195</v>
      </c>
    </row>
    <row r="816" spans="1:8" x14ac:dyDescent="0.3">
      <c r="A816" s="13">
        <v>32132</v>
      </c>
      <c r="B816" s="14" t="s">
        <v>14198</v>
      </c>
      <c r="C816" s="15"/>
      <c r="D816" s="15"/>
      <c r="E816" s="15"/>
      <c r="F816" s="15"/>
      <c r="G816" s="15"/>
      <c r="H816" s="16"/>
    </row>
    <row r="817" spans="1:8" ht="56.25" x14ac:dyDescent="0.3">
      <c r="A817" s="13" t="s">
        <v>14199</v>
      </c>
      <c r="B817" s="14" t="s">
        <v>12999</v>
      </c>
      <c r="C817" s="15" t="s">
        <v>14200</v>
      </c>
      <c r="D817" s="15" t="s">
        <v>14201</v>
      </c>
      <c r="E817" s="15" t="s">
        <v>14202</v>
      </c>
      <c r="F817" s="15" t="s">
        <v>14203</v>
      </c>
      <c r="G817" s="15" t="s">
        <v>14204</v>
      </c>
      <c r="H817" s="16" t="s">
        <v>14205</v>
      </c>
    </row>
    <row r="818" spans="1:8" ht="33.75" x14ac:dyDescent="0.3">
      <c r="A818" s="13" t="s">
        <v>14206</v>
      </c>
      <c r="B818" s="14" t="s">
        <v>13007</v>
      </c>
      <c r="C818" s="15" t="s">
        <v>14207</v>
      </c>
      <c r="D818" s="15"/>
      <c r="E818" s="15" t="s">
        <v>14208</v>
      </c>
      <c r="F818" s="15" t="s">
        <v>7566</v>
      </c>
      <c r="G818" s="15" t="s">
        <v>14209</v>
      </c>
      <c r="H818" s="16" t="s">
        <v>14210</v>
      </c>
    </row>
    <row r="819" spans="1:8" x14ac:dyDescent="0.3">
      <c r="A819" s="13">
        <v>32133</v>
      </c>
      <c r="B819" s="14" t="s">
        <v>14211</v>
      </c>
      <c r="C819" s="15"/>
      <c r="D819" s="15"/>
      <c r="E819" s="15"/>
      <c r="F819" s="15"/>
      <c r="G819" s="15"/>
      <c r="H819" s="16"/>
    </row>
    <row r="820" spans="1:8" ht="33.75" x14ac:dyDescent="0.3">
      <c r="A820" s="13" t="s">
        <v>14212</v>
      </c>
      <c r="B820" s="14" t="s">
        <v>12999</v>
      </c>
      <c r="C820" s="15" t="s">
        <v>14213</v>
      </c>
      <c r="D820" s="15" t="s">
        <v>14214</v>
      </c>
      <c r="E820" s="15" t="s">
        <v>14215</v>
      </c>
      <c r="F820" s="15" t="s">
        <v>14216</v>
      </c>
      <c r="G820" s="15" t="s">
        <v>14217</v>
      </c>
      <c r="H820" s="16" t="s">
        <v>14218</v>
      </c>
    </row>
    <row r="821" spans="1:8" ht="33.75" x14ac:dyDescent="0.3">
      <c r="A821" s="13" t="s">
        <v>14219</v>
      </c>
      <c r="B821" s="14" t="s">
        <v>13007</v>
      </c>
      <c r="C821" s="15" t="s">
        <v>14220</v>
      </c>
      <c r="D821" s="15" t="s">
        <v>14221</v>
      </c>
      <c r="E821" s="15" t="s">
        <v>14222</v>
      </c>
      <c r="F821" s="15" t="s">
        <v>14223</v>
      </c>
      <c r="G821" s="15" t="s">
        <v>14224</v>
      </c>
      <c r="H821" s="16" t="s">
        <v>14225</v>
      </c>
    </row>
    <row r="822" spans="1:8" x14ac:dyDescent="0.3">
      <c r="A822" s="13">
        <v>32134</v>
      </c>
      <c r="B822" s="14" t="s">
        <v>14226</v>
      </c>
      <c r="C822" s="15"/>
      <c r="D822" s="15"/>
      <c r="E822" s="15"/>
      <c r="F822" s="15"/>
      <c r="G822" s="15"/>
      <c r="H822" s="16"/>
    </row>
    <row r="823" spans="1:8" ht="67.5" x14ac:dyDescent="0.3">
      <c r="A823" s="13" t="s">
        <v>14227</v>
      </c>
      <c r="B823" s="14" t="s">
        <v>12999</v>
      </c>
      <c r="C823" s="15" t="s">
        <v>14228</v>
      </c>
      <c r="D823" s="15" t="s">
        <v>14229</v>
      </c>
      <c r="E823" s="15" t="s">
        <v>14230</v>
      </c>
      <c r="F823" s="15" t="s">
        <v>14231</v>
      </c>
      <c r="G823" s="15" t="s">
        <v>14232</v>
      </c>
      <c r="H823" s="16" t="s">
        <v>14233</v>
      </c>
    </row>
    <row r="824" spans="1:8" ht="33.75" x14ac:dyDescent="0.3">
      <c r="A824" s="13" t="s">
        <v>14234</v>
      </c>
      <c r="B824" s="14" t="s">
        <v>13007</v>
      </c>
      <c r="C824" s="15" t="s">
        <v>14235</v>
      </c>
      <c r="D824" s="15" t="s">
        <v>14236</v>
      </c>
      <c r="E824" s="15" t="s">
        <v>14237</v>
      </c>
      <c r="F824" s="15" t="s">
        <v>14238</v>
      </c>
      <c r="G824" s="15" t="s">
        <v>14239</v>
      </c>
      <c r="H824" s="16" t="s">
        <v>14240</v>
      </c>
    </row>
    <row r="825" spans="1:8" x14ac:dyDescent="0.3">
      <c r="A825" s="13">
        <v>32135</v>
      </c>
      <c r="B825" s="14" t="s">
        <v>14241</v>
      </c>
      <c r="C825" s="15"/>
      <c r="D825" s="15"/>
      <c r="E825" s="15"/>
      <c r="F825" s="15"/>
      <c r="G825" s="15"/>
      <c r="H825" s="16"/>
    </row>
    <row r="826" spans="1:8" ht="45" x14ac:dyDescent="0.3">
      <c r="A826" s="13" t="s">
        <v>14242</v>
      </c>
      <c r="B826" s="14" t="s">
        <v>12999</v>
      </c>
      <c r="C826" s="15" t="s">
        <v>10640</v>
      </c>
      <c r="D826" s="15" t="s">
        <v>14243</v>
      </c>
      <c r="E826" s="15" t="s">
        <v>14244</v>
      </c>
      <c r="F826" s="15" t="s">
        <v>14245</v>
      </c>
      <c r="G826" s="15" t="s">
        <v>14246</v>
      </c>
      <c r="H826" s="16" t="s">
        <v>14247</v>
      </c>
    </row>
    <row r="827" spans="1:8" ht="33.75" x14ac:dyDescent="0.3">
      <c r="A827" s="13" t="s">
        <v>14248</v>
      </c>
      <c r="B827" s="14" t="s">
        <v>13007</v>
      </c>
      <c r="C827" s="15" t="s">
        <v>14249</v>
      </c>
      <c r="D827" s="15" t="s">
        <v>14250</v>
      </c>
      <c r="E827" s="15" t="s">
        <v>14251</v>
      </c>
      <c r="F827" s="15" t="s">
        <v>14252</v>
      </c>
      <c r="G827" s="15" t="s">
        <v>14252</v>
      </c>
      <c r="H827" s="16"/>
    </row>
    <row r="828" spans="1:8" x14ac:dyDescent="0.3">
      <c r="A828" s="13">
        <v>32136</v>
      </c>
      <c r="B828" s="14" t="s">
        <v>14253</v>
      </c>
      <c r="C828" s="15"/>
      <c r="D828" s="15"/>
      <c r="E828" s="15"/>
      <c r="F828" s="15"/>
      <c r="G828" s="15"/>
      <c r="H828" s="16"/>
    </row>
    <row r="829" spans="1:8" ht="33.75" x14ac:dyDescent="0.3">
      <c r="A829" s="13" t="s">
        <v>14254</v>
      </c>
      <c r="B829" s="14" t="s">
        <v>12999</v>
      </c>
      <c r="C829" s="15" t="s">
        <v>14255</v>
      </c>
      <c r="D829" s="15" t="s">
        <v>14256</v>
      </c>
      <c r="E829" s="15" t="s">
        <v>14257</v>
      </c>
      <c r="F829" s="15" t="s">
        <v>14258</v>
      </c>
      <c r="G829" s="15" t="s">
        <v>14259</v>
      </c>
      <c r="H829" s="16" t="s">
        <v>14260</v>
      </c>
    </row>
    <row r="830" spans="1:8" ht="33.75" x14ac:dyDescent="0.3">
      <c r="A830" s="13" t="s">
        <v>14261</v>
      </c>
      <c r="B830" s="14" t="s">
        <v>13007</v>
      </c>
      <c r="C830" s="15" t="s">
        <v>14262</v>
      </c>
      <c r="D830" s="15" t="s">
        <v>14263</v>
      </c>
      <c r="E830" s="15" t="s">
        <v>14264</v>
      </c>
      <c r="F830" s="15" t="s">
        <v>14265</v>
      </c>
      <c r="G830" s="15" t="s">
        <v>14266</v>
      </c>
      <c r="H830" s="16" t="s">
        <v>14265</v>
      </c>
    </row>
    <row r="831" spans="1:8" ht="22.5" x14ac:dyDescent="0.3">
      <c r="A831" s="13">
        <v>32137</v>
      </c>
      <c r="B831" s="14" t="s">
        <v>14267</v>
      </c>
      <c r="C831" s="15"/>
      <c r="D831" s="15"/>
      <c r="E831" s="15"/>
      <c r="F831" s="15"/>
      <c r="G831" s="15"/>
      <c r="H831" s="16"/>
    </row>
    <row r="832" spans="1:8" ht="78.75" x14ac:dyDescent="0.3">
      <c r="A832" s="13" t="s">
        <v>14268</v>
      </c>
      <c r="B832" s="14" t="s">
        <v>12999</v>
      </c>
      <c r="C832" s="15" t="s">
        <v>14269</v>
      </c>
      <c r="D832" s="15" t="s">
        <v>14270</v>
      </c>
      <c r="E832" s="15" t="s">
        <v>14271</v>
      </c>
      <c r="F832" s="15" t="s">
        <v>14272</v>
      </c>
      <c r="G832" s="15" t="s">
        <v>14273</v>
      </c>
      <c r="H832" s="16" t="s">
        <v>14274</v>
      </c>
    </row>
    <row r="833" spans="1:8" ht="33.75" x14ac:dyDescent="0.3">
      <c r="A833" s="13" t="s">
        <v>14275</v>
      </c>
      <c r="B833" s="14" t="s">
        <v>13007</v>
      </c>
      <c r="C833" s="15" t="s">
        <v>14276</v>
      </c>
      <c r="D833" s="15" t="s">
        <v>14277</v>
      </c>
      <c r="E833" s="15" t="s">
        <v>14278</v>
      </c>
      <c r="F833" s="15" t="s">
        <v>14279</v>
      </c>
      <c r="G833" s="15" t="s">
        <v>14280</v>
      </c>
      <c r="H833" s="16" t="s">
        <v>14278</v>
      </c>
    </row>
    <row r="834" spans="1:8" x14ac:dyDescent="0.3">
      <c r="A834" s="13">
        <v>32138</v>
      </c>
      <c r="B834" s="14" t="s">
        <v>14281</v>
      </c>
      <c r="C834" s="15"/>
      <c r="D834" s="15"/>
      <c r="E834" s="15"/>
      <c r="F834" s="15"/>
      <c r="G834" s="15"/>
      <c r="H834" s="16"/>
    </row>
    <row r="835" spans="1:8" ht="90" x14ac:dyDescent="0.3">
      <c r="A835" s="13" t="s">
        <v>14282</v>
      </c>
      <c r="B835" s="14" t="s">
        <v>12999</v>
      </c>
      <c r="C835" s="15" t="s">
        <v>14283</v>
      </c>
      <c r="D835" s="15" t="s">
        <v>14284</v>
      </c>
      <c r="E835" s="15" t="s">
        <v>14285</v>
      </c>
      <c r="F835" s="15" t="s">
        <v>14286</v>
      </c>
      <c r="G835" s="15" t="s">
        <v>14287</v>
      </c>
      <c r="H835" s="16" t="s">
        <v>14288</v>
      </c>
    </row>
    <row r="836" spans="1:8" ht="45" x14ac:dyDescent="0.3">
      <c r="A836" s="13" t="s">
        <v>14289</v>
      </c>
      <c r="B836" s="14" t="s">
        <v>13007</v>
      </c>
      <c r="C836" s="15" t="s">
        <v>14290</v>
      </c>
      <c r="D836" s="15" t="s">
        <v>14291</v>
      </c>
      <c r="E836" s="15" t="s">
        <v>14292</v>
      </c>
      <c r="F836" s="15" t="s">
        <v>14293</v>
      </c>
      <c r="G836" s="15"/>
      <c r="H836" s="16" t="s">
        <v>14294</v>
      </c>
    </row>
    <row r="837" spans="1:8" x14ac:dyDescent="0.3">
      <c r="A837" s="13">
        <v>32139</v>
      </c>
      <c r="B837" s="14" t="s">
        <v>14295</v>
      </c>
      <c r="C837" s="15"/>
      <c r="D837" s="15"/>
      <c r="E837" s="15"/>
      <c r="F837" s="15"/>
      <c r="G837" s="15"/>
      <c r="H837" s="16"/>
    </row>
    <row r="838" spans="1:8" ht="33.75" x14ac:dyDescent="0.3">
      <c r="A838" s="13" t="s">
        <v>14296</v>
      </c>
      <c r="B838" s="14" t="s">
        <v>12999</v>
      </c>
      <c r="C838" s="15" t="s">
        <v>14297</v>
      </c>
      <c r="D838" s="15" t="s">
        <v>14298</v>
      </c>
      <c r="E838" s="15" t="s">
        <v>14299</v>
      </c>
      <c r="F838" s="15" t="s">
        <v>14300</v>
      </c>
      <c r="G838" s="15" t="s">
        <v>14301</v>
      </c>
      <c r="H838" s="16" t="s">
        <v>14302</v>
      </c>
    </row>
    <row r="839" spans="1:8" ht="33.75" x14ac:dyDescent="0.3">
      <c r="A839" s="13" t="s">
        <v>14303</v>
      </c>
      <c r="B839" s="14" t="s">
        <v>13007</v>
      </c>
      <c r="C839" s="15" t="s">
        <v>14304</v>
      </c>
      <c r="D839" s="15" t="s">
        <v>14305</v>
      </c>
      <c r="E839" s="15" t="s">
        <v>14306</v>
      </c>
      <c r="F839" s="15" t="s">
        <v>14307</v>
      </c>
      <c r="G839" s="15" t="s">
        <v>14308</v>
      </c>
      <c r="H839" s="16" t="s">
        <v>14309</v>
      </c>
    </row>
    <row r="840" spans="1:8" ht="12" x14ac:dyDescent="0.3">
      <c r="A840" s="13">
        <v>32140</v>
      </c>
      <c r="B840" s="14" t="s">
        <v>19768</v>
      </c>
      <c r="C840" s="15"/>
      <c r="D840" s="15"/>
      <c r="E840" s="15"/>
      <c r="F840" s="15"/>
      <c r="G840" s="15"/>
      <c r="H840" s="16"/>
    </row>
    <row r="841" spans="1:8" ht="22.5" x14ac:dyDescent="0.3">
      <c r="A841" s="13" t="s">
        <v>14310</v>
      </c>
      <c r="B841" s="14" t="s">
        <v>12999</v>
      </c>
      <c r="C841" s="15" t="s">
        <v>14311</v>
      </c>
      <c r="D841" s="15" t="s">
        <v>14312</v>
      </c>
      <c r="E841" s="15" t="s">
        <v>14313</v>
      </c>
      <c r="F841" s="15" t="s">
        <v>14314</v>
      </c>
      <c r="G841" s="15" t="s">
        <v>14315</v>
      </c>
      <c r="H841" s="16" t="s">
        <v>14314</v>
      </c>
    </row>
    <row r="842" spans="1:8" ht="33.75" x14ac:dyDescent="0.3">
      <c r="A842" s="13" t="s">
        <v>14316</v>
      </c>
      <c r="B842" s="14" t="s">
        <v>13007</v>
      </c>
      <c r="C842" s="15" t="s">
        <v>14317</v>
      </c>
      <c r="D842" s="15" t="s">
        <v>14318</v>
      </c>
      <c r="E842" s="15" t="s">
        <v>14319</v>
      </c>
      <c r="F842" s="15" t="s">
        <v>14320</v>
      </c>
      <c r="G842" s="15" t="s">
        <v>14321</v>
      </c>
      <c r="H842" s="16" t="s">
        <v>14322</v>
      </c>
    </row>
    <row r="843" spans="1:8" ht="22.5" x14ac:dyDescent="0.3">
      <c r="A843" s="13">
        <v>32141</v>
      </c>
      <c r="B843" s="14" t="s">
        <v>14323</v>
      </c>
      <c r="C843" s="15"/>
      <c r="D843" s="15"/>
      <c r="E843" s="15"/>
      <c r="F843" s="15"/>
      <c r="G843" s="15"/>
      <c r="H843" s="16"/>
    </row>
    <row r="844" spans="1:8" ht="33.75" x14ac:dyDescent="0.3">
      <c r="A844" s="13" t="s">
        <v>14324</v>
      </c>
      <c r="B844" s="14" t="s">
        <v>12999</v>
      </c>
      <c r="C844" s="15" t="s">
        <v>14325</v>
      </c>
      <c r="D844" s="15" t="s">
        <v>14326</v>
      </c>
      <c r="E844" s="15" t="s">
        <v>14327</v>
      </c>
      <c r="F844" s="15" t="s">
        <v>14328</v>
      </c>
      <c r="G844" s="15" t="s">
        <v>14329</v>
      </c>
      <c r="H844" s="16" t="s">
        <v>14330</v>
      </c>
    </row>
    <row r="845" spans="1:8" ht="33.75" x14ac:dyDescent="0.3">
      <c r="A845" s="13" t="s">
        <v>14331</v>
      </c>
      <c r="B845" s="14" t="s">
        <v>13007</v>
      </c>
      <c r="C845" s="15" t="s">
        <v>14332</v>
      </c>
      <c r="D845" s="15" t="s">
        <v>14333</v>
      </c>
      <c r="E845" s="15" t="s">
        <v>14334</v>
      </c>
      <c r="F845" s="15" t="s">
        <v>14335</v>
      </c>
      <c r="G845" s="15" t="s">
        <v>14336</v>
      </c>
      <c r="H845" s="16" t="s">
        <v>13974</v>
      </c>
    </row>
    <row r="846" spans="1:8" x14ac:dyDescent="0.3">
      <c r="A846" s="13">
        <v>32142</v>
      </c>
      <c r="B846" s="14" t="s">
        <v>14337</v>
      </c>
      <c r="C846" s="15"/>
      <c r="D846" s="15"/>
      <c r="E846" s="15"/>
      <c r="F846" s="15"/>
      <c r="G846" s="15"/>
      <c r="H846" s="16"/>
    </row>
    <row r="847" spans="1:8" ht="33.75" x14ac:dyDescent="0.3">
      <c r="A847" s="13" t="s">
        <v>14338</v>
      </c>
      <c r="B847" s="14" t="s">
        <v>12999</v>
      </c>
      <c r="C847" s="15" t="s">
        <v>14339</v>
      </c>
      <c r="D847" s="15" t="s">
        <v>14340</v>
      </c>
      <c r="E847" s="15" t="s">
        <v>14341</v>
      </c>
      <c r="F847" s="15" t="s">
        <v>14342</v>
      </c>
      <c r="G847" s="15" t="s">
        <v>14343</v>
      </c>
      <c r="H847" s="16" t="s">
        <v>14344</v>
      </c>
    </row>
    <row r="848" spans="1:8" ht="33.75" x14ac:dyDescent="0.3">
      <c r="A848" s="13" t="s">
        <v>14345</v>
      </c>
      <c r="B848" s="14" t="s">
        <v>13007</v>
      </c>
      <c r="C848" s="15" t="s">
        <v>14346</v>
      </c>
      <c r="D848" s="15"/>
      <c r="E848" s="15" t="s">
        <v>14347</v>
      </c>
      <c r="F848" s="15" t="s">
        <v>14348</v>
      </c>
      <c r="G848" s="15" t="s">
        <v>14349</v>
      </c>
      <c r="H848" s="16" t="s">
        <v>14349</v>
      </c>
    </row>
    <row r="849" spans="1:8" x14ac:dyDescent="0.3">
      <c r="A849" s="13">
        <v>32143</v>
      </c>
      <c r="B849" s="14" t="s">
        <v>14350</v>
      </c>
      <c r="C849" s="15"/>
      <c r="D849" s="15"/>
      <c r="E849" s="15"/>
      <c r="F849" s="15"/>
      <c r="G849" s="15"/>
      <c r="H849" s="16"/>
    </row>
    <row r="850" spans="1:8" ht="45" x14ac:dyDescent="0.3">
      <c r="A850" s="13" t="s">
        <v>14351</v>
      </c>
      <c r="B850" s="14" t="s">
        <v>12999</v>
      </c>
      <c r="C850" s="15" t="s">
        <v>14352</v>
      </c>
      <c r="D850" s="15" t="s">
        <v>14353</v>
      </c>
      <c r="E850" s="15" t="s">
        <v>14354</v>
      </c>
      <c r="F850" s="15" t="s">
        <v>14355</v>
      </c>
      <c r="G850" s="15" t="s">
        <v>14356</v>
      </c>
      <c r="H850" s="16" t="s">
        <v>14357</v>
      </c>
    </row>
    <row r="851" spans="1:8" ht="33.75" x14ac:dyDescent="0.3">
      <c r="A851" s="13" t="s">
        <v>14358</v>
      </c>
      <c r="B851" s="14" t="s">
        <v>13007</v>
      </c>
      <c r="C851" s="15" t="s">
        <v>14359</v>
      </c>
      <c r="D851" s="15" t="s">
        <v>14360</v>
      </c>
      <c r="E851" s="15" t="s">
        <v>14361</v>
      </c>
      <c r="F851" s="15" t="s">
        <v>14362</v>
      </c>
      <c r="G851" s="15"/>
      <c r="H851" s="16" t="s">
        <v>14363</v>
      </c>
    </row>
    <row r="852" spans="1:8" x14ac:dyDescent="0.3">
      <c r="A852" s="13">
        <v>32144</v>
      </c>
      <c r="B852" s="14" t="s">
        <v>14364</v>
      </c>
      <c r="C852" s="15"/>
      <c r="D852" s="15"/>
      <c r="E852" s="15"/>
      <c r="F852" s="15"/>
      <c r="G852" s="15"/>
      <c r="H852" s="16"/>
    </row>
    <row r="853" spans="1:8" ht="22.5" x14ac:dyDescent="0.3">
      <c r="A853" s="13" t="s">
        <v>14365</v>
      </c>
      <c r="B853" s="14" t="s">
        <v>12999</v>
      </c>
      <c r="C853" s="15" t="s">
        <v>14366</v>
      </c>
      <c r="D853" s="15" t="s">
        <v>14367</v>
      </c>
      <c r="E853" s="15" t="s">
        <v>14368</v>
      </c>
      <c r="F853" s="15" t="s">
        <v>14369</v>
      </c>
      <c r="G853" s="15" t="s">
        <v>14370</v>
      </c>
      <c r="H853" s="16" t="s">
        <v>14371</v>
      </c>
    </row>
    <row r="854" spans="1:8" ht="33.75" x14ac:dyDescent="0.3">
      <c r="A854" s="13" t="s">
        <v>14372</v>
      </c>
      <c r="B854" s="14" t="s">
        <v>13007</v>
      </c>
      <c r="C854" s="15" t="s">
        <v>14373</v>
      </c>
      <c r="D854" s="15" t="s">
        <v>10771</v>
      </c>
      <c r="E854" s="15" t="s">
        <v>14374</v>
      </c>
      <c r="F854" s="15" t="s">
        <v>14375</v>
      </c>
      <c r="G854" s="15" t="s">
        <v>14376</v>
      </c>
      <c r="H854" s="16" t="s">
        <v>14377</v>
      </c>
    </row>
    <row r="855" spans="1:8" x14ac:dyDescent="0.3">
      <c r="A855" s="13">
        <v>32145</v>
      </c>
      <c r="B855" s="14" t="s">
        <v>14378</v>
      </c>
      <c r="C855" s="15"/>
      <c r="D855" s="15"/>
      <c r="E855" s="15"/>
      <c r="F855" s="15"/>
      <c r="G855" s="15"/>
      <c r="H855" s="16"/>
    </row>
    <row r="856" spans="1:8" ht="33.75" x14ac:dyDescent="0.3">
      <c r="A856" s="13" t="s">
        <v>14379</v>
      </c>
      <c r="B856" s="14" t="s">
        <v>12999</v>
      </c>
      <c r="C856" s="15" t="s">
        <v>14380</v>
      </c>
      <c r="D856" s="15" t="s">
        <v>14381</v>
      </c>
      <c r="E856" s="15" t="s">
        <v>14382</v>
      </c>
      <c r="F856" s="15" t="s">
        <v>14383</v>
      </c>
      <c r="G856" s="15" t="s">
        <v>14384</v>
      </c>
      <c r="H856" s="16" t="s">
        <v>14385</v>
      </c>
    </row>
    <row r="857" spans="1:8" ht="33.75" x14ac:dyDescent="0.3">
      <c r="A857" s="13" t="s">
        <v>14386</v>
      </c>
      <c r="B857" s="14" t="s">
        <v>13007</v>
      </c>
      <c r="C857" s="15" t="s">
        <v>14387</v>
      </c>
      <c r="D857" s="15" t="s">
        <v>14388</v>
      </c>
      <c r="E857" s="15" t="s">
        <v>14389</v>
      </c>
      <c r="F857" s="15" t="s">
        <v>14390</v>
      </c>
      <c r="G857" s="15" t="s">
        <v>14391</v>
      </c>
      <c r="H857" s="16" t="s">
        <v>14390</v>
      </c>
    </row>
    <row r="858" spans="1:8" ht="22.5" x14ac:dyDescent="0.3">
      <c r="A858" s="13">
        <v>32146</v>
      </c>
      <c r="B858" s="14" t="s">
        <v>14392</v>
      </c>
      <c r="C858" s="15"/>
      <c r="D858" s="15"/>
      <c r="E858" s="15"/>
      <c r="F858" s="15"/>
      <c r="G858" s="15"/>
      <c r="H858" s="16"/>
    </row>
    <row r="859" spans="1:8" ht="22.5" x14ac:dyDescent="0.3">
      <c r="A859" s="13" t="s">
        <v>14393</v>
      </c>
      <c r="B859" s="14" t="s">
        <v>12999</v>
      </c>
      <c r="C859" s="15" t="s">
        <v>14394</v>
      </c>
      <c r="D859" s="15" t="s">
        <v>14395</v>
      </c>
      <c r="E859" s="15" t="s">
        <v>14396</v>
      </c>
      <c r="F859" s="15" t="s">
        <v>14397</v>
      </c>
      <c r="G859" s="15" t="s">
        <v>14398</v>
      </c>
      <c r="H859" s="16" t="s">
        <v>14399</v>
      </c>
    </row>
    <row r="860" spans="1:8" ht="33.75" x14ac:dyDescent="0.3">
      <c r="A860" s="13" t="s">
        <v>14400</v>
      </c>
      <c r="B860" s="14" t="s">
        <v>13007</v>
      </c>
      <c r="C860" s="15" t="s">
        <v>14401</v>
      </c>
      <c r="D860" s="15" t="s">
        <v>14402</v>
      </c>
      <c r="E860" s="15" t="s">
        <v>14403</v>
      </c>
      <c r="F860" s="15" t="s">
        <v>14404</v>
      </c>
      <c r="G860" s="15" t="s">
        <v>14405</v>
      </c>
      <c r="H860" s="16" t="s">
        <v>14406</v>
      </c>
    </row>
    <row r="861" spans="1:8" x14ac:dyDescent="0.3">
      <c r="A861" s="13">
        <v>32147</v>
      </c>
      <c r="B861" s="14" t="s">
        <v>14407</v>
      </c>
      <c r="C861" s="15"/>
      <c r="D861" s="15"/>
      <c r="E861" s="15"/>
      <c r="F861" s="15"/>
      <c r="G861" s="15"/>
      <c r="H861" s="16"/>
    </row>
    <row r="862" spans="1:8" ht="33.75" x14ac:dyDescent="0.3">
      <c r="A862" s="13" t="s">
        <v>14408</v>
      </c>
      <c r="B862" s="14" t="s">
        <v>12999</v>
      </c>
      <c r="C862" s="15" t="s">
        <v>14409</v>
      </c>
      <c r="D862" s="15" t="s">
        <v>14410</v>
      </c>
      <c r="E862" s="15" t="s">
        <v>14411</v>
      </c>
      <c r="F862" s="15" t="s">
        <v>14412</v>
      </c>
      <c r="G862" s="15" t="s">
        <v>14413</v>
      </c>
      <c r="H862" s="16" t="s">
        <v>14414</v>
      </c>
    </row>
    <row r="863" spans="1:8" ht="33.75" x14ac:dyDescent="0.3">
      <c r="A863" s="13" t="s">
        <v>14415</v>
      </c>
      <c r="B863" s="14" t="s">
        <v>13007</v>
      </c>
      <c r="C863" s="15" t="s">
        <v>14416</v>
      </c>
      <c r="D863" s="15"/>
      <c r="E863" s="15" t="s">
        <v>14417</v>
      </c>
      <c r="F863" s="15" t="s">
        <v>14418</v>
      </c>
      <c r="G863" s="15" t="s">
        <v>14419</v>
      </c>
      <c r="H863" s="16" t="s">
        <v>14420</v>
      </c>
    </row>
    <row r="864" spans="1:8" x14ac:dyDescent="0.3">
      <c r="A864" s="13">
        <v>32148</v>
      </c>
      <c r="B864" s="14" t="s">
        <v>14421</v>
      </c>
      <c r="C864" s="15"/>
      <c r="D864" s="15"/>
      <c r="E864" s="15"/>
      <c r="F864" s="15"/>
      <c r="G864" s="15"/>
      <c r="H864" s="16"/>
    </row>
    <row r="865" spans="1:8" ht="22.5" x14ac:dyDescent="0.3">
      <c r="A865" s="13" t="s">
        <v>14422</v>
      </c>
      <c r="B865" s="14" t="s">
        <v>12999</v>
      </c>
      <c r="C865" s="15" t="s">
        <v>14423</v>
      </c>
      <c r="D865" s="15" t="s">
        <v>14424</v>
      </c>
      <c r="E865" s="15" t="s">
        <v>14425</v>
      </c>
      <c r="F865" s="15" t="s">
        <v>10584</v>
      </c>
      <c r="G865" s="15" t="s">
        <v>10584</v>
      </c>
      <c r="H865" s="16" t="s">
        <v>14426</v>
      </c>
    </row>
    <row r="866" spans="1:8" ht="33.75" x14ac:dyDescent="0.3">
      <c r="A866" s="13" t="s">
        <v>14427</v>
      </c>
      <c r="B866" s="14" t="s">
        <v>13007</v>
      </c>
      <c r="C866" s="15" t="s">
        <v>14428</v>
      </c>
      <c r="D866" s="15" t="s">
        <v>14429</v>
      </c>
      <c r="E866" s="15" t="s">
        <v>14430</v>
      </c>
      <c r="F866" s="15" t="s">
        <v>14431</v>
      </c>
      <c r="G866" s="15" t="s">
        <v>14432</v>
      </c>
      <c r="H866" s="16" t="s">
        <v>14433</v>
      </c>
    </row>
    <row r="867" spans="1:8" x14ac:dyDescent="0.3">
      <c r="A867" s="13">
        <v>32149</v>
      </c>
      <c r="B867" s="14" t="s">
        <v>14434</v>
      </c>
      <c r="C867" s="15"/>
      <c r="D867" s="15"/>
      <c r="E867" s="15"/>
      <c r="F867" s="15"/>
      <c r="G867" s="15"/>
      <c r="H867" s="16"/>
    </row>
    <row r="868" spans="1:8" ht="56.25" x14ac:dyDescent="0.3">
      <c r="A868" s="13" t="s">
        <v>14435</v>
      </c>
      <c r="B868" s="14" t="s">
        <v>12999</v>
      </c>
      <c r="C868" s="15" t="s">
        <v>14436</v>
      </c>
      <c r="D868" s="15" t="s">
        <v>14437</v>
      </c>
      <c r="E868" s="15" t="s">
        <v>14438</v>
      </c>
      <c r="F868" s="15" t="s">
        <v>14439</v>
      </c>
      <c r="G868" s="15" t="s">
        <v>14440</v>
      </c>
      <c r="H868" s="16" t="s">
        <v>14441</v>
      </c>
    </row>
    <row r="869" spans="1:8" ht="33.75" x14ac:dyDescent="0.3">
      <c r="A869" s="13" t="s">
        <v>14442</v>
      </c>
      <c r="B869" s="14" t="s">
        <v>13007</v>
      </c>
      <c r="C869" s="15" t="s">
        <v>14443</v>
      </c>
      <c r="D869" s="15" t="s">
        <v>14444</v>
      </c>
      <c r="E869" s="15" t="s">
        <v>14445</v>
      </c>
      <c r="F869" s="15" t="s">
        <v>14446</v>
      </c>
      <c r="G869" s="15" t="s">
        <v>14447</v>
      </c>
      <c r="H869" s="16" t="s">
        <v>14448</v>
      </c>
    </row>
    <row r="870" spans="1:8" x14ac:dyDescent="0.3">
      <c r="A870" s="13">
        <v>32150</v>
      </c>
      <c r="B870" s="14" t="s">
        <v>14449</v>
      </c>
      <c r="C870" s="15"/>
      <c r="D870" s="15"/>
      <c r="E870" s="15"/>
      <c r="F870" s="15"/>
      <c r="G870" s="15"/>
      <c r="H870" s="16"/>
    </row>
    <row r="871" spans="1:8" ht="45" x14ac:dyDescent="0.3">
      <c r="A871" s="13" t="s">
        <v>14450</v>
      </c>
      <c r="B871" s="14" t="s">
        <v>12999</v>
      </c>
      <c r="C871" s="15" t="s">
        <v>14451</v>
      </c>
      <c r="D871" s="15" t="s">
        <v>14452</v>
      </c>
      <c r="E871" s="15" t="s">
        <v>14453</v>
      </c>
      <c r="F871" s="15" t="s">
        <v>14454</v>
      </c>
      <c r="G871" s="15" t="s">
        <v>14455</v>
      </c>
      <c r="H871" s="16" t="s">
        <v>14456</v>
      </c>
    </row>
    <row r="872" spans="1:8" ht="33.75" x14ac:dyDescent="0.3">
      <c r="A872" s="13" t="s">
        <v>14457</v>
      </c>
      <c r="B872" s="14" t="s">
        <v>13007</v>
      </c>
      <c r="C872" s="15" t="s">
        <v>14458</v>
      </c>
      <c r="D872" s="15" t="s">
        <v>14459</v>
      </c>
      <c r="E872" s="15" t="s">
        <v>14460</v>
      </c>
      <c r="F872" s="15" t="s">
        <v>14461</v>
      </c>
      <c r="G872" s="15" t="s">
        <v>14462</v>
      </c>
      <c r="H872" s="16" t="s">
        <v>14463</v>
      </c>
    </row>
    <row r="873" spans="1:8" x14ac:dyDescent="0.3">
      <c r="A873" s="13">
        <v>32151</v>
      </c>
      <c r="B873" s="14" t="s">
        <v>14464</v>
      </c>
      <c r="C873" s="15"/>
      <c r="D873" s="15"/>
      <c r="E873" s="15"/>
      <c r="F873" s="15"/>
      <c r="G873" s="15"/>
      <c r="H873" s="16"/>
    </row>
    <row r="874" spans="1:8" ht="22.5" x14ac:dyDescent="0.3">
      <c r="A874" s="13" t="s">
        <v>14465</v>
      </c>
      <c r="B874" s="14" t="s">
        <v>12999</v>
      </c>
      <c r="C874" s="15" t="s">
        <v>14466</v>
      </c>
      <c r="D874" s="15" t="s">
        <v>14467</v>
      </c>
      <c r="E874" s="15" t="s">
        <v>14468</v>
      </c>
      <c r="F874" s="15" t="s">
        <v>14469</v>
      </c>
      <c r="G874" s="15" t="s">
        <v>14470</v>
      </c>
      <c r="H874" s="16" t="s">
        <v>14471</v>
      </c>
    </row>
    <row r="875" spans="1:8" ht="33.75" x14ac:dyDescent="0.3">
      <c r="A875" s="13" t="s">
        <v>14472</v>
      </c>
      <c r="B875" s="14" t="s">
        <v>13007</v>
      </c>
      <c r="C875" s="15" t="s">
        <v>14473</v>
      </c>
      <c r="D875" s="15" t="s">
        <v>14474</v>
      </c>
      <c r="E875" s="15" t="s">
        <v>14475</v>
      </c>
      <c r="F875" s="15" t="s">
        <v>14476</v>
      </c>
      <c r="G875" s="15" t="s">
        <v>14477</v>
      </c>
      <c r="H875" s="16" t="s">
        <v>14478</v>
      </c>
    </row>
    <row r="876" spans="1:8" ht="22.5" x14ac:dyDescent="0.3">
      <c r="A876" s="13">
        <v>32152</v>
      </c>
      <c r="B876" s="14" t="s">
        <v>14479</v>
      </c>
      <c r="C876" s="15"/>
      <c r="D876" s="15"/>
      <c r="E876" s="15"/>
      <c r="F876" s="15"/>
      <c r="G876" s="15"/>
      <c r="H876" s="16"/>
    </row>
    <row r="877" spans="1:8" ht="22.5" x14ac:dyDescent="0.3">
      <c r="A877" s="13" t="s">
        <v>14480</v>
      </c>
      <c r="B877" s="14" t="s">
        <v>12999</v>
      </c>
      <c r="C877" s="15" t="s">
        <v>14481</v>
      </c>
      <c r="D877" s="15" t="s">
        <v>14482</v>
      </c>
      <c r="E877" s="15" t="s">
        <v>14483</v>
      </c>
      <c r="F877" s="15" t="s">
        <v>14484</v>
      </c>
      <c r="G877" s="15" t="s">
        <v>14484</v>
      </c>
      <c r="H877" s="16" t="s">
        <v>14485</v>
      </c>
    </row>
    <row r="878" spans="1:8" ht="33.75" x14ac:dyDescent="0.3">
      <c r="A878" s="13" t="s">
        <v>14486</v>
      </c>
      <c r="B878" s="14" t="s">
        <v>13007</v>
      </c>
      <c r="C878" s="15" t="s">
        <v>14487</v>
      </c>
      <c r="D878" s="15" t="s">
        <v>14488</v>
      </c>
      <c r="E878" s="15" t="s">
        <v>14489</v>
      </c>
      <c r="F878" s="15" t="s">
        <v>14489</v>
      </c>
      <c r="G878" s="15" t="s">
        <v>14489</v>
      </c>
      <c r="H878" s="16" t="s">
        <v>14490</v>
      </c>
    </row>
    <row r="879" spans="1:8" x14ac:dyDescent="0.3">
      <c r="A879" s="13">
        <v>32153</v>
      </c>
      <c r="B879" s="14" t="s">
        <v>14491</v>
      </c>
      <c r="C879" s="15"/>
      <c r="D879" s="15"/>
      <c r="E879" s="15"/>
      <c r="F879" s="15"/>
      <c r="G879" s="15"/>
      <c r="H879" s="16"/>
    </row>
    <row r="880" spans="1:8" ht="22.5" x14ac:dyDescent="0.3">
      <c r="A880" s="13" t="s">
        <v>14492</v>
      </c>
      <c r="B880" s="14" t="s">
        <v>12999</v>
      </c>
      <c r="C880" s="15" t="s">
        <v>14493</v>
      </c>
      <c r="D880" s="15" t="s">
        <v>14494</v>
      </c>
      <c r="E880" s="15" t="s">
        <v>14495</v>
      </c>
      <c r="F880" s="15" t="s">
        <v>14496</v>
      </c>
      <c r="G880" s="15" t="s">
        <v>14497</v>
      </c>
      <c r="H880" s="16" t="s">
        <v>14496</v>
      </c>
    </row>
    <row r="881" spans="1:8" ht="33.75" x14ac:dyDescent="0.3">
      <c r="A881" s="13" t="s">
        <v>14498</v>
      </c>
      <c r="B881" s="14" t="s">
        <v>13007</v>
      </c>
      <c r="C881" s="15" t="s">
        <v>14493</v>
      </c>
      <c r="D881" s="15" t="s">
        <v>14499</v>
      </c>
      <c r="E881" s="15" t="s">
        <v>14500</v>
      </c>
      <c r="F881" s="15" t="s">
        <v>14501</v>
      </c>
      <c r="G881" s="15" t="s">
        <v>14502</v>
      </c>
      <c r="H881" s="16" t="s">
        <v>14501</v>
      </c>
    </row>
    <row r="882" spans="1:8" x14ac:dyDescent="0.3">
      <c r="A882" s="13">
        <v>32154</v>
      </c>
      <c r="B882" s="14" t="s">
        <v>14503</v>
      </c>
      <c r="C882" s="15"/>
      <c r="D882" s="15"/>
      <c r="E882" s="15"/>
      <c r="F882" s="15"/>
      <c r="G882" s="15"/>
      <c r="H882" s="16"/>
    </row>
    <row r="883" spans="1:8" ht="22.5" x14ac:dyDescent="0.3">
      <c r="A883" s="13" t="s">
        <v>14504</v>
      </c>
      <c r="B883" s="14" t="s">
        <v>12999</v>
      </c>
      <c r="C883" s="15" t="s">
        <v>14505</v>
      </c>
      <c r="D883" s="15" t="s">
        <v>14506</v>
      </c>
      <c r="E883" s="15" t="s">
        <v>14507</v>
      </c>
      <c r="F883" s="15" t="s">
        <v>14508</v>
      </c>
      <c r="G883" s="15" t="s">
        <v>14509</v>
      </c>
      <c r="H883" s="16" t="s">
        <v>14510</v>
      </c>
    </row>
    <row r="884" spans="1:8" ht="33.75" x14ac:dyDescent="0.3">
      <c r="A884" s="13" t="s">
        <v>14511</v>
      </c>
      <c r="B884" s="14" t="s">
        <v>13007</v>
      </c>
      <c r="C884" s="15" t="s">
        <v>14512</v>
      </c>
      <c r="D884" s="15" t="s">
        <v>14513</v>
      </c>
      <c r="E884" s="15" t="s">
        <v>14514</v>
      </c>
      <c r="F884" s="15" t="s">
        <v>14515</v>
      </c>
      <c r="G884" s="15" t="s">
        <v>14516</v>
      </c>
      <c r="H884" s="16" t="s">
        <v>14517</v>
      </c>
    </row>
    <row r="885" spans="1:8" x14ac:dyDescent="0.3">
      <c r="A885" s="13">
        <v>32155</v>
      </c>
      <c r="B885" s="14" t="s">
        <v>14518</v>
      </c>
      <c r="C885" s="15"/>
      <c r="D885" s="15"/>
      <c r="E885" s="15"/>
      <c r="F885" s="15"/>
      <c r="G885" s="15"/>
      <c r="H885" s="16"/>
    </row>
    <row r="886" spans="1:8" ht="78.75" x14ac:dyDescent="0.3">
      <c r="A886" s="13" t="s">
        <v>14519</v>
      </c>
      <c r="B886" s="14" t="s">
        <v>12999</v>
      </c>
      <c r="C886" s="15" t="s">
        <v>14520</v>
      </c>
      <c r="D886" s="15" t="s">
        <v>14521</v>
      </c>
      <c r="E886" s="15"/>
      <c r="F886" s="15"/>
      <c r="G886" s="15" t="s">
        <v>14522</v>
      </c>
      <c r="H886" s="16" t="s">
        <v>14523</v>
      </c>
    </row>
    <row r="887" spans="1:8" ht="45" x14ac:dyDescent="0.3">
      <c r="A887" s="13" t="s">
        <v>14524</v>
      </c>
      <c r="B887" s="14" t="s">
        <v>13007</v>
      </c>
      <c r="C887" s="15" t="s">
        <v>14525</v>
      </c>
      <c r="D887" s="15" t="s">
        <v>14526</v>
      </c>
      <c r="E887" s="15"/>
      <c r="F887" s="15" t="s">
        <v>14527</v>
      </c>
      <c r="G887" s="15" t="s">
        <v>14527</v>
      </c>
      <c r="H887" s="16" t="s">
        <v>14528</v>
      </c>
    </row>
    <row r="888" spans="1:8" x14ac:dyDescent="0.3">
      <c r="A888" s="13">
        <v>32156</v>
      </c>
      <c r="B888" s="14" t="s">
        <v>14529</v>
      </c>
      <c r="C888" s="15"/>
      <c r="D888" s="15"/>
      <c r="E888" s="15"/>
      <c r="F888" s="15"/>
      <c r="G888" s="15"/>
      <c r="H888" s="16"/>
    </row>
    <row r="889" spans="1:8" ht="33.75" x14ac:dyDescent="0.3">
      <c r="A889" s="13" t="s">
        <v>14530</v>
      </c>
      <c r="B889" s="14" t="s">
        <v>12999</v>
      </c>
      <c r="C889" s="15" t="s">
        <v>14531</v>
      </c>
      <c r="D889" s="15"/>
      <c r="E889" s="15" t="s">
        <v>14532</v>
      </c>
      <c r="F889" s="15" t="s">
        <v>14533</v>
      </c>
      <c r="G889" s="15" t="s">
        <v>14534</v>
      </c>
      <c r="H889" s="16" t="s">
        <v>14535</v>
      </c>
    </row>
    <row r="890" spans="1:8" ht="33.75" x14ac:dyDescent="0.3">
      <c r="A890" s="13" t="s">
        <v>14536</v>
      </c>
      <c r="B890" s="14" t="s">
        <v>13007</v>
      </c>
      <c r="C890" s="15" t="s">
        <v>14537</v>
      </c>
      <c r="D890" s="15" t="s">
        <v>14538</v>
      </c>
      <c r="E890" s="15" t="s">
        <v>14539</v>
      </c>
      <c r="F890" s="15" t="s">
        <v>14540</v>
      </c>
      <c r="G890" s="15" t="s">
        <v>14540</v>
      </c>
      <c r="H890" s="16" t="s">
        <v>14541</v>
      </c>
    </row>
    <row r="891" spans="1:8" x14ac:dyDescent="0.3">
      <c r="A891" s="13">
        <v>32157</v>
      </c>
      <c r="B891" s="14" t="s">
        <v>14542</v>
      </c>
      <c r="C891" s="15"/>
      <c r="D891" s="15"/>
      <c r="E891" s="15"/>
      <c r="F891" s="15"/>
      <c r="G891" s="15"/>
      <c r="H891" s="16"/>
    </row>
    <row r="892" spans="1:8" ht="33.75" x14ac:dyDescent="0.3">
      <c r="A892" s="13" t="s">
        <v>14543</v>
      </c>
      <c r="B892" s="14" t="s">
        <v>12999</v>
      </c>
      <c r="C892" s="15" t="s">
        <v>14544</v>
      </c>
      <c r="D892" s="15" t="s">
        <v>14545</v>
      </c>
      <c r="E892" s="15" t="s">
        <v>14546</v>
      </c>
      <c r="F892" s="15" t="s">
        <v>14547</v>
      </c>
      <c r="G892" s="15" t="s">
        <v>14548</v>
      </c>
      <c r="H892" s="16" t="s">
        <v>14549</v>
      </c>
    </row>
    <row r="893" spans="1:8" ht="135" x14ac:dyDescent="0.3">
      <c r="A893" s="13" t="s">
        <v>14550</v>
      </c>
      <c r="B893" s="14" t="s">
        <v>13007</v>
      </c>
      <c r="C893" s="15" t="s">
        <v>14551</v>
      </c>
      <c r="D893" s="15" t="s">
        <v>14552</v>
      </c>
      <c r="E893" s="15" t="s">
        <v>14553</v>
      </c>
      <c r="F893" s="15" t="s">
        <v>14554</v>
      </c>
      <c r="G893" s="15" t="s">
        <v>14555</v>
      </c>
      <c r="H893" s="16" t="s">
        <v>14556</v>
      </c>
    </row>
    <row r="894" spans="1:8" x14ac:dyDescent="0.3">
      <c r="A894" s="13">
        <v>32158</v>
      </c>
      <c r="B894" s="14" t="s">
        <v>14557</v>
      </c>
      <c r="C894" s="15"/>
      <c r="D894" s="15"/>
      <c r="E894" s="15"/>
      <c r="F894" s="15"/>
      <c r="G894" s="15"/>
      <c r="H894" s="16"/>
    </row>
    <row r="895" spans="1:8" ht="45" x14ac:dyDescent="0.3">
      <c r="A895" s="13" t="s">
        <v>14558</v>
      </c>
      <c r="B895" s="14" t="s">
        <v>12999</v>
      </c>
      <c r="C895" s="15" t="s">
        <v>14559</v>
      </c>
      <c r="D895" s="15" t="s">
        <v>14560</v>
      </c>
      <c r="E895" s="15" t="s">
        <v>14561</v>
      </c>
      <c r="F895" s="15" t="s">
        <v>14562</v>
      </c>
      <c r="G895" s="15" t="s">
        <v>14563</v>
      </c>
      <c r="H895" s="16" t="s">
        <v>14564</v>
      </c>
    </row>
    <row r="896" spans="1:8" ht="45" x14ac:dyDescent="0.3">
      <c r="A896" s="13" t="s">
        <v>14565</v>
      </c>
      <c r="B896" s="14" t="s">
        <v>13007</v>
      </c>
      <c r="C896" s="15" t="s">
        <v>14566</v>
      </c>
      <c r="D896" s="15" t="s">
        <v>14567</v>
      </c>
      <c r="E896" s="15" t="s">
        <v>14568</v>
      </c>
      <c r="F896" s="15" t="s">
        <v>14569</v>
      </c>
      <c r="G896" s="15" t="s">
        <v>14570</v>
      </c>
      <c r="H896" s="16" t="s">
        <v>14571</v>
      </c>
    </row>
    <row r="897" spans="1:8" x14ac:dyDescent="0.3">
      <c r="A897" s="13">
        <v>32159</v>
      </c>
      <c r="B897" s="14" t="s">
        <v>14572</v>
      </c>
      <c r="C897" s="15"/>
      <c r="D897" s="15"/>
      <c r="E897" s="15"/>
      <c r="F897" s="15"/>
      <c r="G897" s="15"/>
      <c r="H897" s="16"/>
    </row>
    <row r="898" spans="1:8" ht="33.75" x14ac:dyDescent="0.3">
      <c r="A898" s="13" t="s">
        <v>14573</v>
      </c>
      <c r="B898" s="14" t="s">
        <v>12999</v>
      </c>
      <c r="C898" s="15" t="s">
        <v>14574</v>
      </c>
      <c r="D898" s="15" t="s">
        <v>14575</v>
      </c>
      <c r="E898" s="15" t="s">
        <v>14576</v>
      </c>
      <c r="F898" s="15" t="s">
        <v>14577</v>
      </c>
      <c r="G898" s="15" t="s">
        <v>14578</v>
      </c>
      <c r="H898" s="16" t="s">
        <v>14579</v>
      </c>
    </row>
    <row r="899" spans="1:8" ht="33.75" x14ac:dyDescent="0.3">
      <c r="A899" s="13" t="s">
        <v>14580</v>
      </c>
      <c r="B899" s="14" t="s">
        <v>13007</v>
      </c>
      <c r="C899" s="15" t="s">
        <v>14581</v>
      </c>
      <c r="D899" s="15" t="s">
        <v>14582</v>
      </c>
      <c r="E899" s="15" t="s">
        <v>14583</v>
      </c>
      <c r="F899" s="15" t="s">
        <v>14584</v>
      </c>
      <c r="G899" s="15" t="s">
        <v>14585</v>
      </c>
      <c r="H899" s="16" t="s">
        <v>14586</v>
      </c>
    </row>
    <row r="900" spans="1:8" x14ac:dyDescent="0.3">
      <c r="A900" s="13">
        <v>32160</v>
      </c>
      <c r="B900" s="14" t="s">
        <v>14587</v>
      </c>
      <c r="C900" s="15"/>
      <c r="D900" s="15"/>
      <c r="E900" s="15"/>
      <c r="F900" s="15"/>
      <c r="G900" s="15"/>
      <c r="H900" s="16"/>
    </row>
    <row r="901" spans="1:8" ht="67.5" x14ac:dyDescent="0.3">
      <c r="A901" s="13" t="s">
        <v>14588</v>
      </c>
      <c r="B901" s="14" t="s">
        <v>12999</v>
      </c>
      <c r="C901" s="15" t="s">
        <v>14589</v>
      </c>
      <c r="D901" s="15" t="s">
        <v>14590</v>
      </c>
      <c r="E901" s="15" t="s">
        <v>14591</v>
      </c>
      <c r="F901" s="15" t="s">
        <v>14592</v>
      </c>
      <c r="G901" s="15" t="s">
        <v>14593</v>
      </c>
      <c r="H901" s="16" t="s">
        <v>14594</v>
      </c>
    </row>
    <row r="902" spans="1:8" ht="33.75" x14ac:dyDescent="0.3">
      <c r="A902" s="13" t="s">
        <v>14595</v>
      </c>
      <c r="B902" s="14" t="s">
        <v>13007</v>
      </c>
      <c r="C902" s="15" t="s">
        <v>14596</v>
      </c>
      <c r="D902" s="15" t="s">
        <v>14597</v>
      </c>
      <c r="E902" s="15" t="s">
        <v>14598</v>
      </c>
      <c r="F902" s="15" t="s">
        <v>14599</v>
      </c>
      <c r="G902" s="15" t="s">
        <v>14599</v>
      </c>
      <c r="H902" s="16" t="s">
        <v>14600</v>
      </c>
    </row>
    <row r="903" spans="1:8" x14ac:dyDescent="0.3">
      <c r="A903" s="13">
        <v>32161</v>
      </c>
      <c r="B903" s="14" t="s">
        <v>14601</v>
      </c>
      <c r="C903" s="15"/>
      <c r="D903" s="15"/>
      <c r="E903" s="15"/>
      <c r="F903" s="15"/>
      <c r="G903" s="15"/>
      <c r="H903" s="16"/>
    </row>
    <row r="904" spans="1:8" ht="33.75" x14ac:dyDescent="0.3">
      <c r="A904" s="13" t="s">
        <v>14602</v>
      </c>
      <c r="B904" s="14" t="s">
        <v>12999</v>
      </c>
      <c r="C904" s="15" t="s">
        <v>14603</v>
      </c>
      <c r="D904" s="15" t="s">
        <v>14604</v>
      </c>
      <c r="E904" s="15" t="s">
        <v>14605</v>
      </c>
      <c r="F904" s="15" t="s">
        <v>14606</v>
      </c>
      <c r="G904" s="15" t="s">
        <v>14607</v>
      </c>
      <c r="H904" s="16" t="s">
        <v>14608</v>
      </c>
    </row>
    <row r="905" spans="1:8" ht="33.75" x14ac:dyDescent="0.3">
      <c r="A905" s="13" t="s">
        <v>14609</v>
      </c>
      <c r="B905" s="14" t="s">
        <v>13007</v>
      </c>
      <c r="C905" s="15" t="s">
        <v>14610</v>
      </c>
      <c r="D905" s="15" t="s">
        <v>14611</v>
      </c>
      <c r="E905" s="15" t="s">
        <v>14612</v>
      </c>
      <c r="F905" s="15" t="s">
        <v>14612</v>
      </c>
      <c r="G905" s="15" t="s">
        <v>14612</v>
      </c>
      <c r="H905" s="16" t="s">
        <v>14612</v>
      </c>
    </row>
    <row r="906" spans="1:8" x14ac:dyDescent="0.3">
      <c r="A906" s="13">
        <v>32162</v>
      </c>
      <c r="B906" s="14" t="s">
        <v>14613</v>
      </c>
      <c r="C906" s="15"/>
      <c r="D906" s="15"/>
      <c r="E906" s="15"/>
      <c r="F906" s="15"/>
      <c r="G906" s="15"/>
      <c r="H906" s="16"/>
    </row>
    <row r="907" spans="1:8" ht="33.75" x14ac:dyDescent="0.3">
      <c r="A907" s="13" t="s">
        <v>14614</v>
      </c>
      <c r="B907" s="14" t="s">
        <v>12999</v>
      </c>
      <c r="C907" s="15" t="s">
        <v>14615</v>
      </c>
      <c r="D907" s="15" t="s">
        <v>14616</v>
      </c>
      <c r="E907" s="15" t="s">
        <v>14617</v>
      </c>
      <c r="F907" s="15" t="s">
        <v>14618</v>
      </c>
      <c r="G907" s="15" t="s">
        <v>14619</v>
      </c>
      <c r="H907" s="16" t="s">
        <v>14619</v>
      </c>
    </row>
    <row r="908" spans="1:8" ht="45" x14ac:dyDescent="0.3">
      <c r="A908" s="13" t="s">
        <v>14620</v>
      </c>
      <c r="B908" s="14" t="s">
        <v>13007</v>
      </c>
      <c r="C908" s="15" t="s">
        <v>14621</v>
      </c>
      <c r="D908" s="15" t="s">
        <v>14622</v>
      </c>
      <c r="E908" s="15" t="s">
        <v>14623</v>
      </c>
      <c r="F908" s="15" t="s">
        <v>14624</v>
      </c>
      <c r="G908" s="15" t="s">
        <v>14625</v>
      </c>
      <c r="H908" s="16" t="s">
        <v>14626</v>
      </c>
    </row>
    <row r="909" spans="1:8" ht="23.25" x14ac:dyDescent="0.3">
      <c r="A909" s="13">
        <v>32163</v>
      </c>
      <c r="B909" s="14" t="s">
        <v>19769</v>
      </c>
      <c r="C909" s="15"/>
      <c r="D909" s="15"/>
      <c r="E909" s="15"/>
      <c r="F909" s="15"/>
      <c r="G909" s="15"/>
      <c r="H909" s="16"/>
    </row>
    <row r="910" spans="1:8" ht="22.5" x14ac:dyDescent="0.3">
      <c r="A910" s="13" t="s">
        <v>14627</v>
      </c>
      <c r="B910" s="14" t="s">
        <v>12999</v>
      </c>
      <c r="C910" s="15" t="s">
        <v>14628</v>
      </c>
      <c r="D910" s="15" t="s">
        <v>14629</v>
      </c>
      <c r="E910" s="15" t="s">
        <v>14630</v>
      </c>
      <c r="F910" s="15" t="s">
        <v>14631</v>
      </c>
      <c r="G910" s="15" t="s">
        <v>14632</v>
      </c>
      <c r="H910" s="16" t="s">
        <v>14633</v>
      </c>
    </row>
    <row r="911" spans="1:8" ht="45" x14ac:dyDescent="0.3">
      <c r="A911" s="13" t="s">
        <v>14634</v>
      </c>
      <c r="B911" s="14" t="s">
        <v>13007</v>
      </c>
      <c r="C911" s="15" t="s">
        <v>14635</v>
      </c>
      <c r="D911" s="15" t="s">
        <v>14636</v>
      </c>
      <c r="E911" s="15" t="s">
        <v>14637</v>
      </c>
      <c r="F911" s="15" t="s">
        <v>14638</v>
      </c>
      <c r="G911" s="15" t="s">
        <v>14637</v>
      </c>
      <c r="H911" s="16" t="s">
        <v>14639</v>
      </c>
    </row>
    <row r="912" spans="1:8" x14ac:dyDescent="0.3">
      <c r="A912" s="13">
        <v>32164</v>
      </c>
      <c r="B912" s="14" t="s">
        <v>14640</v>
      </c>
      <c r="C912" s="15"/>
      <c r="D912" s="15"/>
      <c r="E912" s="15"/>
      <c r="F912" s="15"/>
      <c r="G912" s="15"/>
      <c r="H912" s="16"/>
    </row>
    <row r="913" spans="1:8" ht="45" x14ac:dyDescent="0.3">
      <c r="A913" s="13" t="s">
        <v>14641</v>
      </c>
      <c r="B913" s="14" t="s">
        <v>12999</v>
      </c>
      <c r="C913" s="15" t="s">
        <v>14642</v>
      </c>
      <c r="D913" s="15" t="s">
        <v>14643</v>
      </c>
      <c r="E913" s="15" t="s">
        <v>14644</v>
      </c>
      <c r="F913" s="15" t="s">
        <v>14645</v>
      </c>
      <c r="G913" s="15" t="s">
        <v>14646</v>
      </c>
      <c r="H913" s="16" t="s">
        <v>14647</v>
      </c>
    </row>
    <row r="914" spans="1:8" ht="33.75" x14ac:dyDescent="0.3">
      <c r="A914" s="13" t="s">
        <v>14648</v>
      </c>
      <c r="B914" s="14" t="s">
        <v>13007</v>
      </c>
      <c r="C914" s="15" t="s">
        <v>14649</v>
      </c>
      <c r="D914" s="15" t="s">
        <v>14650</v>
      </c>
      <c r="E914" s="15" t="s">
        <v>14651</v>
      </c>
      <c r="F914" s="15" t="s">
        <v>14652</v>
      </c>
      <c r="G914" s="15" t="s">
        <v>14653</v>
      </c>
      <c r="H914" s="16" t="s">
        <v>14654</v>
      </c>
    </row>
    <row r="915" spans="1:8" x14ac:dyDescent="0.3">
      <c r="A915" s="13">
        <v>32165</v>
      </c>
      <c r="B915" s="14" t="s">
        <v>14655</v>
      </c>
      <c r="C915" s="15"/>
      <c r="D915" s="15"/>
      <c r="E915" s="15"/>
      <c r="F915" s="15"/>
      <c r="G915" s="15"/>
      <c r="H915" s="16"/>
    </row>
    <row r="916" spans="1:8" ht="45" x14ac:dyDescent="0.3">
      <c r="A916" s="13" t="s">
        <v>14656</v>
      </c>
      <c r="B916" s="14" t="s">
        <v>12999</v>
      </c>
      <c r="C916" s="15" t="s">
        <v>14657</v>
      </c>
      <c r="D916" s="15" t="s">
        <v>14658</v>
      </c>
      <c r="E916" s="15" t="s">
        <v>14659</v>
      </c>
      <c r="F916" s="15" t="s">
        <v>14660</v>
      </c>
      <c r="G916" s="15" t="s">
        <v>14661</v>
      </c>
      <c r="H916" s="16" t="s">
        <v>14662</v>
      </c>
    </row>
    <row r="917" spans="1:8" ht="33.75" x14ac:dyDescent="0.3">
      <c r="A917" s="13" t="s">
        <v>14663</v>
      </c>
      <c r="B917" s="14" t="s">
        <v>13007</v>
      </c>
      <c r="C917" s="15" t="s">
        <v>14664</v>
      </c>
      <c r="D917" s="15" t="s">
        <v>14665</v>
      </c>
      <c r="E917" s="15" t="s">
        <v>14666</v>
      </c>
      <c r="F917" s="15" t="s">
        <v>14666</v>
      </c>
      <c r="G917" s="15" t="s">
        <v>14667</v>
      </c>
      <c r="H917" s="16" t="s">
        <v>14668</v>
      </c>
    </row>
    <row r="918" spans="1:8" x14ac:dyDescent="0.3">
      <c r="A918" s="13">
        <v>32166</v>
      </c>
      <c r="B918" s="14" t="s">
        <v>14669</v>
      </c>
      <c r="C918" s="15"/>
      <c r="D918" s="15"/>
      <c r="E918" s="15"/>
      <c r="F918" s="15"/>
      <c r="G918" s="15"/>
      <c r="H918" s="16"/>
    </row>
    <row r="919" spans="1:8" ht="33.75" x14ac:dyDescent="0.3">
      <c r="A919" s="13" t="s">
        <v>14670</v>
      </c>
      <c r="B919" s="14" t="s">
        <v>12999</v>
      </c>
      <c r="C919" s="15" t="s">
        <v>14671</v>
      </c>
      <c r="D919" s="15" t="s">
        <v>14672</v>
      </c>
      <c r="E919" s="15" t="s">
        <v>14673</v>
      </c>
      <c r="F919" s="15" t="s">
        <v>14674</v>
      </c>
      <c r="G919" s="15" t="s">
        <v>14675</v>
      </c>
      <c r="H919" s="16" t="s">
        <v>14676</v>
      </c>
    </row>
    <row r="920" spans="1:8" ht="33.75" x14ac:dyDescent="0.3">
      <c r="A920" s="13" t="s">
        <v>14677</v>
      </c>
      <c r="B920" s="14" t="s">
        <v>13007</v>
      </c>
      <c r="C920" s="15" t="s">
        <v>10295</v>
      </c>
      <c r="D920" s="15" t="s">
        <v>14678</v>
      </c>
      <c r="E920" s="15" t="s">
        <v>14679</v>
      </c>
      <c r="F920" s="15" t="s">
        <v>10298</v>
      </c>
      <c r="G920" s="15" t="s">
        <v>14680</v>
      </c>
      <c r="H920" s="16" t="s">
        <v>14681</v>
      </c>
    </row>
    <row r="921" spans="1:8" x14ac:dyDescent="0.3">
      <c r="A921" s="13">
        <v>32167</v>
      </c>
      <c r="B921" s="14" t="s">
        <v>14682</v>
      </c>
      <c r="C921" s="15"/>
      <c r="D921" s="15"/>
      <c r="E921" s="15"/>
      <c r="F921" s="15"/>
      <c r="G921" s="15"/>
      <c r="H921" s="16"/>
    </row>
    <row r="922" spans="1:8" ht="33.75" x14ac:dyDescent="0.3">
      <c r="A922" s="13" t="s">
        <v>14683</v>
      </c>
      <c r="B922" s="14" t="s">
        <v>12999</v>
      </c>
      <c r="C922" s="15" t="s">
        <v>14684</v>
      </c>
      <c r="D922" s="15" t="s">
        <v>14685</v>
      </c>
      <c r="E922" s="15" t="s">
        <v>14686</v>
      </c>
      <c r="F922" s="15" t="s">
        <v>14687</v>
      </c>
      <c r="G922" s="15" t="s">
        <v>14688</v>
      </c>
      <c r="H922" s="16" t="s">
        <v>14689</v>
      </c>
    </row>
    <row r="923" spans="1:8" ht="33.75" x14ac:dyDescent="0.3">
      <c r="A923" s="13" t="s">
        <v>14690</v>
      </c>
      <c r="B923" s="14" t="s">
        <v>13007</v>
      </c>
      <c r="C923" s="15" t="s">
        <v>14691</v>
      </c>
      <c r="D923" s="15" t="s">
        <v>14692</v>
      </c>
      <c r="E923" s="15" t="s">
        <v>14693</v>
      </c>
      <c r="F923" s="15" t="s">
        <v>14694</v>
      </c>
      <c r="G923" s="15" t="s">
        <v>14695</v>
      </c>
      <c r="H923" s="16" t="s">
        <v>14696</v>
      </c>
    </row>
    <row r="924" spans="1:8" x14ac:dyDescent="0.3">
      <c r="A924" s="13">
        <v>32168</v>
      </c>
      <c r="B924" s="14" t="s">
        <v>14697</v>
      </c>
      <c r="C924" s="15"/>
      <c r="D924" s="15"/>
      <c r="E924" s="15"/>
      <c r="F924" s="15"/>
      <c r="G924" s="15"/>
      <c r="H924" s="16"/>
    </row>
    <row r="925" spans="1:8" ht="33.75" x14ac:dyDescent="0.3">
      <c r="A925" s="13" t="s">
        <v>14698</v>
      </c>
      <c r="B925" s="14" t="s">
        <v>12999</v>
      </c>
      <c r="C925" s="15" t="s">
        <v>14699</v>
      </c>
      <c r="D925" s="15" t="s">
        <v>14700</v>
      </c>
      <c r="E925" s="15" t="s">
        <v>14701</v>
      </c>
      <c r="F925" s="15" t="s">
        <v>14701</v>
      </c>
      <c r="G925" s="15" t="s">
        <v>14701</v>
      </c>
      <c r="H925" s="16" t="s">
        <v>14702</v>
      </c>
    </row>
    <row r="926" spans="1:8" ht="33.75" x14ac:dyDescent="0.3">
      <c r="A926" s="13" t="s">
        <v>14703</v>
      </c>
      <c r="B926" s="14" t="s">
        <v>13007</v>
      </c>
      <c r="C926" s="15" t="s">
        <v>14704</v>
      </c>
      <c r="D926" s="15"/>
      <c r="E926" s="15" t="s">
        <v>14705</v>
      </c>
      <c r="F926" s="15" t="s">
        <v>14706</v>
      </c>
      <c r="G926" s="15" t="s">
        <v>14707</v>
      </c>
      <c r="H926" s="16" t="s">
        <v>14707</v>
      </c>
    </row>
    <row r="927" spans="1:8" x14ac:dyDescent="0.3">
      <c r="A927" s="13">
        <v>32169</v>
      </c>
      <c r="B927" s="14" t="s">
        <v>14708</v>
      </c>
      <c r="C927" s="15"/>
      <c r="D927" s="15"/>
      <c r="E927" s="15"/>
      <c r="F927" s="15"/>
      <c r="G927" s="15"/>
      <c r="H927" s="16"/>
    </row>
    <row r="928" spans="1:8" ht="22.5" x14ac:dyDescent="0.3">
      <c r="A928" s="13" t="s">
        <v>14709</v>
      </c>
      <c r="B928" s="14" t="s">
        <v>12999</v>
      </c>
      <c r="C928" s="15" t="s">
        <v>14710</v>
      </c>
      <c r="D928" s="15" t="s">
        <v>14711</v>
      </c>
      <c r="E928" s="15" t="s">
        <v>14712</v>
      </c>
      <c r="F928" s="15" t="s">
        <v>14712</v>
      </c>
      <c r="G928" s="15" t="s">
        <v>14713</v>
      </c>
      <c r="H928" s="16" t="s">
        <v>14714</v>
      </c>
    </row>
    <row r="929" spans="1:8" ht="33.75" x14ac:dyDescent="0.3">
      <c r="A929" s="13" t="s">
        <v>14715</v>
      </c>
      <c r="B929" s="14" t="s">
        <v>13007</v>
      </c>
      <c r="C929" s="15" t="s">
        <v>14716</v>
      </c>
      <c r="D929" s="15"/>
      <c r="E929" s="15" t="s">
        <v>14717</v>
      </c>
      <c r="F929" s="15" t="s">
        <v>14718</v>
      </c>
      <c r="G929" s="15" t="s">
        <v>14719</v>
      </c>
      <c r="H929" s="16" t="s">
        <v>14720</v>
      </c>
    </row>
    <row r="930" spans="1:8" ht="23.25" x14ac:dyDescent="0.3">
      <c r="A930" s="13">
        <v>32170</v>
      </c>
      <c r="B930" s="14" t="s">
        <v>19770</v>
      </c>
      <c r="C930" s="15"/>
      <c r="D930" s="15"/>
      <c r="E930" s="15"/>
      <c r="F930" s="15"/>
      <c r="G930" s="15"/>
      <c r="H930" s="16"/>
    </row>
    <row r="931" spans="1:8" ht="56.25" x14ac:dyDescent="0.3">
      <c r="A931" s="13" t="s">
        <v>14721</v>
      </c>
      <c r="B931" s="14" t="s">
        <v>12999</v>
      </c>
      <c r="C931" s="15" t="s">
        <v>14722</v>
      </c>
      <c r="D931" s="15" t="s">
        <v>14723</v>
      </c>
      <c r="E931" s="15" t="s">
        <v>14724</v>
      </c>
      <c r="F931" s="15" t="s">
        <v>14725</v>
      </c>
      <c r="G931" s="15" t="s">
        <v>13553</v>
      </c>
      <c r="H931" s="16" t="s">
        <v>14726</v>
      </c>
    </row>
    <row r="932" spans="1:8" ht="45" x14ac:dyDescent="0.3">
      <c r="A932" s="13" t="s">
        <v>14727</v>
      </c>
      <c r="B932" s="14" t="s">
        <v>13007</v>
      </c>
      <c r="C932" s="15" t="s">
        <v>14728</v>
      </c>
      <c r="D932" s="15" t="s">
        <v>14729</v>
      </c>
      <c r="E932" s="15" t="s">
        <v>14730</v>
      </c>
      <c r="F932" s="15" t="s">
        <v>14731</v>
      </c>
      <c r="G932" s="15" t="s">
        <v>14731</v>
      </c>
      <c r="H932" s="16" t="s">
        <v>14732</v>
      </c>
    </row>
    <row r="933" spans="1:8" x14ac:dyDescent="0.3">
      <c r="A933" s="13">
        <v>32171</v>
      </c>
      <c r="B933" s="14" t="s">
        <v>14733</v>
      </c>
      <c r="C933" s="15"/>
      <c r="D933" s="15"/>
      <c r="E933" s="15"/>
      <c r="F933" s="15"/>
      <c r="G933" s="15"/>
      <c r="H933" s="16"/>
    </row>
    <row r="934" spans="1:8" ht="78.75" x14ac:dyDescent="0.3">
      <c r="A934" s="13" t="s">
        <v>14734</v>
      </c>
      <c r="B934" s="14" t="s">
        <v>12999</v>
      </c>
      <c r="C934" s="15" t="s">
        <v>14735</v>
      </c>
      <c r="D934" s="15" t="s">
        <v>14736</v>
      </c>
      <c r="E934" s="15" t="s">
        <v>14737</v>
      </c>
      <c r="F934" s="15" t="s">
        <v>14738</v>
      </c>
      <c r="G934" s="15" t="s">
        <v>14739</v>
      </c>
      <c r="H934" s="16" t="s">
        <v>14740</v>
      </c>
    </row>
    <row r="935" spans="1:8" ht="67.5" x14ac:dyDescent="0.3">
      <c r="A935" s="13" t="s">
        <v>14741</v>
      </c>
      <c r="B935" s="14" t="s">
        <v>13007</v>
      </c>
      <c r="C935" s="15" t="s">
        <v>14742</v>
      </c>
      <c r="D935" s="15" t="s">
        <v>14743</v>
      </c>
      <c r="E935" s="15" t="s">
        <v>14744</v>
      </c>
      <c r="F935" s="15" t="s">
        <v>14745</v>
      </c>
      <c r="G935" s="15" t="s">
        <v>14746</v>
      </c>
      <c r="H935" s="16" t="s">
        <v>14747</v>
      </c>
    </row>
    <row r="936" spans="1:8" x14ac:dyDescent="0.3">
      <c r="A936" s="13">
        <v>32172</v>
      </c>
      <c r="B936" s="14" t="s">
        <v>14748</v>
      </c>
      <c r="C936" s="15"/>
      <c r="D936" s="15"/>
      <c r="E936" s="15"/>
      <c r="F936" s="15"/>
      <c r="G936" s="15"/>
      <c r="H936" s="16"/>
    </row>
    <row r="937" spans="1:8" ht="33.75" x14ac:dyDescent="0.3">
      <c r="A937" s="13" t="s">
        <v>14749</v>
      </c>
      <c r="B937" s="14" t="s">
        <v>12999</v>
      </c>
      <c r="C937" s="15" t="s">
        <v>14750</v>
      </c>
      <c r="D937" s="15"/>
      <c r="E937" s="15" t="s">
        <v>14751</v>
      </c>
      <c r="F937" s="15" t="s">
        <v>14752</v>
      </c>
      <c r="G937" s="15" t="s">
        <v>14753</v>
      </c>
      <c r="H937" s="16" t="s">
        <v>14754</v>
      </c>
    </row>
    <row r="938" spans="1:8" ht="33.75" x14ac:dyDescent="0.3">
      <c r="A938" s="13" t="s">
        <v>14755</v>
      </c>
      <c r="B938" s="14" t="s">
        <v>13007</v>
      </c>
      <c r="C938" s="15" t="s">
        <v>14756</v>
      </c>
      <c r="D938" s="15"/>
      <c r="E938" s="15" t="s">
        <v>14757</v>
      </c>
      <c r="F938" s="15" t="s">
        <v>14758</v>
      </c>
      <c r="G938" s="15" t="s">
        <v>14759</v>
      </c>
      <c r="H938" s="16" t="s">
        <v>14760</v>
      </c>
    </row>
    <row r="939" spans="1:8" x14ac:dyDescent="0.3">
      <c r="A939" s="13">
        <v>32173</v>
      </c>
      <c r="B939" s="14" t="s">
        <v>14761</v>
      </c>
      <c r="C939" s="15"/>
      <c r="D939" s="15"/>
      <c r="E939" s="15"/>
      <c r="F939" s="15"/>
      <c r="G939" s="15"/>
      <c r="H939" s="16"/>
    </row>
    <row r="940" spans="1:8" ht="90" x14ac:dyDescent="0.3">
      <c r="A940" s="13" t="s">
        <v>14762</v>
      </c>
      <c r="B940" s="14" t="s">
        <v>12999</v>
      </c>
      <c r="C940" s="15" t="s">
        <v>14763</v>
      </c>
      <c r="D940" s="15" t="s">
        <v>14764</v>
      </c>
      <c r="E940" s="15" t="s">
        <v>14765</v>
      </c>
      <c r="F940" s="15" t="s">
        <v>14766</v>
      </c>
      <c r="G940" s="15" t="s">
        <v>14767</v>
      </c>
      <c r="H940" s="16" t="s">
        <v>14768</v>
      </c>
    </row>
    <row r="941" spans="1:8" ht="45" x14ac:dyDescent="0.3">
      <c r="A941" s="13" t="s">
        <v>14769</v>
      </c>
      <c r="B941" s="14" t="s">
        <v>13007</v>
      </c>
      <c r="C941" s="15" t="s">
        <v>14770</v>
      </c>
      <c r="D941" s="15" t="s">
        <v>14771</v>
      </c>
      <c r="E941" s="15" t="s">
        <v>14772</v>
      </c>
      <c r="F941" s="15" t="s">
        <v>14773</v>
      </c>
      <c r="G941" s="15" t="s">
        <v>14774</v>
      </c>
      <c r="H941" s="16" t="s">
        <v>14775</v>
      </c>
    </row>
    <row r="942" spans="1:8" x14ac:dyDescent="0.3">
      <c r="A942" s="13">
        <v>32174</v>
      </c>
      <c r="B942" s="14" t="s">
        <v>14776</v>
      </c>
      <c r="C942" s="15"/>
      <c r="D942" s="15" t="s">
        <v>14777</v>
      </c>
      <c r="E942" s="15"/>
      <c r="F942" s="15"/>
      <c r="G942" s="15"/>
      <c r="H942" s="16"/>
    </row>
    <row r="943" spans="1:8" ht="45" x14ac:dyDescent="0.3">
      <c r="A943" s="13" t="s">
        <v>14778</v>
      </c>
      <c r="B943" s="14" t="s">
        <v>12999</v>
      </c>
      <c r="C943" s="15" t="s">
        <v>14779</v>
      </c>
      <c r="D943" s="15" t="s">
        <v>14780</v>
      </c>
      <c r="E943" s="15" t="s">
        <v>14781</v>
      </c>
      <c r="F943" s="15" t="s">
        <v>14782</v>
      </c>
      <c r="G943" s="15" t="s">
        <v>14783</v>
      </c>
      <c r="H943" s="16" t="s">
        <v>14784</v>
      </c>
    </row>
    <row r="944" spans="1:8" ht="33.75" x14ac:dyDescent="0.3">
      <c r="A944" s="13" t="s">
        <v>14785</v>
      </c>
      <c r="B944" s="14" t="s">
        <v>13007</v>
      </c>
      <c r="C944" s="15" t="s">
        <v>14786</v>
      </c>
      <c r="D944" s="15" t="s">
        <v>14787</v>
      </c>
      <c r="E944" s="15" t="s">
        <v>14788</v>
      </c>
      <c r="F944" s="15" t="s">
        <v>14789</v>
      </c>
      <c r="G944" s="15" t="s">
        <v>14790</v>
      </c>
      <c r="H944" s="16" t="s">
        <v>14791</v>
      </c>
    </row>
    <row r="945" spans="1:8" ht="22.5" x14ac:dyDescent="0.3">
      <c r="A945" s="13">
        <v>32175</v>
      </c>
      <c r="B945" s="14" t="s">
        <v>14792</v>
      </c>
      <c r="C945" s="15"/>
      <c r="D945" s="15" t="s">
        <v>14793</v>
      </c>
      <c r="E945" s="15"/>
      <c r="F945" s="15"/>
      <c r="G945" s="15"/>
      <c r="H945" s="16"/>
    </row>
    <row r="946" spans="1:8" ht="33.75" x14ac:dyDescent="0.3">
      <c r="A946" s="13" t="s">
        <v>14794</v>
      </c>
      <c r="B946" s="14" t="s">
        <v>12999</v>
      </c>
      <c r="C946" s="15" t="s">
        <v>14795</v>
      </c>
      <c r="D946" s="15" t="s">
        <v>14796</v>
      </c>
      <c r="E946" s="15" t="s">
        <v>14797</v>
      </c>
      <c r="F946" s="15" t="s">
        <v>14798</v>
      </c>
      <c r="G946" s="15" t="s">
        <v>14799</v>
      </c>
      <c r="H946" s="16"/>
    </row>
    <row r="947" spans="1:8" ht="33.75" x14ac:dyDescent="0.3">
      <c r="A947" s="13" t="s">
        <v>14800</v>
      </c>
      <c r="B947" s="14" t="s">
        <v>13007</v>
      </c>
      <c r="C947" s="15" t="s">
        <v>14801</v>
      </c>
      <c r="D947" s="15" t="s">
        <v>14802</v>
      </c>
      <c r="E947" s="15" t="s">
        <v>14803</v>
      </c>
      <c r="F947" s="15" t="s">
        <v>14804</v>
      </c>
      <c r="G947" s="15" t="s">
        <v>14805</v>
      </c>
      <c r="H947" s="16" t="s">
        <v>14806</v>
      </c>
    </row>
    <row r="948" spans="1:8" x14ac:dyDescent="0.3">
      <c r="A948" s="13">
        <v>32176</v>
      </c>
      <c r="B948" s="14" t="s">
        <v>14807</v>
      </c>
      <c r="C948" s="15"/>
      <c r="D948" s="15"/>
      <c r="E948" s="15"/>
      <c r="F948" s="15"/>
      <c r="G948" s="15"/>
      <c r="H948" s="16"/>
    </row>
    <row r="949" spans="1:8" ht="33.75" x14ac:dyDescent="0.3">
      <c r="A949" s="13" t="s">
        <v>14808</v>
      </c>
      <c r="B949" s="14" t="s">
        <v>12999</v>
      </c>
      <c r="C949" s="15" t="s">
        <v>14809</v>
      </c>
      <c r="D949" s="15" t="s">
        <v>14810</v>
      </c>
      <c r="E949" s="15" t="s">
        <v>14811</v>
      </c>
      <c r="F949" s="15" t="s">
        <v>14812</v>
      </c>
      <c r="G949" s="15" t="s">
        <v>14813</v>
      </c>
      <c r="H949" s="16" t="s">
        <v>14814</v>
      </c>
    </row>
    <row r="950" spans="1:8" ht="56.25" x14ac:dyDescent="0.3">
      <c r="A950" s="13" t="s">
        <v>14815</v>
      </c>
      <c r="B950" s="14" t="s">
        <v>13007</v>
      </c>
      <c r="C950" s="15" t="s">
        <v>14816</v>
      </c>
      <c r="D950" s="15" t="s">
        <v>14817</v>
      </c>
      <c r="E950" s="15" t="s">
        <v>14818</v>
      </c>
      <c r="F950" s="15" t="s">
        <v>14819</v>
      </c>
      <c r="G950" s="15" t="s">
        <v>14820</v>
      </c>
      <c r="H950" s="16" t="s">
        <v>14821</v>
      </c>
    </row>
    <row r="951" spans="1:8" x14ac:dyDescent="0.3">
      <c r="A951" s="13">
        <v>32177</v>
      </c>
      <c r="B951" s="14" t="s">
        <v>14822</v>
      </c>
      <c r="C951" s="15"/>
      <c r="D951" s="15"/>
      <c r="E951" s="15"/>
      <c r="F951" s="15"/>
      <c r="G951" s="15"/>
      <c r="H951" s="16"/>
    </row>
    <row r="952" spans="1:8" ht="22.5" x14ac:dyDescent="0.3">
      <c r="A952" s="13" t="s">
        <v>14823</v>
      </c>
      <c r="B952" s="14" t="s">
        <v>12999</v>
      </c>
      <c r="C952" s="15" t="s">
        <v>14824</v>
      </c>
      <c r="D952" s="15" t="s">
        <v>14825</v>
      </c>
      <c r="E952" s="15" t="s">
        <v>14826</v>
      </c>
      <c r="F952" s="15" t="s">
        <v>14827</v>
      </c>
      <c r="G952" s="15" t="s">
        <v>14828</v>
      </c>
      <c r="H952" s="16" t="s">
        <v>14829</v>
      </c>
    </row>
    <row r="953" spans="1:8" ht="33.75" x14ac:dyDescent="0.3">
      <c r="A953" s="13" t="s">
        <v>14830</v>
      </c>
      <c r="B953" s="14" t="s">
        <v>13007</v>
      </c>
      <c r="C953" s="15" t="s">
        <v>14831</v>
      </c>
      <c r="D953" s="15"/>
      <c r="E953" s="15" t="s">
        <v>14832</v>
      </c>
      <c r="F953" s="15" t="s">
        <v>14833</v>
      </c>
      <c r="G953" s="15" t="s">
        <v>14834</v>
      </c>
      <c r="H953" s="16" t="s">
        <v>14835</v>
      </c>
    </row>
    <row r="954" spans="1:8" x14ac:dyDescent="0.3">
      <c r="A954" s="13">
        <v>32178</v>
      </c>
      <c r="B954" s="14" t="s">
        <v>14836</v>
      </c>
      <c r="C954" s="15"/>
      <c r="D954" s="15"/>
      <c r="E954" s="15"/>
      <c r="F954" s="15"/>
      <c r="G954" s="15"/>
      <c r="H954" s="16"/>
    </row>
    <row r="955" spans="1:8" ht="45" x14ac:dyDescent="0.3">
      <c r="A955" s="13" t="s">
        <v>14837</v>
      </c>
      <c r="B955" s="14" t="s">
        <v>12999</v>
      </c>
      <c r="C955" s="15" t="s">
        <v>14838</v>
      </c>
      <c r="D955" s="15" t="s">
        <v>14839</v>
      </c>
      <c r="E955" s="15" t="s">
        <v>14840</v>
      </c>
      <c r="F955" s="15" t="s">
        <v>14841</v>
      </c>
      <c r="G955" s="15" t="s">
        <v>14842</v>
      </c>
      <c r="H955" s="16"/>
    </row>
    <row r="956" spans="1:8" ht="33.75" x14ac:dyDescent="0.3">
      <c r="A956" s="13" t="s">
        <v>14843</v>
      </c>
      <c r="B956" s="14" t="s">
        <v>13007</v>
      </c>
      <c r="C956" s="15" t="s">
        <v>14844</v>
      </c>
      <c r="D956" s="15" t="s">
        <v>14845</v>
      </c>
      <c r="E956" s="15" t="s">
        <v>14846</v>
      </c>
      <c r="F956" s="15" t="s">
        <v>14847</v>
      </c>
      <c r="G956" s="15" t="s">
        <v>14848</v>
      </c>
      <c r="H956" s="16"/>
    </row>
    <row r="957" spans="1:8" x14ac:dyDescent="0.3">
      <c r="A957" s="13">
        <v>32179</v>
      </c>
      <c r="B957" s="14" t="s">
        <v>14849</v>
      </c>
      <c r="C957" s="15"/>
      <c r="D957" s="15"/>
      <c r="E957" s="15"/>
      <c r="F957" s="15"/>
      <c r="G957" s="15"/>
      <c r="H957" s="16"/>
    </row>
    <row r="958" spans="1:8" ht="45" x14ac:dyDescent="0.3">
      <c r="A958" s="13" t="s">
        <v>14850</v>
      </c>
      <c r="B958" s="14" t="s">
        <v>12999</v>
      </c>
      <c r="C958" s="15" t="s">
        <v>14851</v>
      </c>
      <c r="D958" s="15" t="s">
        <v>14852</v>
      </c>
      <c r="E958" s="15" t="s">
        <v>14853</v>
      </c>
      <c r="F958" s="15" t="s">
        <v>14854</v>
      </c>
      <c r="G958" s="15" t="s">
        <v>14855</v>
      </c>
      <c r="H958" s="16"/>
    </row>
    <row r="959" spans="1:8" ht="56.25" x14ac:dyDescent="0.3">
      <c r="A959" s="13" t="s">
        <v>14856</v>
      </c>
      <c r="B959" s="14" t="s">
        <v>13007</v>
      </c>
      <c r="C959" s="15" t="s">
        <v>14857</v>
      </c>
      <c r="D959" s="15" t="s">
        <v>14858</v>
      </c>
      <c r="E959" s="15" t="s">
        <v>14859</v>
      </c>
      <c r="F959" s="15" t="s">
        <v>14860</v>
      </c>
      <c r="G959" s="15" t="s">
        <v>14861</v>
      </c>
      <c r="H959" s="16"/>
    </row>
    <row r="960" spans="1:8" x14ac:dyDescent="0.3">
      <c r="A960" s="13">
        <v>32180</v>
      </c>
      <c r="B960" s="14" t="s">
        <v>14862</v>
      </c>
      <c r="C960" s="15"/>
      <c r="D960" s="15"/>
      <c r="E960" s="15"/>
      <c r="F960" s="15"/>
      <c r="G960" s="15"/>
      <c r="H960" s="16"/>
    </row>
    <row r="961" spans="1:8" ht="56.25" x14ac:dyDescent="0.3">
      <c r="A961" s="13" t="s">
        <v>14863</v>
      </c>
      <c r="B961" s="14" t="s">
        <v>12999</v>
      </c>
      <c r="C961" s="15" t="s">
        <v>14864</v>
      </c>
      <c r="D961" s="15"/>
      <c r="E961" s="15" t="s">
        <v>14865</v>
      </c>
      <c r="F961" s="15"/>
      <c r="G961" s="15" t="s">
        <v>14866</v>
      </c>
      <c r="H961" s="16"/>
    </row>
    <row r="962" spans="1:8" ht="45" x14ac:dyDescent="0.3">
      <c r="A962" s="13" t="s">
        <v>14867</v>
      </c>
      <c r="B962" s="14" t="s">
        <v>13007</v>
      </c>
      <c r="C962" s="15" t="s">
        <v>14868</v>
      </c>
      <c r="D962" s="15"/>
      <c r="E962" s="15"/>
      <c r="F962" s="15" t="s">
        <v>14869</v>
      </c>
      <c r="G962" s="15" t="s">
        <v>14870</v>
      </c>
      <c r="H962" s="16"/>
    </row>
    <row r="963" spans="1:8" x14ac:dyDescent="0.3">
      <c r="A963" s="13">
        <v>32181</v>
      </c>
      <c r="B963" s="14" t="s">
        <v>14871</v>
      </c>
      <c r="C963" s="15"/>
      <c r="D963" s="15"/>
      <c r="E963" s="15"/>
      <c r="F963" s="15"/>
      <c r="G963" s="15"/>
      <c r="H963" s="16"/>
    </row>
    <row r="964" spans="1:8" ht="22.5" x14ac:dyDescent="0.3">
      <c r="A964" s="13" t="s">
        <v>14872</v>
      </c>
      <c r="B964" s="14" t="s">
        <v>12999</v>
      </c>
      <c r="C964" s="15" t="s">
        <v>14873</v>
      </c>
      <c r="D964" s="15" t="s">
        <v>14874</v>
      </c>
      <c r="E964" s="15" t="s">
        <v>14875</v>
      </c>
      <c r="F964" s="15" t="s">
        <v>14876</v>
      </c>
      <c r="G964" s="15" t="s">
        <v>14877</v>
      </c>
      <c r="H964" s="16"/>
    </row>
    <row r="965" spans="1:8" ht="56.25" x14ac:dyDescent="0.3">
      <c r="A965" s="13" t="s">
        <v>14878</v>
      </c>
      <c r="B965" s="14" t="s">
        <v>13007</v>
      </c>
      <c r="C965" s="15" t="s">
        <v>14879</v>
      </c>
      <c r="D965" s="15" t="s">
        <v>14880</v>
      </c>
      <c r="E965" s="15" t="s">
        <v>14881</v>
      </c>
      <c r="F965" s="15" t="s">
        <v>14881</v>
      </c>
      <c r="G965" s="15" t="s">
        <v>14881</v>
      </c>
      <c r="H965" s="16"/>
    </row>
    <row r="966" spans="1:8" x14ac:dyDescent="0.3">
      <c r="A966" s="13">
        <v>32182</v>
      </c>
      <c r="B966" s="14" t="s">
        <v>14882</v>
      </c>
      <c r="C966" s="15"/>
      <c r="D966" s="15"/>
      <c r="E966" s="15"/>
      <c r="F966" s="15"/>
      <c r="G966" s="15"/>
      <c r="H966" s="16"/>
    </row>
    <row r="967" spans="1:8" ht="22.5" x14ac:dyDescent="0.3">
      <c r="A967" s="13" t="s">
        <v>14883</v>
      </c>
      <c r="B967" s="14" t="s">
        <v>12999</v>
      </c>
      <c r="C967" s="15" t="s">
        <v>14884</v>
      </c>
      <c r="D967" s="15" t="s">
        <v>14885</v>
      </c>
      <c r="E967" s="15" t="s">
        <v>14886</v>
      </c>
      <c r="F967" s="15" t="s">
        <v>14887</v>
      </c>
      <c r="G967" s="15" t="s">
        <v>14888</v>
      </c>
      <c r="H967" s="16" t="s">
        <v>14889</v>
      </c>
    </row>
    <row r="968" spans="1:8" ht="33.75" x14ac:dyDescent="0.3">
      <c r="A968" s="13" t="s">
        <v>14890</v>
      </c>
      <c r="B968" s="14" t="s">
        <v>13007</v>
      </c>
      <c r="C968" s="15" t="s">
        <v>14891</v>
      </c>
      <c r="D968" s="15" t="s">
        <v>14892</v>
      </c>
      <c r="E968" s="15" t="s">
        <v>14893</v>
      </c>
      <c r="F968" s="15" t="s">
        <v>14894</v>
      </c>
      <c r="G968" s="15" t="s">
        <v>14895</v>
      </c>
      <c r="H968" s="16" t="s">
        <v>14896</v>
      </c>
    </row>
    <row r="969" spans="1:8" x14ac:dyDescent="0.3">
      <c r="A969" s="13">
        <v>32183</v>
      </c>
      <c r="B969" s="14" t="s">
        <v>14897</v>
      </c>
      <c r="C969" s="15"/>
      <c r="D969" s="15"/>
      <c r="E969" s="15"/>
      <c r="F969" s="15"/>
      <c r="G969" s="15"/>
      <c r="H969" s="16"/>
    </row>
    <row r="970" spans="1:8" ht="33.75" x14ac:dyDescent="0.3">
      <c r="A970" s="13" t="s">
        <v>14898</v>
      </c>
      <c r="B970" s="14" t="s">
        <v>12999</v>
      </c>
      <c r="C970" s="15" t="s">
        <v>14899</v>
      </c>
      <c r="D970" s="15" t="s">
        <v>14900</v>
      </c>
      <c r="E970" s="15" t="s">
        <v>14901</v>
      </c>
      <c r="F970" s="15" t="s">
        <v>14902</v>
      </c>
      <c r="G970" s="15" t="s">
        <v>14903</v>
      </c>
      <c r="H970" s="16"/>
    </row>
    <row r="971" spans="1:8" ht="33.75" x14ac:dyDescent="0.3">
      <c r="A971" s="13" t="s">
        <v>14904</v>
      </c>
      <c r="B971" s="14" t="s">
        <v>13007</v>
      </c>
      <c r="C971" s="15" t="s">
        <v>14905</v>
      </c>
      <c r="D971" s="15" t="s">
        <v>14906</v>
      </c>
      <c r="E971" s="15" t="s">
        <v>14907</v>
      </c>
      <c r="F971" s="15" t="s">
        <v>14908</v>
      </c>
      <c r="G971" s="15" t="s">
        <v>14909</v>
      </c>
      <c r="H971" s="16"/>
    </row>
    <row r="972" spans="1:8" x14ac:dyDescent="0.3">
      <c r="A972" s="13">
        <v>32184</v>
      </c>
      <c r="B972" s="14" t="s">
        <v>14910</v>
      </c>
      <c r="C972" s="15"/>
      <c r="D972" s="15"/>
      <c r="E972" s="15"/>
      <c r="F972" s="15"/>
      <c r="G972" s="15"/>
      <c r="H972" s="16"/>
    </row>
    <row r="973" spans="1:8" ht="56.25" x14ac:dyDescent="0.3">
      <c r="A973" s="13" t="s">
        <v>14911</v>
      </c>
      <c r="B973" s="14" t="s">
        <v>12999</v>
      </c>
      <c r="C973" s="15" t="s">
        <v>14912</v>
      </c>
      <c r="D973" s="15" t="s">
        <v>14913</v>
      </c>
      <c r="E973" s="15" t="s">
        <v>14914</v>
      </c>
      <c r="F973" s="15" t="s">
        <v>14915</v>
      </c>
      <c r="G973" s="15" t="s">
        <v>14916</v>
      </c>
      <c r="H973" s="16" t="s">
        <v>14917</v>
      </c>
    </row>
    <row r="974" spans="1:8" ht="33.75" x14ac:dyDescent="0.3">
      <c r="A974" s="13" t="s">
        <v>14918</v>
      </c>
      <c r="B974" s="14" t="s">
        <v>13007</v>
      </c>
      <c r="C974" s="15" t="s">
        <v>14919</v>
      </c>
      <c r="D974" s="15" t="s">
        <v>14920</v>
      </c>
      <c r="E974" s="15" t="s">
        <v>14921</v>
      </c>
      <c r="F974" s="15" t="s">
        <v>14922</v>
      </c>
      <c r="G974" s="15" t="s">
        <v>14923</v>
      </c>
      <c r="H974" s="16"/>
    </row>
    <row r="975" spans="1:8" x14ac:dyDescent="0.3">
      <c r="A975" s="13">
        <v>32185</v>
      </c>
      <c r="B975" s="14" t="s">
        <v>14924</v>
      </c>
      <c r="C975" s="15"/>
      <c r="D975" s="15"/>
      <c r="E975" s="15"/>
      <c r="F975" s="15"/>
      <c r="G975" s="15"/>
      <c r="H975" s="16"/>
    </row>
    <row r="976" spans="1:8" ht="22.5" x14ac:dyDescent="0.3">
      <c r="A976" s="13" t="s">
        <v>14925</v>
      </c>
      <c r="B976" s="14" t="s">
        <v>12999</v>
      </c>
      <c r="C976" s="15" t="s">
        <v>14926</v>
      </c>
      <c r="D976" s="15" t="s">
        <v>14927</v>
      </c>
      <c r="E976" s="15" t="s">
        <v>14928</v>
      </c>
      <c r="F976" s="15" t="s">
        <v>14929</v>
      </c>
      <c r="G976" s="15" t="s">
        <v>14930</v>
      </c>
      <c r="H976" s="16"/>
    </row>
    <row r="977" spans="1:8" ht="45" x14ac:dyDescent="0.3">
      <c r="A977" s="13" t="s">
        <v>14931</v>
      </c>
      <c r="B977" s="14" t="s">
        <v>13007</v>
      </c>
      <c r="C977" s="15" t="s">
        <v>14932</v>
      </c>
      <c r="D977" s="15" t="s">
        <v>14933</v>
      </c>
      <c r="E977" s="15" t="s">
        <v>14934</v>
      </c>
      <c r="F977" s="15"/>
      <c r="G977" s="15" t="s">
        <v>14935</v>
      </c>
      <c r="H977" s="16"/>
    </row>
    <row r="978" spans="1:8" x14ac:dyDescent="0.3">
      <c r="A978" s="13">
        <v>32186</v>
      </c>
      <c r="B978" s="14" t="s">
        <v>14936</v>
      </c>
      <c r="C978" s="15"/>
      <c r="D978" s="15"/>
      <c r="E978" s="15"/>
      <c r="F978" s="15"/>
      <c r="G978" s="15"/>
      <c r="H978" s="16"/>
    </row>
    <row r="979" spans="1:8" ht="22.5" x14ac:dyDescent="0.3">
      <c r="A979" s="13" t="s">
        <v>14937</v>
      </c>
      <c r="B979" s="14" t="s">
        <v>12999</v>
      </c>
      <c r="C979" s="15" t="s">
        <v>14938</v>
      </c>
      <c r="D979" s="15" t="s">
        <v>14939</v>
      </c>
      <c r="E979" s="15" t="s">
        <v>14940</v>
      </c>
      <c r="F979" s="15" t="s">
        <v>14941</v>
      </c>
      <c r="G979" s="15" t="s">
        <v>14942</v>
      </c>
      <c r="H979" s="16"/>
    </row>
    <row r="980" spans="1:8" ht="33.75" x14ac:dyDescent="0.3">
      <c r="A980" s="13" t="s">
        <v>14943</v>
      </c>
      <c r="B980" s="14" t="s">
        <v>13007</v>
      </c>
      <c r="C980" s="15" t="s">
        <v>14944</v>
      </c>
      <c r="D980" s="15" t="s">
        <v>14945</v>
      </c>
      <c r="E980" s="15" t="s">
        <v>14946</v>
      </c>
      <c r="F980" s="15" t="s">
        <v>14947</v>
      </c>
      <c r="G980" s="15" t="s">
        <v>14948</v>
      </c>
      <c r="H980" s="16"/>
    </row>
    <row r="981" spans="1:8" x14ac:dyDescent="0.3">
      <c r="A981" s="13">
        <v>32187</v>
      </c>
      <c r="B981" s="14" t="s">
        <v>14949</v>
      </c>
      <c r="C981" s="15"/>
      <c r="D981" s="15"/>
      <c r="E981" s="15"/>
      <c r="F981" s="15"/>
      <c r="G981" s="15"/>
      <c r="H981" s="16"/>
    </row>
    <row r="982" spans="1:8" ht="78.75" x14ac:dyDescent="0.3">
      <c r="A982" s="13" t="s">
        <v>14950</v>
      </c>
      <c r="B982" s="14" t="s">
        <v>12999</v>
      </c>
      <c r="C982" s="15" t="s">
        <v>14951</v>
      </c>
      <c r="D982" s="15" t="s">
        <v>14952</v>
      </c>
      <c r="E982" s="15" t="s">
        <v>14953</v>
      </c>
      <c r="F982" s="15" t="s">
        <v>14954</v>
      </c>
      <c r="G982" s="15" t="s">
        <v>14955</v>
      </c>
      <c r="H982" s="16" t="s">
        <v>14956</v>
      </c>
    </row>
    <row r="983" spans="1:8" ht="33.75" x14ac:dyDescent="0.3">
      <c r="A983" s="13" t="s">
        <v>14957</v>
      </c>
      <c r="B983" s="14" t="s">
        <v>13007</v>
      </c>
      <c r="C983" s="15" t="s">
        <v>14958</v>
      </c>
      <c r="D983" s="15" t="s">
        <v>14959</v>
      </c>
      <c r="E983" s="15" t="s">
        <v>14960</v>
      </c>
      <c r="F983" s="15" t="s">
        <v>14961</v>
      </c>
      <c r="G983" s="15" t="s">
        <v>14962</v>
      </c>
      <c r="H983" s="16" t="s">
        <v>14963</v>
      </c>
    </row>
    <row r="984" spans="1:8" x14ac:dyDescent="0.3">
      <c r="A984" s="13">
        <v>32188</v>
      </c>
      <c r="B984" s="14" t="s">
        <v>14964</v>
      </c>
      <c r="C984" s="15"/>
      <c r="D984" s="15"/>
      <c r="E984" s="15"/>
      <c r="F984" s="15"/>
      <c r="G984" s="15"/>
      <c r="H984" s="16"/>
    </row>
    <row r="985" spans="1:8" ht="45" x14ac:dyDescent="0.3">
      <c r="A985" s="13" t="s">
        <v>14965</v>
      </c>
      <c r="B985" s="14" t="s">
        <v>12999</v>
      </c>
      <c r="C985" s="15" t="s">
        <v>14966</v>
      </c>
      <c r="D985" s="15" t="s">
        <v>14967</v>
      </c>
      <c r="E985" s="15" t="s">
        <v>14968</v>
      </c>
      <c r="F985" s="15" t="s">
        <v>14969</v>
      </c>
      <c r="G985" s="15" t="s">
        <v>14970</v>
      </c>
      <c r="H985" s="16" t="s">
        <v>5606</v>
      </c>
    </row>
    <row r="986" spans="1:8" ht="33.75" x14ac:dyDescent="0.3">
      <c r="A986" s="13" t="s">
        <v>14971</v>
      </c>
      <c r="B986" s="14" t="s">
        <v>13007</v>
      </c>
      <c r="C986" s="15" t="s">
        <v>14972</v>
      </c>
      <c r="D986" s="15"/>
      <c r="E986" s="15" t="s">
        <v>5614</v>
      </c>
      <c r="F986" s="15" t="s">
        <v>14973</v>
      </c>
      <c r="G986" s="15" t="s">
        <v>14974</v>
      </c>
      <c r="H986" s="16" t="s">
        <v>14975</v>
      </c>
    </row>
    <row r="987" spans="1:8" x14ac:dyDescent="0.3">
      <c r="A987" s="13">
        <v>32189</v>
      </c>
      <c r="B987" s="14" t="s">
        <v>14976</v>
      </c>
      <c r="C987" s="15"/>
      <c r="D987" s="15"/>
      <c r="E987" s="15"/>
      <c r="F987" s="15"/>
      <c r="G987" s="15"/>
      <c r="H987" s="16"/>
    </row>
    <row r="988" spans="1:8" ht="22.5" x14ac:dyDescent="0.3">
      <c r="A988" s="13" t="s">
        <v>14977</v>
      </c>
      <c r="B988" s="14" t="s">
        <v>12999</v>
      </c>
      <c r="C988" s="15" t="s">
        <v>14978</v>
      </c>
      <c r="D988" s="15" t="s">
        <v>14979</v>
      </c>
      <c r="E988" s="15" t="s">
        <v>14980</v>
      </c>
      <c r="F988" s="15" t="s">
        <v>14981</v>
      </c>
      <c r="G988" s="15" t="s">
        <v>14981</v>
      </c>
      <c r="H988" s="16" t="s">
        <v>14982</v>
      </c>
    </row>
    <row r="989" spans="1:8" ht="33.75" x14ac:dyDescent="0.3">
      <c r="A989" s="13" t="s">
        <v>14983</v>
      </c>
      <c r="B989" s="14" t="s">
        <v>13007</v>
      </c>
      <c r="C989" s="15" t="s">
        <v>14984</v>
      </c>
      <c r="D989" s="15" t="s">
        <v>14985</v>
      </c>
      <c r="E989" s="15" t="s">
        <v>14986</v>
      </c>
      <c r="F989" s="15" t="s">
        <v>14987</v>
      </c>
      <c r="G989" s="15" t="s">
        <v>14988</v>
      </c>
      <c r="H989" s="16" t="s">
        <v>14989</v>
      </c>
    </row>
    <row r="990" spans="1:8" x14ac:dyDescent="0.3">
      <c r="A990" s="13">
        <v>32190</v>
      </c>
      <c r="B990" s="14" t="s">
        <v>14990</v>
      </c>
      <c r="C990" s="15"/>
      <c r="D990" s="15"/>
      <c r="E990" s="15"/>
      <c r="F990" s="15"/>
      <c r="G990" s="15"/>
      <c r="H990" s="16"/>
    </row>
    <row r="991" spans="1:8" ht="78.75" x14ac:dyDescent="0.3">
      <c r="A991" s="13" t="s">
        <v>14991</v>
      </c>
      <c r="B991" s="14" t="s">
        <v>12999</v>
      </c>
      <c r="C991" s="15" t="s">
        <v>14992</v>
      </c>
      <c r="D991" s="15" t="s">
        <v>14993</v>
      </c>
      <c r="E991" s="15" t="s">
        <v>14994</v>
      </c>
      <c r="F991" s="15" t="s">
        <v>14995</v>
      </c>
      <c r="G991" s="15" t="s">
        <v>14996</v>
      </c>
      <c r="H991" s="16" t="s">
        <v>14997</v>
      </c>
    </row>
    <row r="992" spans="1:8" ht="56.25" x14ac:dyDescent="0.3">
      <c r="A992" s="13" t="s">
        <v>14998</v>
      </c>
      <c r="B992" s="14" t="s">
        <v>13007</v>
      </c>
      <c r="C992" s="15" t="s">
        <v>14999</v>
      </c>
      <c r="D992" s="15" t="s">
        <v>15000</v>
      </c>
      <c r="E992" s="15" t="s">
        <v>15001</v>
      </c>
      <c r="F992" s="15" t="s">
        <v>15002</v>
      </c>
      <c r="G992" s="15" t="s">
        <v>15003</v>
      </c>
      <c r="H992" s="16" t="s">
        <v>15004</v>
      </c>
    </row>
    <row r="993" spans="1:8" x14ac:dyDescent="0.3">
      <c r="A993" s="13">
        <v>32191</v>
      </c>
      <c r="B993" s="14" t="s">
        <v>15005</v>
      </c>
      <c r="C993" s="15"/>
      <c r="D993" s="15"/>
      <c r="E993" s="15"/>
      <c r="F993" s="15"/>
      <c r="G993" s="15"/>
      <c r="H993" s="16"/>
    </row>
    <row r="994" spans="1:8" ht="45" x14ac:dyDescent="0.3">
      <c r="A994" s="13" t="s">
        <v>15006</v>
      </c>
      <c r="B994" s="14" t="s">
        <v>12999</v>
      </c>
      <c r="C994" s="15" t="s">
        <v>15007</v>
      </c>
      <c r="D994" s="15" t="s">
        <v>15008</v>
      </c>
      <c r="E994" s="15" t="s">
        <v>15009</v>
      </c>
      <c r="F994" s="15" t="s">
        <v>15010</v>
      </c>
      <c r="G994" s="15" t="s">
        <v>15011</v>
      </c>
      <c r="H994" s="16" t="s">
        <v>15012</v>
      </c>
    </row>
    <row r="995" spans="1:8" ht="33.75" x14ac:dyDescent="0.3">
      <c r="A995" s="13" t="s">
        <v>15013</v>
      </c>
      <c r="B995" s="14" t="s">
        <v>13007</v>
      </c>
      <c r="C995" s="15" t="s">
        <v>15014</v>
      </c>
      <c r="D995" s="15" t="s">
        <v>15015</v>
      </c>
      <c r="E995" s="15" t="s">
        <v>15016</v>
      </c>
      <c r="F995" s="15" t="s">
        <v>15017</v>
      </c>
      <c r="G995" s="15" t="s">
        <v>15016</v>
      </c>
      <c r="H995" s="16" t="s">
        <v>15018</v>
      </c>
    </row>
    <row r="996" spans="1:8" x14ac:dyDescent="0.3">
      <c r="A996" s="13">
        <v>32192</v>
      </c>
      <c r="B996" s="14" t="s">
        <v>15019</v>
      </c>
      <c r="C996" s="15"/>
      <c r="D996" s="15"/>
      <c r="E996" s="15"/>
      <c r="F996" s="15"/>
      <c r="G996" s="15"/>
      <c r="H996" s="16"/>
    </row>
    <row r="997" spans="1:8" ht="78.75" x14ac:dyDescent="0.3">
      <c r="A997" s="13" t="s">
        <v>15020</v>
      </c>
      <c r="B997" s="14" t="s">
        <v>12999</v>
      </c>
      <c r="C997" s="15" t="s">
        <v>15021</v>
      </c>
      <c r="D997" s="15" t="s">
        <v>15022</v>
      </c>
      <c r="E997" s="15" t="s">
        <v>15023</v>
      </c>
      <c r="F997" s="15" t="s">
        <v>15024</v>
      </c>
      <c r="G997" s="15" t="s">
        <v>15025</v>
      </c>
      <c r="H997" s="16" t="s">
        <v>15026</v>
      </c>
    </row>
    <row r="998" spans="1:8" ht="33.75" x14ac:dyDescent="0.3">
      <c r="A998" s="13" t="s">
        <v>15027</v>
      </c>
      <c r="B998" s="14" t="s">
        <v>13007</v>
      </c>
      <c r="C998" s="15" t="s">
        <v>15028</v>
      </c>
      <c r="D998" s="15" t="s">
        <v>15029</v>
      </c>
      <c r="E998" s="15" t="s">
        <v>15030</v>
      </c>
      <c r="F998" s="15" t="s">
        <v>15031</v>
      </c>
      <c r="G998" s="15" t="s">
        <v>11568</v>
      </c>
      <c r="H998" s="16" t="s">
        <v>15032</v>
      </c>
    </row>
    <row r="999" spans="1:8" x14ac:dyDescent="0.3">
      <c r="A999" s="13">
        <v>32193</v>
      </c>
      <c r="B999" s="14" t="s">
        <v>15033</v>
      </c>
      <c r="C999" s="15"/>
      <c r="D999" s="15"/>
      <c r="E999" s="15"/>
      <c r="F999" s="15"/>
      <c r="G999" s="15"/>
      <c r="H999" s="16"/>
    </row>
    <row r="1000" spans="1:8" ht="45" x14ac:dyDescent="0.3">
      <c r="A1000" s="13" t="s">
        <v>15034</v>
      </c>
      <c r="B1000" s="14" t="s">
        <v>12999</v>
      </c>
      <c r="C1000" s="15" t="s">
        <v>15035</v>
      </c>
      <c r="D1000" s="15" t="s">
        <v>15036</v>
      </c>
      <c r="E1000" s="15" t="s">
        <v>15037</v>
      </c>
      <c r="F1000" s="15" t="s">
        <v>15038</v>
      </c>
      <c r="G1000" s="15" t="s">
        <v>15039</v>
      </c>
      <c r="H1000" s="16" t="s">
        <v>15040</v>
      </c>
    </row>
    <row r="1001" spans="1:8" ht="33.75" x14ac:dyDescent="0.3">
      <c r="A1001" s="13" t="s">
        <v>15041</v>
      </c>
      <c r="B1001" s="14" t="s">
        <v>13007</v>
      </c>
      <c r="C1001" s="15" t="s">
        <v>15042</v>
      </c>
      <c r="D1001" s="15" t="s">
        <v>15043</v>
      </c>
      <c r="E1001" s="15" t="s">
        <v>15044</v>
      </c>
      <c r="F1001" s="15" t="s">
        <v>15045</v>
      </c>
      <c r="G1001" s="15" t="s">
        <v>15046</v>
      </c>
      <c r="H1001" s="16" t="s">
        <v>15047</v>
      </c>
    </row>
    <row r="1002" spans="1:8" x14ac:dyDescent="0.3">
      <c r="A1002" s="13">
        <v>32194</v>
      </c>
      <c r="B1002" s="14" t="s">
        <v>15048</v>
      </c>
      <c r="C1002" s="15"/>
      <c r="D1002" s="15"/>
      <c r="E1002" s="15"/>
      <c r="F1002" s="15"/>
      <c r="G1002" s="15"/>
      <c r="H1002" s="16"/>
    </row>
    <row r="1003" spans="1:8" ht="33.75" x14ac:dyDescent="0.3">
      <c r="A1003" s="13" t="s">
        <v>15049</v>
      </c>
      <c r="B1003" s="14" t="s">
        <v>12999</v>
      </c>
      <c r="C1003" s="15" t="s">
        <v>15050</v>
      </c>
      <c r="D1003" s="15" t="s">
        <v>15051</v>
      </c>
      <c r="E1003" s="15" t="s">
        <v>15052</v>
      </c>
      <c r="F1003" s="15" t="s">
        <v>15053</v>
      </c>
      <c r="G1003" s="15" t="s">
        <v>15054</v>
      </c>
      <c r="H1003" s="16" t="s">
        <v>15055</v>
      </c>
    </row>
    <row r="1004" spans="1:8" ht="33.75" x14ac:dyDescent="0.3">
      <c r="A1004" s="13" t="s">
        <v>15056</v>
      </c>
      <c r="B1004" s="14" t="s">
        <v>13007</v>
      </c>
      <c r="C1004" s="15" t="s">
        <v>15057</v>
      </c>
      <c r="D1004" s="15"/>
      <c r="E1004" s="15" t="s">
        <v>15058</v>
      </c>
      <c r="F1004" s="15" t="s">
        <v>15059</v>
      </c>
      <c r="G1004" s="15" t="s">
        <v>15060</v>
      </c>
      <c r="H1004" s="16" t="s">
        <v>15061</v>
      </c>
    </row>
    <row r="1005" spans="1:8" x14ac:dyDescent="0.3">
      <c r="A1005" s="13">
        <v>32195</v>
      </c>
      <c r="B1005" s="14" t="s">
        <v>15062</v>
      </c>
      <c r="C1005" s="15"/>
      <c r="D1005" s="15"/>
      <c r="E1005" s="15"/>
      <c r="F1005" s="15"/>
      <c r="G1005" s="15"/>
      <c r="H1005" s="16"/>
    </row>
    <row r="1006" spans="1:8" ht="33.75" x14ac:dyDescent="0.3">
      <c r="A1006" s="13" t="s">
        <v>15063</v>
      </c>
      <c r="B1006" s="14" t="s">
        <v>12999</v>
      </c>
      <c r="C1006" s="15" t="s">
        <v>15064</v>
      </c>
      <c r="D1006" s="15" t="s">
        <v>15065</v>
      </c>
      <c r="E1006" s="15" t="s">
        <v>15066</v>
      </c>
      <c r="F1006" s="15" t="s">
        <v>15067</v>
      </c>
      <c r="G1006" s="15" t="s">
        <v>15065</v>
      </c>
      <c r="H1006" s="16" t="s">
        <v>15068</v>
      </c>
    </row>
    <row r="1007" spans="1:8" ht="33.75" x14ac:dyDescent="0.3">
      <c r="A1007" s="13" t="s">
        <v>15069</v>
      </c>
      <c r="B1007" s="14" t="s">
        <v>13007</v>
      </c>
      <c r="C1007" s="15" t="s">
        <v>15070</v>
      </c>
      <c r="D1007" s="15" t="s">
        <v>15071</v>
      </c>
      <c r="E1007" s="15" t="s">
        <v>15072</v>
      </c>
      <c r="F1007" s="15" t="s">
        <v>15073</v>
      </c>
      <c r="G1007" s="15" t="s">
        <v>15074</v>
      </c>
      <c r="H1007" s="16" t="s">
        <v>15074</v>
      </c>
    </row>
    <row r="1008" spans="1:8" x14ac:dyDescent="0.3">
      <c r="A1008" s="13">
        <v>32196</v>
      </c>
      <c r="B1008" s="14" t="s">
        <v>15075</v>
      </c>
      <c r="C1008" s="15"/>
      <c r="D1008" s="15"/>
      <c r="E1008" s="15"/>
      <c r="F1008" s="15"/>
      <c r="G1008" s="15"/>
      <c r="H1008" s="16"/>
    </row>
    <row r="1009" spans="1:8" ht="33.75" x14ac:dyDescent="0.3">
      <c r="A1009" s="13" t="s">
        <v>15076</v>
      </c>
      <c r="B1009" s="14" t="s">
        <v>12999</v>
      </c>
      <c r="C1009" s="15" t="s">
        <v>15077</v>
      </c>
      <c r="D1009" s="15" t="s">
        <v>15078</v>
      </c>
      <c r="E1009" s="15" t="s">
        <v>15079</v>
      </c>
      <c r="F1009" s="15" t="s">
        <v>15080</v>
      </c>
      <c r="G1009" s="15" t="s">
        <v>15081</v>
      </c>
      <c r="H1009" s="16" t="s">
        <v>15082</v>
      </c>
    </row>
    <row r="1010" spans="1:8" ht="33.75" x14ac:dyDescent="0.3">
      <c r="A1010" s="13" t="s">
        <v>15083</v>
      </c>
      <c r="B1010" s="14" t="s">
        <v>13007</v>
      </c>
      <c r="C1010" s="15" t="s">
        <v>15084</v>
      </c>
      <c r="D1010" s="15" t="s">
        <v>15085</v>
      </c>
      <c r="E1010" s="15" t="s">
        <v>15086</v>
      </c>
      <c r="F1010" s="15" t="s">
        <v>15086</v>
      </c>
      <c r="G1010" s="15" t="s">
        <v>15087</v>
      </c>
      <c r="H1010" s="16" t="s">
        <v>15086</v>
      </c>
    </row>
    <row r="1011" spans="1:8" ht="22.5" x14ac:dyDescent="0.3">
      <c r="A1011" s="13">
        <v>32197</v>
      </c>
      <c r="B1011" s="14" t="s">
        <v>15088</v>
      </c>
      <c r="C1011" s="15"/>
      <c r="D1011" s="15"/>
      <c r="E1011" s="15"/>
      <c r="F1011" s="15"/>
      <c r="G1011" s="15"/>
      <c r="H1011" s="16"/>
    </row>
    <row r="1012" spans="1:8" ht="22.5" x14ac:dyDescent="0.3">
      <c r="A1012" s="13" t="s">
        <v>15089</v>
      </c>
      <c r="B1012" s="14" t="s">
        <v>12999</v>
      </c>
      <c r="C1012" s="15" t="s">
        <v>15090</v>
      </c>
      <c r="D1012" s="15" t="s">
        <v>15091</v>
      </c>
      <c r="E1012" s="15" t="s">
        <v>15092</v>
      </c>
      <c r="F1012" s="15" t="s">
        <v>15093</v>
      </c>
      <c r="G1012" s="15" t="s">
        <v>15094</v>
      </c>
      <c r="H1012" s="16" t="s">
        <v>15093</v>
      </c>
    </row>
    <row r="1013" spans="1:8" ht="33.75" x14ac:dyDescent="0.3">
      <c r="A1013" s="13" t="s">
        <v>15095</v>
      </c>
      <c r="B1013" s="14" t="s">
        <v>13007</v>
      </c>
      <c r="C1013" s="15" t="s">
        <v>15096</v>
      </c>
      <c r="D1013" s="15" t="s">
        <v>15097</v>
      </c>
      <c r="E1013" s="15" t="s">
        <v>15098</v>
      </c>
      <c r="F1013" s="15" t="s">
        <v>15099</v>
      </c>
      <c r="G1013" s="15" t="s">
        <v>15100</v>
      </c>
      <c r="H1013" s="16" t="s">
        <v>15101</v>
      </c>
    </row>
    <row r="1014" spans="1:8" x14ac:dyDescent="0.3">
      <c r="A1014" s="13">
        <v>32198</v>
      </c>
      <c r="B1014" s="14" t="s">
        <v>15102</v>
      </c>
      <c r="C1014" s="15"/>
      <c r="D1014" s="15"/>
      <c r="E1014" s="15"/>
      <c r="F1014" s="15"/>
      <c r="G1014" s="15"/>
      <c r="H1014" s="16"/>
    </row>
    <row r="1015" spans="1:8" ht="33.75" x14ac:dyDescent="0.3">
      <c r="A1015" s="13" t="s">
        <v>15103</v>
      </c>
      <c r="B1015" s="14" t="s">
        <v>12999</v>
      </c>
      <c r="C1015" s="15" t="s">
        <v>15104</v>
      </c>
      <c r="D1015" s="15" t="s">
        <v>15105</v>
      </c>
      <c r="E1015" s="15" t="s">
        <v>15106</v>
      </c>
      <c r="F1015" s="15" t="s">
        <v>15107</v>
      </c>
      <c r="G1015" s="15" t="s">
        <v>15108</v>
      </c>
      <c r="H1015" s="16" t="s">
        <v>15109</v>
      </c>
    </row>
    <row r="1016" spans="1:8" ht="33.75" x14ac:dyDescent="0.3">
      <c r="A1016" s="13" t="s">
        <v>15110</v>
      </c>
      <c r="B1016" s="14" t="s">
        <v>13007</v>
      </c>
      <c r="C1016" s="15" t="s">
        <v>15111</v>
      </c>
      <c r="D1016" s="15" t="s">
        <v>15112</v>
      </c>
      <c r="E1016" s="15" t="s">
        <v>15113</v>
      </c>
      <c r="F1016" s="15" t="s">
        <v>15114</v>
      </c>
      <c r="G1016" s="15"/>
      <c r="H1016" s="16" t="s">
        <v>15115</v>
      </c>
    </row>
    <row r="1017" spans="1:8" x14ac:dyDescent="0.3">
      <c r="A1017" s="13">
        <v>32199</v>
      </c>
      <c r="B1017" s="14" t="s">
        <v>15116</v>
      </c>
      <c r="C1017" s="15"/>
      <c r="D1017" s="15"/>
      <c r="E1017" s="15"/>
      <c r="F1017" s="15"/>
      <c r="G1017" s="15"/>
      <c r="H1017" s="16"/>
    </row>
    <row r="1018" spans="1:8" ht="56.25" x14ac:dyDescent="0.3">
      <c r="A1018" s="13" t="s">
        <v>15117</v>
      </c>
      <c r="B1018" s="14" t="s">
        <v>12999</v>
      </c>
      <c r="C1018" s="15" t="s">
        <v>15118</v>
      </c>
      <c r="D1018" s="15" t="s">
        <v>15119</v>
      </c>
      <c r="E1018" s="15" t="s">
        <v>15119</v>
      </c>
      <c r="F1018" s="15" t="s">
        <v>15120</v>
      </c>
      <c r="G1018" s="15" t="s">
        <v>15119</v>
      </c>
      <c r="H1018" s="16" t="s">
        <v>15121</v>
      </c>
    </row>
    <row r="1019" spans="1:8" ht="67.5" x14ac:dyDescent="0.3">
      <c r="A1019" s="13" t="s">
        <v>15122</v>
      </c>
      <c r="B1019" s="14" t="s">
        <v>13007</v>
      </c>
      <c r="C1019" s="15" t="s">
        <v>15123</v>
      </c>
      <c r="D1019" s="15" t="s">
        <v>15124</v>
      </c>
      <c r="E1019" s="15" t="s">
        <v>15125</v>
      </c>
      <c r="F1019" s="15" t="s">
        <v>15126</v>
      </c>
      <c r="G1019" s="15" t="s">
        <v>15127</v>
      </c>
      <c r="H1019" s="16" t="s">
        <v>15128</v>
      </c>
    </row>
    <row r="1020" spans="1:8" x14ac:dyDescent="0.3">
      <c r="A1020" s="13">
        <v>32200</v>
      </c>
      <c r="B1020" s="14" t="s">
        <v>15129</v>
      </c>
      <c r="C1020" s="15"/>
      <c r="D1020" s="15"/>
      <c r="E1020" s="15"/>
      <c r="F1020" s="15"/>
      <c r="G1020" s="15"/>
      <c r="H1020" s="16"/>
    </row>
    <row r="1021" spans="1:8" ht="33.75" x14ac:dyDescent="0.3">
      <c r="A1021" s="13" t="s">
        <v>15130</v>
      </c>
      <c r="B1021" s="14" t="s">
        <v>12999</v>
      </c>
      <c r="C1021" s="15" t="s">
        <v>15131</v>
      </c>
      <c r="D1021" s="15" t="s">
        <v>15132</v>
      </c>
      <c r="E1021" s="15" t="s">
        <v>15133</v>
      </c>
      <c r="F1021" s="15" t="s">
        <v>15134</v>
      </c>
      <c r="G1021" s="15" t="s">
        <v>15135</v>
      </c>
      <c r="H1021" s="16" t="s">
        <v>15136</v>
      </c>
    </row>
    <row r="1022" spans="1:8" ht="33.75" x14ac:dyDescent="0.3">
      <c r="A1022" s="13" t="s">
        <v>15137</v>
      </c>
      <c r="B1022" s="14" t="s">
        <v>13007</v>
      </c>
      <c r="C1022" s="15" t="s">
        <v>15138</v>
      </c>
      <c r="D1022" s="15" t="s">
        <v>15139</v>
      </c>
      <c r="E1022" s="15" t="s">
        <v>15140</v>
      </c>
      <c r="F1022" s="15" t="s">
        <v>15141</v>
      </c>
      <c r="G1022" s="15" t="s">
        <v>15142</v>
      </c>
      <c r="H1022" s="16" t="s">
        <v>15143</v>
      </c>
    </row>
    <row r="1023" spans="1:8" x14ac:dyDescent="0.3">
      <c r="A1023" s="13">
        <v>32201</v>
      </c>
      <c r="B1023" s="14" t="s">
        <v>15144</v>
      </c>
      <c r="C1023" s="15"/>
      <c r="D1023" s="15"/>
      <c r="E1023" s="15"/>
      <c r="F1023" s="15"/>
      <c r="G1023" s="15"/>
      <c r="H1023" s="16"/>
    </row>
    <row r="1024" spans="1:8" ht="45" x14ac:dyDescent="0.3">
      <c r="A1024" s="13" t="s">
        <v>15145</v>
      </c>
      <c r="B1024" s="14" t="s">
        <v>12999</v>
      </c>
      <c r="C1024" s="15" t="s">
        <v>15146</v>
      </c>
      <c r="D1024" s="15" t="s">
        <v>15147</v>
      </c>
      <c r="E1024" s="15" t="s">
        <v>15148</v>
      </c>
      <c r="F1024" s="15" t="s">
        <v>15149</v>
      </c>
      <c r="G1024" s="15" t="s">
        <v>15150</v>
      </c>
      <c r="H1024" s="16" t="s">
        <v>15151</v>
      </c>
    </row>
    <row r="1025" spans="1:8" ht="45" x14ac:dyDescent="0.3">
      <c r="A1025" s="13" t="s">
        <v>15152</v>
      </c>
      <c r="B1025" s="14" t="s">
        <v>13007</v>
      </c>
      <c r="C1025" s="15" t="s">
        <v>15153</v>
      </c>
      <c r="D1025" s="15" t="s">
        <v>15154</v>
      </c>
      <c r="E1025" s="15" t="s">
        <v>15155</v>
      </c>
      <c r="F1025" s="15" t="s">
        <v>15156</v>
      </c>
      <c r="G1025" s="15" t="s">
        <v>15156</v>
      </c>
      <c r="H1025" s="16" t="s">
        <v>15157</v>
      </c>
    </row>
    <row r="1026" spans="1:8" x14ac:dyDescent="0.3">
      <c r="A1026" s="13">
        <v>32202</v>
      </c>
      <c r="B1026" s="14" t="s">
        <v>15158</v>
      </c>
      <c r="C1026" s="15"/>
      <c r="D1026" s="15"/>
      <c r="E1026" s="15"/>
      <c r="F1026" s="15"/>
      <c r="G1026" s="15"/>
      <c r="H1026" s="16"/>
    </row>
    <row r="1027" spans="1:8" ht="22.5" x14ac:dyDescent="0.3">
      <c r="A1027" s="13" t="s">
        <v>15159</v>
      </c>
      <c r="B1027" s="14" t="s">
        <v>12999</v>
      </c>
      <c r="C1027" s="15" t="s">
        <v>15160</v>
      </c>
      <c r="D1027" s="15" t="s">
        <v>15161</v>
      </c>
      <c r="E1027" s="15" t="s">
        <v>15162</v>
      </c>
      <c r="F1027" s="15" t="s">
        <v>15163</v>
      </c>
      <c r="G1027" s="15" t="s">
        <v>15164</v>
      </c>
      <c r="H1027" s="16" t="s">
        <v>15165</v>
      </c>
    </row>
    <row r="1028" spans="1:8" ht="33.75" x14ac:dyDescent="0.3">
      <c r="A1028" s="13" t="s">
        <v>15166</v>
      </c>
      <c r="B1028" s="14" t="s">
        <v>13007</v>
      </c>
      <c r="C1028" s="15" t="s">
        <v>15167</v>
      </c>
      <c r="D1028" s="15" t="s">
        <v>15168</v>
      </c>
      <c r="E1028" s="15" t="s">
        <v>15169</v>
      </c>
      <c r="F1028" s="15"/>
      <c r="G1028" s="15" t="s">
        <v>15170</v>
      </c>
      <c r="H1028" s="16" t="s">
        <v>15171</v>
      </c>
    </row>
    <row r="1029" spans="1:8" x14ac:dyDescent="0.3">
      <c r="A1029" s="13">
        <v>32203</v>
      </c>
      <c r="B1029" s="14" t="s">
        <v>15172</v>
      </c>
      <c r="C1029" s="15"/>
      <c r="D1029" s="15"/>
      <c r="E1029" s="15"/>
      <c r="F1029" s="15"/>
      <c r="G1029" s="15"/>
      <c r="H1029" s="16"/>
    </row>
    <row r="1030" spans="1:8" ht="56.25" x14ac:dyDescent="0.3">
      <c r="A1030" s="13" t="s">
        <v>15173</v>
      </c>
      <c r="B1030" s="14" t="s">
        <v>12999</v>
      </c>
      <c r="C1030" s="15" t="s">
        <v>15174</v>
      </c>
      <c r="D1030" s="15" t="s">
        <v>15175</v>
      </c>
      <c r="E1030" s="15" t="s">
        <v>15176</v>
      </c>
      <c r="F1030" s="15" t="s">
        <v>15177</v>
      </c>
      <c r="G1030" s="15" t="s">
        <v>15178</v>
      </c>
      <c r="H1030" s="16" t="s">
        <v>15179</v>
      </c>
    </row>
    <row r="1031" spans="1:8" ht="33.75" x14ac:dyDescent="0.3">
      <c r="A1031" s="13" t="s">
        <v>15180</v>
      </c>
      <c r="B1031" s="14" t="s">
        <v>13007</v>
      </c>
      <c r="C1031" s="15" t="s">
        <v>15181</v>
      </c>
      <c r="D1031" s="15" t="s">
        <v>15182</v>
      </c>
      <c r="E1031" s="15" t="s">
        <v>15183</v>
      </c>
      <c r="F1031" s="15" t="s">
        <v>15184</v>
      </c>
      <c r="G1031" s="15" t="s">
        <v>15185</v>
      </c>
      <c r="H1031" s="16" t="s">
        <v>15186</v>
      </c>
    </row>
    <row r="1032" spans="1:8" x14ac:dyDescent="0.3">
      <c r="A1032" s="13">
        <v>32204</v>
      </c>
      <c r="B1032" s="14" t="s">
        <v>15187</v>
      </c>
      <c r="C1032" s="15"/>
      <c r="D1032" s="15"/>
      <c r="E1032" s="15"/>
      <c r="F1032" s="15"/>
      <c r="G1032" s="15"/>
      <c r="H1032" s="16"/>
    </row>
    <row r="1033" spans="1:8" ht="22.5" x14ac:dyDescent="0.3">
      <c r="A1033" s="13" t="s">
        <v>15188</v>
      </c>
      <c r="B1033" s="14" t="s">
        <v>12999</v>
      </c>
      <c r="C1033" s="15" t="s">
        <v>15189</v>
      </c>
      <c r="D1033" s="15" t="s">
        <v>15190</v>
      </c>
      <c r="E1033" s="15" t="s">
        <v>15191</v>
      </c>
      <c r="F1033" s="15" t="s">
        <v>15192</v>
      </c>
      <c r="G1033" s="15" t="s">
        <v>15193</v>
      </c>
      <c r="H1033" s="16" t="s">
        <v>15194</v>
      </c>
    </row>
    <row r="1034" spans="1:8" ht="33.75" x14ac:dyDescent="0.3">
      <c r="A1034" s="13" t="s">
        <v>15195</v>
      </c>
      <c r="B1034" s="14" t="s">
        <v>13007</v>
      </c>
      <c r="C1034" s="15" t="s">
        <v>15196</v>
      </c>
      <c r="D1034" s="15" t="s">
        <v>15197</v>
      </c>
      <c r="E1034" s="15" t="s">
        <v>15198</v>
      </c>
      <c r="F1034" s="15" t="s">
        <v>15199</v>
      </c>
      <c r="G1034" s="15" t="s">
        <v>15198</v>
      </c>
      <c r="H1034" s="16" t="s">
        <v>15200</v>
      </c>
    </row>
    <row r="1035" spans="1:8" x14ac:dyDescent="0.3">
      <c r="A1035" s="13">
        <v>32205</v>
      </c>
      <c r="B1035" s="14" t="s">
        <v>15201</v>
      </c>
      <c r="C1035" s="15"/>
      <c r="D1035" s="15"/>
      <c r="E1035" s="15"/>
      <c r="F1035" s="15"/>
      <c r="G1035" s="15"/>
      <c r="H1035" s="16"/>
    </row>
    <row r="1036" spans="1:8" ht="33.75" x14ac:dyDescent="0.3">
      <c r="A1036" s="13" t="s">
        <v>15202</v>
      </c>
      <c r="B1036" s="14" t="s">
        <v>12999</v>
      </c>
      <c r="C1036" s="15" t="s">
        <v>15203</v>
      </c>
      <c r="D1036" s="15" t="s">
        <v>15204</v>
      </c>
      <c r="E1036" s="15" t="s">
        <v>15205</v>
      </c>
      <c r="F1036" s="15" t="s">
        <v>15206</v>
      </c>
      <c r="G1036" s="15" t="s">
        <v>15207</v>
      </c>
      <c r="H1036" s="16" t="s">
        <v>15208</v>
      </c>
    </row>
    <row r="1037" spans="1:8" ht="33.75" x14ac:dyDescent="0.3">
      <c r="A1037" s="13" t="s">
        <v>15209</v>
      </c>
      <c r="B1037" s="14" t="s">
        <v>13007</v>
      </c>
      <c r="C1037" s="15" t="s">
        <v>15210</v>
      </c>
      <c r="D1037" s="15" t="s">
        <v>15211</v>
      </c>
      <c r="E1037" s="15" t="s">
        <v>15211</v>
      </c>
      <c r="F1037" s="15" t="s">
        <v>15211</v>
      </c>
      <c r="G1037" s="15" t="s">
        <v>15212</v>
      </c>
      <c r="H1037" s="16" t="s">
        <v>15211</v>
      </c>
    </row>
    <row r="1038" spans="1:8" x14ac:dyDescent="0.3">
      <c r="A1038" s="13">
        <v>32206</v>
      </c>
      <c r="B1038" s="14" t="s">
        <v>15213</v>
      </c>
      <c r="C1038" s="15"/>
      <c r="D1038" s="15"/>
      <c r="E1038" s="15"/>
      <c r="F1038" s="15"/>
      <c r="G1038" s="15"/>
      <c r="H1038" s="16"/>
    </row>
    <row r="1039" spans="1:8" ht="112.5" x14ac:dyDescent="0.3">
      <c r="A1039" s="13" t="s">
        <v>15214</v>
      </c>
      <c r="B1039" s="14" t="s">
        <v>12999</v>
      </c>
      <c r="C1039" s="15" t="s">
        <v>15215</v>
      </c>
      <c r="D1039" s="15" t="s">
        <v>15216</v>
      </c>
      <c r="E1039" s="15" t="s">
        <v>15217</v>
      </c>
      <c r="F1039" s="15" t="s">
        <v>15218</v>
      </c>
      <c r="G1039" s="15" t="s">
        <v>15219</v>
      </c>
      <c r="H1039" s="16" t="s">
        <v>15220</v>
      </c>
    </row>
    <row r="1040" spans="1:8" ht="45" x14ac:dyDescent="0.3">
      <c r="A1040" s="13" t="s">
        <v>15221</v>
      </c>
      <c r="B1040" s="14" t="s">
        <v>13007</v>
      </c>
      <c r="C1040" s="15" t="s">
        <v>15222</v>
      </c>
      <c r="D1040" s="15" t="s">
        <v>15223</v>
      </c>
      <c r="E1040" s="15" t="s">
        <v>15224</v>
      </c>
      <c r="F1040" s="15" t="s">
        <v>15225</v>
      </c>
      <c r="G1040" s="15" t="s">
        <v>15226</v>
      </c>
      <c r="H1040" s="16" t="s">
        <v>15227</v>
      </c>
    </row>
    <row r="1041" spans="1:8" x14ac:dyDescent="0.3">
      <c r="A1041" s="13">
        <v>32207</v>
      </c>
      <c r="B1041" s="14" t="s">
        <v>15228</v>
      </c>
      <c r="C1041" s="15"/>
      <c r="D1041" s="15"/>
      <c r="E1041" s="15"/>
      <c r="F1041" s="15"/>
      <c r="G1041" s="15"/>
      <c r="H1041" s="16"/>
    </row>
    <row r="1042" spans="1:8" ht="33.75" x14ac:dyDescent="0.3">
      <c r="A1042" s="13" t="s">
        <v>15229</v>
      </c>
      <c r="B1042" s="14" t="s">
        <v>12999</v>
      </c>
      <c r="C1042" s="15" t="s">
        <v>15230</v>
      </c>
      <c r="D1042" s="15" t="s">
        <v>15231</v>
      </c>
      <c r="E1042" s="15" t="s">
        <v>15232</v>
      </c>
      <c r="F1042" s="15" t="s">
        <v>15233</v>
      </c>
      <c r="G1042" s="15" t="s">
        <v>15234</v>
      </c>
      <c r="H1042" s="16" t="s">
        <v>15235</v>
      </c>
    </row>
    <row r="1043" spans="1:8" ht="33.75" x14ac:dyDescent="0.3">
      <c r="A1043" s="13" t="s">
        <v>15236</v>
      </c>
      <c r="B1043" s="14" t="s">
        <v>13007</v>
      </c>
      <c r="C1043" s="15" t="s">
        <v>15237</v>
      </c>
      <c r="D1043" s="15" t="s">
        <v>15238</v>
      </c>
      <c r="E1043" s="15" t="s">
        <v>15238</v>
      </c>
      <c r="F1043" s="15" t="s">
        <v>15239</v>
      </c>
      <c r="G1043" s="15" t="s">
        <v>15239</v>
      </c>
      <c r="H1043" s="16" t="s">
        <v>15240</v>
      </c>
    </row>
    <row r="1044" spans="1:8" x14ac:dyDescent="0.3">
      <c r="A1044" s="13">
        <v>32208</v>
      </c>
      <c r="B1044" s="14" t="s">
        <v>15241</v>
      </c>
      <c r="C1044" s="15"/>
      <c r="D1044" s="15"/>
      <c r="E1044" s="15"/>
      <c r="F1044" s="15"/>
      <c r="G1044" s="15"/>
      <c r="H1044" s="16"/>
    </row>
    <row r="1045" spans="1:8" ht="33.75" x14ac:dyDescent="0.3">
      <c r="A1045" s="13" t="s">
        <v>15242</v>
      </c>
      <c r="B1045" s="14" t="s">
        <v>12999</v>
      </c>
      <c r="C1045" s="15" t="s">
        <v>15243</v>
      </c>
      <c r="D1045" s="15" t="s">
        <v>15244</v>
      </c>
      <c r="E1045" s="15" t="s">
        <v>15245</v>
      </c>
      <c r="F1045" s="15" t="s">
        <v>15246</v>
      </c>
      <c r="G1045" s="15" t="s">
        <v>15247</v>
      </c>
      <c r="H1045" s="16" t="s">
        <v>15248</v>
      </c>
    </row>
    <row r="1046" spans="1:8" ht="45" x14ac:dyDescent="0.3">
      <c r="A1046" s="13" t="s">
        <v>15249</v>
      </c>
      <c r="B1046" s="14" t="s">
        <v>13007</v>
      </c>
      <c r="C1046" s="15" t="s">
        <v>15250</v>
      </c>
      <c r="D1046" s="15" t="s">
        <v>15251</v>
      </c>
      <c r="E1046" s="15" t="s">
        <v>15252</v>
      </c>
      <c r="F1046" s="15" t="s">
        <v>15253</v>
      </c>
      <c r="G1046" s="15" t="s">
        <v>15254</v>
      </c>
      <c r="H1046" s="16" t="s">
        <v>15255</v>
      </c>
    </row>
    <row r="1047" spans="1:8" ht="45" x14ac:dyDescent="0.3">
      <c r="A1047" s="13">
        <v>32209</v>
      </c>
      <c r="B1047" s="14" t="s">
        <v>15256</v>
      </c>
      <c r="C1047" s="15"/>
      <c r="D1047" s="15" t="s">
        <v>15257</v>
      </c>
      <c r="E1047" s="15"/>
      <c r="F1047" s="15"/>
      <c r="G1047" s="15"/>
      <c r="H1047" s="16"/>
    </row>
    <row r="1048" spans="1:8" ht="22.5" x14ac:dyDescent="0.3">
      <c r="A1048" s="13" t="s">
        <v>15258</v>
      </c>
      <c r="B1048" s="14" t="s">
        <v>12999</v>
      </c>
      <c r="C1048" s="15" t="s">
        <v>15259</v>
      </c>
      <c r="D1048" s="15" t="s">
        <v>15260</v>
      </c>
      <c r="E1048" s="15" t="s">
        <v>15261</v>
      </c>
      <c r="F1048" s="15" t="s">
        <v>15262</v>
      </c>
      <c r="G1048" s="15" t="s">
        <v>15263</v>
      </c>
      <c r="H1048" s="16" t="s">
        <v>15264</v>
      </c>
    </row>
    <row r="1049" spans="1:8" ht="33.75" x14ac:dyDescent="0.3">
      <c r="A1049" s="13" t="s">
        <v>15265</v>
      </c>
      <c r="B1049" s="14" t="s">
        <v>13007</v>
      </c>
      <c r="C1049" s="15" t="s">
        <v>15266</v>
      </c>
      <c r="D1049" s="15" t="s">
        <v>15267</v>
      </c>
      <c r="E1049" s="15" t="s">
        <v>15268</v>
      </c>
      <c r="F1049" s="15" t="s">
        <v>15269</v>
      </c>
      <c r="G1049" s="15" t="s">
        <v>15270</v>
      </c>
      <c r="H1049" s="16" t="s">
        <v>15269</v>
      </c>
    </row>
    <row r="1050" spans="1:8" x14ac:dyDescent="0.3">
      <c r="A1050" s="13">
        <v>32210</v>
      </c>
      <c r="B1050" s="14" t="s">
        <v>15271</v>
      </c>
      <c r="C1050" s="15"/>
      <c r="D1050" s="15"/>
      <c r="E1050" s="15"/>
      <c r="F1050" s="15"/>
      <c r="G1050" s="15"/>
      <c r="H1050" s="16"/>
    </row>
    <row r="1051" spans="1:8" ht="33.75" x14ac:dyDescent="0.3">
      <c r="A1051" s="13" t="s">
        <v>15272</v>
      </c>
      <c r="B1051" s="14" t="s">
        <v>12999</v>
      </c>
      <c r="C1051" s="15" t="s">
        <v>15273</v>
      </c>
      <c r="D1051" s="15" t="s">
        <v>15274</v>
      </c>
      <c r="E1051" s="15" t="s">
        <v>15275</v>
      </c>
      <c r="F1051" s="15" t="s">
        <v>15276</v>
      </c>
      <c r="G1051" s="15" t="s">
        <v>15277</v>
      </c>
      <c r="H1051" s="16" t="s">
        <v>15278</v>
      </c>
    </row>
    <row r="1052" spans="1:8" ht="33.75" x14ac:dyDescent="0.3">
      <c r="A1052" s="13" t="s">
        <v>15279</v>
      </c>
      <c r="B1052" s="14" t="s">
        <v>13007</v>
      </c>
      <c r="C1052" s="15" t="s">
        <v>15280</v>
      </c>
      <c r="D1052" s="15" t="s">
        <v>15281</v>
      </c>
      <c r="E1052" s="15" t="s">
        <v>15282</v>
      </c>
      <c r="F1052" s="15" t="s">
        <v>15283</v>
      </c>
      <c r="G1052" s="15" t="s">
        <v>15284</v>
      </c>
      <c r="H1052" s="16" t="s">
        <v>15285</v>
      </c>
    </row>
    <row r="1053" spans="1:8" x14ac:dyDescent="0.3">
      <c r="A1053" s="13">
        <v>32211</v>
      </c>
      <c r="B1053" s="14" t="s">
        <v>15286</v>
      </c>
      <c r="C1053" s="15"/>
      <c r="D1053" s="15"/>
      <c r="E1053" s="15"/>
      <c r="F1053" s="15"/>
      <c r="G1053" s="15"/>
      <c r="H1053" s="16"/>
    </row>
    <row r="1054" spans="1:8" ht="67.5" x14ac:dyDescent="0.3">
      <c r="A1054" s="13" t="s">
        <v>15287</v>
      </c>
      <c r="B1054" s="14" t="s">
        <v>12999</v>
      </c>
      <c r="C1054" s="15" t="s">
        <v>15288</v>
      </c>
      <c r="D1054" s="15" t="s">
        <v>15289</v>
      </c>
      <c r="E1054" s="15" t="s">
        <v>15290</v>
      </c>
      <c r="F1054" s="15" t="s">
        <v>15291</v>
      </c>
      <c r="G1054" s="15" t="s">
        <v>15292</v>
      </c>
      <c r="H1054" s="16" t="s">
        <v>15293</v>
      </c>
    </row>
    <row r="1055" spans="1:8" ht="33.75" x14ac:dyDescent="0.3">
      <c r="A1055" s="13" t="s">
        <v>15294</v>
      </c>
      <c r="B1055" s="14" t="s">
        <v>13007</v>
      </c>
      <c r="C1055" s="15"/>
      <c r="D1055" s="15" t="s">
        <v>15295</v>
      </c>
      <c r="E1055" s="15" t="s">
        <v>15296</v>
      </c>
      <c r="F1055" s="15" t="s">
        <v>15297</v>
      </c>
      <c r="G1055" s="15" t="s">
        <v>15298</v>
      </c>
      <c r="H1055" s="16" t="s">
        <v>15297</v>
      </c>
    </row>
    <row r="1056" spans="1:8" x14ac:dyDescent="0.3">
      <c r="A1056" s="13">
        <v>32212</v>
      </c>
      <c r="B1056" s="14" t="s">
        <v>15299</v>
      </c>
      <c r="C1056" s="15"/>
      <c r="D1056" s="15"/>
      <c r="E1056" s="15"/>
      <c r="F1056" s="15"/>
      <c r="G1056" s="15"/>
      <c r="H1056" s="16"/>
    </row>
    <row r="1057" spans="1:8" ht="22.5" x14ac:dyDescent="0.3">
      <c r="A1057" s="13" t="s">
        <v>15300</v>
      </c>
      <c r="B1057" s="14" t="s">
        <v>12999</v>
      </c>
      <c r="C1057" s="15" t="s">
        <v>15301</v>
      </c>
      <c r="D1057" s="15" t="s">
        <v>15302</v>
      </c>
      <c r="E1057" s="15" t="s">
        <v>15303</v>
      </c>
      <c r="F1057" s="15" t="s">
        <v>15304</v>
      </c>
      <c r="G1057" s="15" t="s">
        <v>15304</v>
      </c>
      <c r="H1057" s="16" t="s">
        <v>15304</v>
      </c>
    </row>
    <row r="1058" spans="1:8" ht="33.75" x14ac:dyDescent="0.3">
      <c r="A1058" s="13" t="s">
        <v>15305</v>
      </c>
      <c r="B1058" s="14" t="s">
        <v>13007</v>
      </c>
      <c r="C1058" s="15" t="s">
        <v>15306</v>
      </c>
      <c r="D1058" s="15" t="s">
        <v>15307</v>
      </c>
      <c r="E1058" s="15" t="s">
        <v>15308</v>
      </c>
      <c r="F1058" s="15" t="s">
        <v>15309</v>
      </c>
      <c r="G1058" s="15" t="s">
        <v>15310</v>
      </c>
      <c r="H1058" s="16" t="s">
        <v>15310</v>
      </c>
    </row>
    <row r="1059" spans="1:8" x14ac:dyDescent="0.3">
      <c r="A1059" s="13">
        <v>32213</v>
      </c>
      <c r="B1059" s="14" t="s">
        <v>15311</v>
      </c>
      <c r="C1059" s="15"/>
      <c r="D1059" s="15"/>
      <c r="E1059" s="15"/>
      <c r="F1059" s="15"/>
      <c r="G1059" s="15"/>
      <c r="H1059" s="16"/>
    </row>
    <row r="1060" spans="1:8" ht="33.75" x14ac:dyDescent="0.3">
      <c r="A1060" s="13" t="s">
        <v>15312</v>
      </c>
      <c r="B1060" s="14" t="s">
        <v>12999</v>
      </c>
      <c r="C1060" s="15" t="s">
        <v>15313</v>
      </c>
      <c r="D1060" s="15" t="s">
        <v>15314</v>
      </c>
      <c r="E1060" s="15" t="s">
        <v>15315</v>
      </c>
      <c r="F1060" s="15" t="s">
        <v>15316</v>
      </c>
      <c r="G1060" s="15" t="s">
        <v>15317</v>
      </c>
      <c r="H1060" s="16" t="s">
        <v>15318</v>
      </c>
    </row>
    <row r="1061" spans="1:8" ht="33.75" x14ac:dyDescent="0.3">
      <c r="A1061" s="13" t="s">
        <v>15319</v>
      </c>
      <c r="B1061" s="14" t="s">
        <v>13007</v>
      </c>
      <c r="C1061" s="15" t="s">
        <v>15320</v>
      </c>
      <c r="D1061" s="15"/>
      <c r="E1061" s="15" t="s">
        <v>15321</v>
      </c>
      <c r="F1061" s="15" t="s">
        <v>15322</v>
      </c>
      <c r="G1061" s="15" t="s">
        <v>15323</v>
      </c>
      <c r="H1061" s="16" t="s">
        <v>15324</v>
      </c>
    </row>
    <row r="1062" spans="1:8" x14ac:dyDescent="0.3">
      <c r="A1062" s="13">
        <v>32214</v>
      </c>
      <c r="B1062" s="14" t="s">
        <v>15325</v>
      </c>
      <c r="C1062" s="15"/>
      <c r="D1062" s="15"/>
      <c r="E1062" s="15"/>
      <c r="F1062" s="15"/>
      <c r="G1062" s="15"/>
      <c r="H1062" s="16"/>
    </row>
    <row r="1063" spans="1:8" ht="33.75" x14ac:dyDescent="0.3">
      <c r="A1063" s="13" t="s">
        <v>15326</v>
      </c>
      <c r="B1063" s="14" t="s">
        <v>12999</v>
      </c>
      <c r="C1063" s="15" t="s">
        <v>15327</v>
      </c>
      <c r="D1063" s="15" t="s">
        <v>15328</v>
      </c>
      <c r="E1063" s="15" t="s">
        <v>15329</v>
      </c>
      <c r="F1063" s="15" t="s">
        <v>15330</v>
      </c>
      <c r="G1063" s="15" t="s">
        <v>15331</v>
      </c>
      <c r="H1063" s="16" t="s">
        <v>15332</v>
      </c>
    </row>
    <row r="1064" spans="1:8" ht="33.75" x14ac:dyDescent="0.3">
      <c r="A1064" s="13" t="s">
        <v>15333</v>
      </c>
      <c r="B1064" s="14" t="s">
        <v>13007</v>
      </c>
      <c r="C1064" s="15" t="s">
        <v>15334</v>
      </c>
      <c r="D1064" s="15" t="s">
        <v>15335</v>
      </c>
      <c r="E1064" s="15" t="s">
        <v>15336</v>
      </c>
      <c r="F1064" s="15" t="s">
        <v>15337</v>
      </c>
      <c r="G1064" s="15" t="s">
        <v>15338</v>
      </c>
      <c r="H1064" s="16" t="s">
        <v>15339</v>
      </c>
    </row>
    <row r="1065" spans="1:8" x14ac:dyDescent="0.3">
      <c r="A1065" s="13">
        <v>32215</v>
      </c>
      <c r="B1065" s="14" t="s">
        <v>15340</v>
      </c>
      <c r="C1065" s="15"/>
      <c r="D1065" s="15"/>
      <c r="E1065" s="15"/>
      <c r="F1065" s="15"/>
      <c r="G1065" s="15"/>
      <c r="H1065" s="16"/>
    </row>
    <row r="1066" spans="1:8" ht="45" x14ac:dyDescent="0.3">
      <c r="A1066" s="13" t="s">
        <v>15341</v>
      </c>
      <c r="B1066" s="14" t="s">
        <v>12999</v>
      </c>
      <c r="C1066" s="15" t="s">
        <v>15342</v>
      </c>
      <c r="D1066" s="15" t="s">
        <v>15343</v>
      </c>
      <c r="E1066" s="15" t="s">
        <v>15344</v>
      </c>
      <c r="F1066" s="15" t="s">
        <v>15345</v>
      </c>
      <c r="G1066" s="15" t="s">
        <v>15346</v>
      </c>
      <c r="H1066" s="16" t="s">
        <v>15347</v>
      </c>
    </row>
    <row r="1067" spans="1:8" ht="33.75" x14ac:dyDescent="0.3">
      <c r="A1067" s="13" t="s">
        <v>15348</v>
      </c>
      <c r="B1067" s="14" t="s">
        <v>13007</v>
      </c>
      <c r="C1067" s="15" t="s">
        <v>15349</v>
      </c>
      <c r="D1067" s="15" t="s">
        <v>15350</v>
      </c>
      <c r="E1067" s="15" t="s">
        <v>15351</v>
      </c>
      <c r="F1067" s="15" t="s">
        <v>15352</v>
      </c>
      <c r="G1067" s="15" t="s">
        <v>15353</v>
      </c>
      <c r="H1067" s="16" t="s">
        <v>15354</v>
      </c>
    </row>
    <row r="1068" spans="1:8" x14ac:dyDescent="0.3">
      <c r="A1068" s="13">
        <v>32216</v>
      </c>
      <c r="B1068" s="14" t="s">
        <v>15355</v>
      </c>
      <c r="C1068" s="15"/>
      <c r="D1068" s="15"/>
      <c r="E1068" s="15"/>
      <c r="F1068" s="15"/>
      <c r="G1068" s="15"/>
      <c r="H1068" s="16"/>
    </row>
    <row r="1069" spans="1:8" ht="78.75" x14ac:dyDescent="0.3">
      <c r="A1069" s="13" t="s">
        <v>15356</v>
      </c>
      <c r="B1069" s="14" t="s">
        <v>12999</v>
      </c>
      <c r="C1069" s="15" t="s">
        <v>15357</v>
      </c>
      <c r="D1069" s="15" t="s">
        <v>15358</v>
      </c>
      <c r="E1069" s="15" t="s">
        <v>15359</v>
      </c>
      <c r="F1069" s="15" t="s">
        <v>15360</v>
      </c>
      <c r="G1069" s="15" t="s">
        <v>15361</v>
      </c>
      <c r="H1069" s="16" t="s">
        <v>15359</v>
      </c>
    </row>
    <row r="1070" spans="1:8" ht="33.75" x14ac:dyDescent="0.3">
      <c r="A1070" s="13" t="s">
        <v>15362</v>
      </c>
      <c r="B1070" s="14" t="s">
        <v>13007</v>
      </c>
      <c r="C1070" s="15" t="s">
        <v>15363</v>
      </c>
      <c r="D1070" s="15" t="s">
        <v>15364</v>
      </c>
      <c r="E1070" s="15" t="s">
        <v>15365</v>
      </c>
      <c r="F1070" s="15" t="s">
        <v>15366</v>
      </c>
      <c r="G1070" s="15" t="s">
        <v>15367</v>
      </c>
      <c r="H1070" s="16" t="s">
        <v>15368</v>
      </c>
    </row>
    <row r="1071" spans="1:8" x14ac:dyDescent="0.3">
      <c r="A1071" s="13">
        <v>32217</v>
      </c>
      <c r="B1071" s="14" t="s">
        <v>15369</v>
      </c>
      <c r="C1071" s="15"/>
      <c r="D1071" s="15"/>
      <c r="E1071" s="15"/>
      <c r="F1071" s="15"/>
      <c r="G1071" s="15"/>
      <c r="H1071" s="16"/>
    </row>
    <row r="1072" spans="1:8" ht="33.75" x14ac:dyDescent="0.3">
      <c r="A1072" s="13" t="s">
        <v>15370</v>
      </c>
      <c r="B1072" s="14" t="s">
        <v>12999</v>
      </c>
      <c r="C1072" s="15" t="s">
        <v>15371</v>
      </c>
      <c r="D1072" s="15" t="s">
        <v>15372</v>
      </c>
      <c r="E1072" s="15" t="s">
        <v>15373</v>
      </c>
      <c r="F1072" s="15" t="s">
        <v>15374</v>
      </c>
      <c r="G1072" s="15" t="s">
        <v>15375</v>
      </c>
      <c r="H1072" s="16" t="s">
        <v>15376</v>
      </c>
    </row>
    <row r="1073" spans="1:8" ht="33.75" x14ac:dyDescent="0.3">
      <c r="A1073" s="13" t="s">
        <v>15377</v>
      </c>
      <c r="B1073" s="14" t="s">
        <v>13007</v>
      </c>
      <c r="C1073" s="15" t="s">
        <v>15378</v>
      </c>
      <c r="D1073" s="15" t="s">
        <v>15379</v>
      </c>
      <c r="E1073" s="15" t="s">
        <v>15380</v>
      </c>
      <c r="F1073" s="15" t="s">
        <v>15381</v>
      </c>
      <c r="G1073" s="15" t="s">
        <v>15382</v>
      </c>
      <c r="H1073" s="16" t="s">
        <v>15382</v>
      </c>
    </row>
    <row r="1074" spans="1:8" x14ac:dyDescent="0.3">
      <c r="A1074" s="13">
        <v>32218</v>
      </c>
      <c r="B1074" s="14" t="s">
        <v>15383</v>
      </c>
      <c r="C1074" s="15"/>
      <c r="D1074" s="15"/>
      <c r="E1074" s="15"/>
      <c r="F1074" s="15"/>
      <c r="G1074" s="15"/>
      <c r="H1074" s="16"/>
    </row>
    <row r="1075" spans="1:8" ht="22.5" x14ac:dyDescent="0.3">
      <c r="A1075" s="13" t="s">
        <v>15384</v>
      </c>
      <c r="B1075" s="14" t="s">
        <v>12999</v>
      </c>
      <c r="C1075" s="15" t="s">
        <v>15385</v>
      </c>
      <c r="D1075" s="15" t="s">
        <v>15386</v>
      </c>
      <c r="E1075" s="15" t="s">
        <v>15387</v>
      </c>
      <c r="F1075" s="15" t="s">
        <v>15388</v>
      </c>
      <c r="G1075" s="15" t="s">
        <v>15389</v>
      </c>
      <c r="H1075" s="16" t="s">
        <v>15390</v>
      </c>
    </row>
    <row r="1076" spans="1:8" ht="33.75" x14ac:dyDescent="0.3">
      <c r="A1076" s="13" t="s">
        <v>15391</v>
      </c>
      <c r="B1076" s="14" t="s">
        <v>13007</v>
      </c>
      <c r="C1076" s="15" t="s">
        <v>15392</v>
      </c>
      <c r="D1076" s="15" t="s">
        <v>15393</v>
      </c>
      <c r="E1076" s="15" t="s">
        <v>15394</v>
      </c>
      <c r="F1076" s="15" t="s">
        <v>15395</v>
      </c>
      <c r="G1076" s="15" t="s">
        <v>15396</v>
      </c>
      <c r="H1076" s="16" t="s">
        <v>15397</v>
      </c>
    </row>
    <row r="1077" spans="1:8" ht="22.5" x14ac:dyDescent="0.3">
      <c r="A1077" s="13">
        <v>32219</v>
      </c>
      <c r="B1077" s="14" t="s">
        <v>15398</v>
      </c>
      <c r="C1077" s="15"/>
      <c r="D1077" s="15"/>
      <c r="E1077" s="15"/>
      <c r="F1077" s="15"/>
      <c r="G1077" s="15"/>
      <c r="H1077" s="16"/>
    </row>
    <row r="1078" spans="1:8" ht="33.75" x14ac:dyDescent="0.3">
      <c r="A1078" s="13" t="s">
        <v>15399</v>
      </c>
      <c r="B1078" s="14" t="s">
        <v>12999</v>
      </c>
      <c r="C1078" s="15" t="s">
        <v>15400</v>
      </c>
      <c r="D1078" s="15" t="s">
        <v>15401</v>
      </c>
      <c r="E1078" s="15" t="s">
        <v>15402</v>
      </c>
      <c r="F1078" s="15" t="s">
        <v>15403</v>
      </c>
      <c r="G1078" s="15" t="s">
        <v>14440</v>
      </c>
      <c r="H1078" s="16" t="s">
        <v>15404</v>
      </c>
    </row>
    <row r="1079" spans="1:8" ht="33.75" x14ac:dyDescent="0.3">
      <c r="A1079" s="13" t="s">
        <v>15405</v>
      </c>
      <c r="B1079" s="14" t="s">
        <v>13007</v>
      </c>
      <c r="C1079" s="15" t="s">
        <v>15406</v>
      </c>
      <c r="D1079" s="15" t="s">
        <v>15407</v>
      </c>
      <c r="E1079" s="15" t="s">
        <v>15408</v>
      </c>
      <c r="F1079" s="15" t="s">
        <v>15409</v>
      </c>
      <c r="G1079" s="15" t="s">
        <v>15410</v>
      </c>
      <c r="H1079" s="16" t="s">
        <v>15411</v>
      </c>
    </row>
    <row r="1080" spans="1:8" x14ac:dyDescent="0.3">
      <c r="A1080" s="13">
        <v>32220</v>
      </c>
      <c r="B1080" s="14" t="s">
        <v>15412</v>
      </c>
      <c r="C1080" s="15"/>
      <c r="D1080" s="15"/>
      <c r="E1080" s="15"/>
      <c r="F1080" s="15"/>
      <c r="G1080" s="15"/>
      <c r="H1080" s="16"/>
    </row>
    <row r="1081" spans="1:8" ht="78.75" x14ac:dyDescent="0.3">
      <c r="A1081" s="13" t="s">
        <v>15413</v>
      </c>
      <c r="B1081" s="14" t="s">
        <v>12999</v>
      </c>
      <c r="C1081" s="15" t="s">
        <v>15414</v>
      </c>
      <c r="D1081" s="15" t="s">
        <v>15415</v>
      </c>
      <c r="E1081" s="15" t="s">
        <v>15416</v>
      </c>
      <c r="F1081" s="15" t="s">
        <v>15417</v>
      </c>
      <c r="G1081" s="15" t="s">
        <v>15418</v>
      </c>
      <c r="H1081" s="16" t="s">
        <v>15419</v>
      </c>
    </row>
    <row r="1082" spans="1:8" ht="33.75" x14ac:dyDescent="0.3">
      <c r="A1082" s="13" t="s">
        <v>15420</v>
      </c>
      <c r="B1082" s="14" t="s">
        <v>13007</v>
      </c>
      <c r="C1082" s="15" t="s">
        <v>15421</v>
      </c>
      <c r="D1082" s="15" t="s">
        <v>15422</v>
      </c>
      <c r="E1082" s="15" t="s">
        <v>15423</v>
      </c>
      <c r="F1082" s="15" t="s">
        <v>15424</v>
      </c>
      <c r="G1082" s="15" t="s">
        <v>15425</v>
      </c>
      <c r="H1082" s="16" t="s">
        <v>15423</v>
      </c>
    </row>
    <row r="1083" spans="1:8" x14ac:dyDescent="0.3">
      <c r="A1083" s="13">
        <v>32221</v>
      </c>
      <c r="B1083" s="14" t="s">
        <v>15426</v>
      </c>
      <c r="C1083" s="15"/>
      <c r="D1083" s="15"/>
      <c r="E1083" s="15"/>
      <c r="F1083" s="15"/>
      <c r="G1083" s="15"/>
      <c r="H1083" s="16"/>
    </row>
    <row r="1084" spans="1:8" ht="22.5" x14ac:dyDescent="0.3">
      <c r="A1084" s="13" t="s">
        <v>15427</v>
      </c>
      <c r="B1084" s="14" t="s">
        <v>12999</v>
      </c>
      <c r="C1084" s="15" t="s">
        <v>15428</v>
      </c>
      <c r="D1084" s="15" t="s">
        <v>15429</v>
      </c>
      <c r="E1084" s="15" t="s">
        <v>15430</v>
      </c>
      <c r="F1084" s="15" t="s">
        <v>15431</v>
      </c>
      <c r="G1084" s="15" t="s">
        <v>15432</v>
      </c>
      <c r="H1084" s="16" t="s">
        <v>15430</v>
      </c>
    </row>
    <row r="1085" spans="1:8" ht="33.75" x14ac:dyDescent="0.3">
      <c r="A1085" s="13" t="s">
        <v>15433</v>
      </c>
      <c r="B1085" s="14" t="s">
        <v>13007</v>
      </c>
      <c r="C1085" s="15" t="s">
        <v>15434</v>
      </c>
      <c r="D1085" s="15" t="s">
        <v>15435</v>
      </c>
      <c r="E1085" s="15" t="s">
        <v>15436</v>
      </c>
      <c r="F1085" s="15" t="s">
        <v>15437</v>
      </c>
      <c r="G1085" s="15" t="s">
        <v>15438</v>
      </c>
      <c r="H1085" s="16" t="s">
        <v>15439</v>
      </c>
    </row>
    <row r="1086" spans="1:8" x14ac:dyDescent="0.3">
      <c r="A1086" s="13">
        <v>32222</v>
      </c>
      <c r="B1086" s="14" t="s">
        <v>15440</v>
      </c>
      <c r="C1086" s="15"/>
      <c r="D1086" s="15"/>
      <c r="E1086" s="15"/>
      <c r="F1086" s="15"/>
      <c r="G1086" s="15"/>
      <c r="H1086" s="16"/>
    </row>
    <row r="1087" spans="1:8" ht="22.5" x14ac:dyDescent="0.3">
      <c r="A1087" s="13" t="s">
        <v>15441</v>
      </c>
      <c r="B1087" s="14" t="s">
        <v>12999</v>
      </c>
      <c r="C1087" s="15" t="s">
        <v>15442</v>
      </c>
      <c r="D1087" s="15" t="s">
        <v>15443</v>
      </c>
      <c r="E1087" s="15" t="s">
        <v>15444</v>
      </c>
      <c r="F1087" s="15" t="s">
        <v>15445</v>
      </c>
      <c r="G1087" s="15" t="s">
        <v>15444</v>
      </c>
      <c r="H1087" s="16" t="s">
        <v>15444</v>
      </c>
    </row>
    <row r="1088" spans="1:8" ht="33.75" x14ac:dyDescent="0.3">
      <c r="A1088" s="13" t="s">
        <v>15446</v>
      </c>
      <c r="B1088" s="14" t="s">
        <v>13007</v>
      </c>
      <c r="C1088" s="15"/>
      <c r="D1088" s="15" t="s">
        <v>15447</v>
      </c>
      <c r="E1088" s="15" t="s">
        <v>15448</v>
      </c>
      <c r="F1088" s="15" t="s">
        <v>15449</v>
      </c>
      <c r="G1088" s="15" t="s">
        <v>15450</v>
      </c>
      <c r="H1088" s="16" t="s">
        <v>15450</v>
      </c>
    </row>
    <row r="1089" spans="1:8" x14ac:dyDescent="0.3">
      <c r="A1089" s="13">
        <v>32223</v>
      </c>
      <c r="B1089" s="14" t="s">
        <v>15451</v>
      </c>
      <c r="C1089" s="15"/>
      <c r="D1089" s="15"/>
      <c r="E1089" s="15"/>
      <c r="F1089" s="15"/>
      <c r="G1089" s="15"/>
      <c r="H1089" s="16"/>
    </row>
    <row r="1090" spans="1:8" ht="33.75" x14ac:dyDescent="0.3">
      <c r="A1090" s="13" t="s">
        <v>15452</v>
      </c>
      <c r="B1090" s="14" t="s">
        <v>12999</v>
      </c>
      <c r="C1090" s="15" t="s">
        <v>15453</v>
      </c>
      <c r="D1090" s="15" t="s">
        <v>15454</v>
      </c>
      <c r="E1090" s="15" t="s">
        <v>15455</v>
      </c>
      <c r="F1090" s="15" t="s">
        <v>15456</v>
      </c>
      <c r="G1090" s="15" t="s">
        <v>15455</v>
      </c>
      <c r="H1090" s="16" t="s">
        <v>15457</v>
      </c>
    </row>
    <row r="1091" spans="1:8" ht="33.75" x14ac:dyDescent="0.3">
      <c r="A1091" s="13" t="s">
        <v>15458</v>
      </c>
      <c r="B1091" s="14" t="s">
        <v>13007</v>
      </c>
      <c r="C1091" s="15" t="s">
        <v>15459</v>
      </c>
      <c r="D1091" s="15" t="s">
        <v>15460</v>
      </c>
      <c r="E1091" s="15" t="s">
        <v>15461</v>
      </c>
      <c r="F1091" s="15" t="s">
        <v>15462</v>
      </c>
      <c r="G1091" s="15" t="s">
        <v>15463</v>
      </c>
      <c r="H1091" s="16" t="s">
        <v>15464</v>
      </c>
    </row>
    <row r="1092" spans="1:8" x14ac:dyDescent="0.3">
      <c r="A1092" s="13">
        <v>32224</v>
      </c>
      <c r="B1092" s="14" t="s">
        <v>15465</v>
      </c>
      <c r="C1092" s="15"/>
      <c r="D1092" s="15"/>
      <c r="E1092" s="15"/>
      <c r="F1092" s="15"/>
      <c r="G1092" s="15"/>
      <c r="H1092" s="16"/>
    </row>
    <row r="1093" spans="1:8" ht="33.75" x14ac:dyDescent="0.3">
      <c r="A1093" s="13" t="s">
        <v>15466</v>
      </c>
      <c r="B1093" s="14" t="s">
        <v>12999</v>
      </c>
      <c r="C1093" s="15" t="s">
        <v>15467</v>
      </c>
      <c r="D1093" s="15" t="s">
        <v>15468</v>
      </c>
      <c r="E1093" s="15" t="s">
        <v>15469</v>
      </c>
      <c r="F1093" s="15" t="s">
        <v>15470</v>
      </c>
      <c r="G1093" s="15" t="s">
        <v>15471</v>
      </c>
      <c r="H1093" s="16" t="s">
        <v>15472</v>
      </c>
    </row>
    <row r="1094" spans="1:8" ht="33.75" x14ac:dyDescent="0.3">
      <c r="A1094" s="13" t="s">
        <v>15473</v>
      </c>
      <c r="B1094" s="14" t="s">
        <v>13007</v>
      </c>
      <c r="C1094" s="15" t="s">
        <v>15474</v>
      </c>
      <c r="D1094" s="15" t="s">
        <v>15475</v>
      </c>
      <c r="E1094" s="15" t="s">
        <v>15476</v>
      </c>
      <c r="F1094" s="15" t="s">
        <v>15477</v>
      </c>
      <c r="G1094" s="15" t="s">
        <v>15478</v>
      </c>
      <c r="H1094" s="16" t="s">
        <v>15479</v>
      </c>
    </row>
    <row r="1095" spans="1:8" x14ac:dyDescent="0.3">
      <c r="A1095" s="13">
        <v>32225</v>
      </c>
      <c r="B1095" s="14" t="s">
        <v>15480</v>
      </c>
      <c r="C1095" s="15"/>
      <c r="D1095" s="15"/>
      <c r="E1095" s="15"/>
      <c r="F1095" s="15"/>
      <c r="G1095" s="15"/>
      <c r="H1095" s="16"/>
    </row>
    <row r="1096" spans="1:8" ht="33.75" x14ac:dyDescent="0.3">
      <c r="A1096" s="13" t="s">
        <v>15481</v>
      </c>
      <c r="B1096" s="14" t="s">
        <v>12999</v>
      </c>
      <c r="C1096" s="15" t="s">
        <v>15482</v>
      </c>
      <c r="D1096" s="15" t="s">
        <v>15483</v>
      </c>
      <c r="E1096" s="15" t="s">
        <v>15484</v>
      </c>
      <c r="F1096" s="15" t="s">
        <v>15485</v>
      </c>
      <c r="G1096" s="15" t="s">
        <v>15486</v>
      </c>
      <c r="H1096" s="16" t="s">
        <v>15485</v>
      </c>
    </row>
    <row r="1097" spans="1:8" ht="56.25" x14ac:dyDescent="0.3">
      <c r="A1097" s="13" t="s">
        <v>15487</v>
      </c>
      <c r="B1097" s="14" t="s">
        <v>13007</v>
      </c>
      <c r="C1097" s="15" t="s">
        <v>15488</v>
      </c>
      <c r="D1097" s="15" t="s">
        <v>15489</v>
      </c>
      <c r="E1097" s="15" t="s">
        <v>15490</v>
      </c>
      <c r="F1097" s="15" t="s">
        <v>15491</v>
      </c>
      <c r="G1097" s="15" t="s">
        <v>15492</v>
      </c>
      <c r="H1097" s="16" t="s">
        <v>15490</v>
      </c>
    </row>
    <row r="1098" spans="1:8" x14ac:dyDescent="0.3">
      <c r="A1098" s="13">
        <v>32226</v>
      </c>
      <c r="B1098" s="14" t="s">
        <v>15493</v>
      </c>
      <c r="C1098" s="15"/>
      <c r="D1098" s="15"/>
      <c r="E1098" s="15"/>
      <c r="F1098" s="15"/>
      <c r="G1098" s="15"/>
      <c r="H1098" s="16"/>
    </row>
    <row r="1099" spans="1:8" ht="22.5" x14ac:dyDescent="0.3">
      <c r="A1099" s="13" t="s">
        <v>15494</v>
      </c>
      <c r="B1099" s="14" t="s">
        <v>12999</v>
      </c>
      <c r="C1099" s="15" t="s">
        <v>15495</v>
      </c>
      <c r="D1099" s="15" t="s">
        <v>15496</v>
      </c>
      <c r="E1099" s="15" t="s">
        <v>15497</v>
      </c>
      <c r="F1099" s="15" t="s">
        <v>15498</v>
      </c>
      <c r="G1099" s="15" t="s">
        <v>15499</v>
      </c>
      <c r="H1099" s="16" t="s">
        <v>15500</v>
      </c>
    </row>
    <row r="1100" spans="1:8" ht="33.75" x14ac:dyDescent="0.3">
      <c r="A1100" s="13" t="s">
        <v>15501</v>
      </c>
      <c r="B1100" s="14" t="s">
        <v>13007</v>
      </c>
      <c r="C1100" s="15" t="s">
        <v>15502</v>
      </c>
      <c r="D1100" s="15" t="s">
        <v>15503</v>
      </c>
      <c r="E1100" s="15" t="s">
        <v>15504</v>
      </c>
      <c r="F1100" s="15" t="s">
        <v>15505</v>
      </c>
      <c r="G1100" s="15" t="s">
        <v>15506</v>
      </c>
      <c r="H1100" s="16" t="s">
        <v>15507</v>
      </c>
    </row>
    <row r="1101" spans="1:8" x14ac:dyDescent="0.3">
      <c r="A1101" s="13">
        <v>32227</v>
      </c>
      <c r="B1101" s="14" t="s">
        <v>15508</v>
      </c>
      <c r="C1101" s="15"/>
      <c r="D1101" s="15"/>
      <c r="E1101" s="15"/>
      <c r="F1101" s="15"/>
      <c r="G1101" s="15"/>
      <c r="H1101" s="16"/>
    </row>
    <row r="1102" spans="1:8" ht="56.25" x14ac:dyDescent="0.3">
      <c r="A1102" s="13" t="s">
        <v>15509</v>
      </c>
      <c r="B1102" s="14" t="s">
        <v>12999</v>
      </c>
      <c r="C1102" s="15" t="s">
        <v>15510</v>
      </c>
      <c r="D1102" s="15" t="s">
        <v>15511</v>
      </c>
      <c r="E1102" s="15" t="s">
        <v>15511</v>
      </c>
      <c r="F1102" s="15" t="s">
        <v>15512</v>
      </c>
      <c r="G1102" s="15" t="s">
        <v>15513</v>
      </c>
      <c r="H1102" s="16" t="s">
        <v>15514</v>
      </c>
    </row>
    <row r="1103" spans="1:8" ht="45" x14ac:dyDescent="0.3">
      <c r="A1103" s="13" t="s">
        <v>15515</v>
      </c>
      <c r="B1103" s="14" t="s">
        <v>13007</v>
      </c>
      <c r="C1103" s="15" t="s">
        <v>15516</v>
      </c>
      <c r="D1103" s="15" t="s">
        <v>15517</v>
      </c>
      <c r="E1103" s="15" t="s">
        <v>15518</v>
      </c>
      <c r="F1103" s="15" t="s">
        <v>15519</v>
      </c>
      <c r="G1103" s="15" t="s">
        <v>15520</v>
      </c>
      <c r="H1103" s="16" t="s">
        <v>15521</v>
      </c>
    </row>
    <row r="1104" spans="1:8" x14ac:dyDescent="0.3">
      <c r="A1104" s="13">
        <v>32228</v>
      </c>
      <c r="B1104" s="14" t="s">
        <v>15522</v>
      </c>
      <c r="C1104" s="15"/>
      <c r="D1104" s="15"/>
      <c r="E1104" s="15"/>
      <c r="F1104" s="15"/>
      <c r="G1104" s="15"/>
      <c r="H1104" s="16"/>
    </row>
    <row r="1105" spans="1:8" ht="22.5" x14ac:dyDescent="0.3">
      <c r="A1105" s="13" t="s">
        <v>15523</v>
      </c>
      <c r="B1105" s="14" t="s">
        <v>12999</v>
      </c>
      <c r="C1105" s="15" t="s">
        <v>15524</v>
      </c>
      <c r="D1105" s="15" t="s">
        <v>15525</v>
      </c>
      <c r="E1105" s="15" t="s">
        <v>15526</v>
      </c>
      <c r="F1105" s="15" t="s">
        <v>12125</v>
      </c>
      <c r="G1105" s="15" t="s">
        <v>15527</v>
      </c>
      <c r="H1105" s="16" t="s">
        <v>15528</v>
      </c>
    </row>
    <row r="1106" spans="1:8" ht="33.75" x14ac:dyDescent="0.3">
      <c r="A1106" s="13" t="s">
        <v>15529</v>
      </c>
      <c r="B1106" s="14" t="s">
        <v>13007</v>
      </c>
      <c r="C1106" s="15" t="s">
        <v>15530</v>
      </c>
      <c r="D1106" s="15" t="s">
        <v>15531</v>
      </c>
      <c r="E1106" s="15" t="s">
        <v>15532</v>
      </c>
      <c r="F1106" s="15" t="s">
        <v>15533</v>
      </c>
      <c r="G1106" s="15" t="s">
        <v>15534</v>
      </c>
      <c r="H1106" s="16" t="s">
        <v>15535</v>
      </c>
    </row>
    <row r="1107" spans="1:8" x14ac:dyDescent="0.3">
      <c r="A1107" s="13">
        <v>32229</v>
      </c>
      <c r="B1107" s="14" t="s">
        <v>15536</v>
      </c>
      <c r="C1107" s="15"/>
      <c r="D1107" s="15"/>
      <c r="E1107" s="15"/>
      <c r="F1107" s="15"/>
      <c r="G1107" s="15"/>
      <c r="H1107" s="16"/>
    </row>
    <row r="1108" spans="1:8" ht="22.5" x14ac:dyDescent="0.3">
      <c r="A1108" s="13" t="s">
        <v>15537</v>
      </c>
      <c r="B1108" s="14" t="s">
        <v>12999</v>
      </c>
      <c r="C1108" s="15" t="s">
        <v>15538</v>
      </c>
      <c r="D1108" s="15" t="s">
        <v>15539</v>
      </c>
      <c r="E1108" s="15" t="s">
        <v>15540</v>
      </c>
      <c r="F1108" s="15" t="s">
        <v>15541</v>
      </c>
      <c r="G1108" s="15" t="s">
        <v>15542</v>
      </c>
      <c r="H1108" s="16" t="s">
        <v>15543</v>
      </c>
    </row>
    <row r="1109" spans="1:8" ht="56.25" x14ac:dyDescent="0.3">
      <c r="A1109" s="13" t="s">
        <v>15544</v>
      </c>
      <c r="B1109" s="14" t="s">
        <v>13007</v>
      </c>
      <c r="C1109" s="15" t="s">
        <v>15545</v>
      </c>
      <c r="D1109" s="15" t="s">
        <v>15546</v>
      </c>
      <c r="E1109" s="15" t="s">
        <v>15547</v>
      </c>
      <c r="F1109" s="15" t="s">
        <v>15548</v>
      </c>
      <c r="G1109" s="15" t="s">
        <v>15549</v>
      </c>
      <c r="H1109" s="16" t="s">
        <v>15550</v>
      </c>
    </row>
    <row r="1110" spans="1:8" x14ac:dyDescent="0.3">
      <c r="A1110" s="13">
        <v>32230</v>
      </c>
      <c r="B1110" s="14" t="s">
        <v>15551</v>
      </c>
      <c r="C1110" s="15"/>
      <c r="D1110" s="15"/>
      <c r="E1110" s="15"/>
      <c r="F1110" s="15"/>
      <c r="G1110" s="15"/>
      <c r="H1110" s="16"/>
    </row>
    <row r="1111" spans="1:8" ht="33.75" x14ac:dyDescent="0.3">
      <c r="A1111" s="13" t="s">
        <v>15552</v>
      </c>
      <c r="B1111" s="14" t="s">
        <v>12999</v>
      </c>
      <c r="C1111" s="15" t="s">
        <v>15553</v>
      </c>
      <c r="D1111" s="15" t="s">
        <v>15554</v>
      </c>
      <c r="E1111" s="15" t="s">
        <v>15555</v>
      </c>
      <c r="F1111" s="15" t="s">
        <v>15556</v>
      </c>
      <c r="G1111" s="15" t="s">
        <v>15555</v>
      </c>
      <c r="H1111" s="16" t="s">
        <v>15557</v>
      </c>
    </row>
    <row r="1112" spans="1:8" ht="33.75" x14ac:dyDescent="0.3">
      <c r="A1112" s="13" t="s">
        <v>15558</v>
      </c>
      <c r="B1112" s="14" t="s">
        <v>13007</v>
      </c>
      <c r="C1112" s="15" t="s">
        <v>15559</v>
      </c>
      <c r="D1112" s="15" t="s">
        <v>15560</v>
      </c>
      <c r="E1112" s="15" t="s">
        <v>15561</v>
      </c>
      <c r="F1112" s="15" t="s">
        <v>10702</v>
      </c>
      <c r="G1112" s="15" t="s">
        <v>15562</v>
      </c>
      <c r="H1112" s="16" t="s">
        <v>15563</v>
      </c>
    </row>
    <row r="1113" spans="1:8" x14ac:dyDescent="0.3">
      <c r="A1113" s="13">
        <v>32231</v>
      </c>
      <c r="B1113" s="14" t="s">
        <v>15564</v>
      </c>
      <c r="C1113" s="15"/>
      <c r="D1113" s="15"/>
      <c r="E1113" s="15"/>
      <c r="F1113" s="15"/>
      <c r="G1113" s="15"/>
      <c r="H1113" s="16"/>
    </row>
    <row r="1114" spans="1:8" ht="33.75" x14ac:dyDescent="0.3">
      <c r="A1114" s="13" t="s">
        <v>15565</v>
      </c>
      <c r="B1114" s="14" t="s">
        <v>12999</v>
      </c>
      <c r="C1114" s="15" t="s">
        <v>15566</v>
      </c>
      <c r="D1114" s="15" t="s">
        <v>15567</v>
      </c>
      <c r="E1114" s="15" t="s">
        <v>15568</v>
      </c>
      <c r="F1114" s="15" t="s">
        <v>15569</v>
      </c>
      <c r="G1114" s="15" t="s">
        <v>15555</v>
      </c>
      <c r="H1114" s="16" t="s">
        <v>15570</v>
      </c>
    </row>
    <row r="1115" spans="1:8" ht="56.25" x14ac:dyDescent="0.3">
      <c r="A1115" s="13" t="s">
        <v>15571</v>
      </c>
      <c r="B1115" s="14" t="s">
        <v>13007</v>
      </c>
      <c r="C1115" s="15" t="s">
        <v>15572</v>
      </c>
      <c r="D1115" s="15" t="s">
        <v>15573</v>
      </c>
      <c r="E1115" s="15" t="s">
        <v>15574</v>
      </c>
      <c r="F1115" s="15" t="s">
        <v>10702</v>
      </c>
      <c r="G1115" s="15" t="s">
        <v>15563</v>
      </c>
      <c r="H1115" s="16" t="s">
        <v>10702</v>
      </c>
    </row>
    <row r="1116" spans="1:8" x14ac:dyDescent="0.3">
      <c r="A1116" s="13">
        <v>32232</v>
      </c>
      <c r="B1116" s="14" t="s">
        <v>15575</v>
      </c>
      <c r="C1116" s="15"/>
      <c r="D1116" s="15"/>
      <c r="E1116" s="15"/>
      <c r="F1116" s="15"/>
      <c r="G1116" s="15"/>
      <c r="H1116" s="16"/>
    </row>
    <row r="1117" spans="1:8" ht="22.5" x14ac:dyDescent="0.3">
      <c r="A1117" s="13" t="s">
        <v>15576</v>
      </c>
      <c r="B1117" s="14" t="s">
        <v>12999</v>
      </c>
      <c r="C1117" s="15" t="s">
        <v>15577</v>
      </c>
      <c r="D1117" s="15" t="s">
        <v>15578</v>
      </c>
      <c r="E1117" s="15" t="s">
        <v>15579</v>
      </c>
      <c r="F1117" s="15" t="s">
        <v>15580</v>
      </c>
      <c r="G1117" s="15" t="s">
        <v>15581</v>
      </c>
      <c r="H1117" s="16" t="s">
        <v>15582</v>
      </c>
    </row>
    <row r="1118" spans="1:8" ht="67.5" x14ac:dyDescent="0.3">
      <c r="A1118" s="13" t="s">
        <v>15583</v>
      </c>
      <c r="B1118" s="14" t="s">
        <v>13007</v>
      </c>
      <c r="C1118" s="15" t="s">
        <v>15584</v>
      </c>
      <c r="D1118" s="15" t="s">
        <v>15585</v>
      </c>
      <c r="E1118" s="15" t="s">
        <v>15586</v>
      </c>
      <c r="F1118" s="15" t="s">
        <v>15587</v>
      </c>
      <c r="G1118" s="15" t="s">
        <v>15588</v>
      </c>
      <c r="H1118" s="16" t="s">
        <v>15589</v>
      </c>
    </row>
    <row r="1119" spans="1:8" x14ac:dyDescent="0.3">
      <c r="A1119" s="13">
        <v>32233</v>
      </c>
      <c r="B1119" s="14" t="s">
        <v>15590</v>
      </c>
      <c r="C1119" s="15"/>
      <c r="D1119" s="15"/>
      <c r="E1119" s="15"/>
      <c r="F1119" s="15"/>
      <c r="G1119" s="15"/>
      <c r="H1119" s="16"/>
    </row>
    <row r="1120" spans="1:8" ht="22.5" x14ac:dyDescent="0.3">
      <c r="A1120" s="13" t="s">
        <v>15591</v>
      </c>
      <c r="B1120" s="14" t="s">
        <v>12999</v>
      </c>
      <c r="C1120" s="15" t="s">
        <v>15592</v>
      </c>
      <c r="D1120" s="15" t="s">
        <v>15593</v>
      </c>
      <c r="E1120" s="15" t="s">
        <v>15594</v>
      </c>
      <c r="F1120" s="15" t="s">
        <v>15595</v>
      </c>
      <c r="G1120" s="15" t="s">
        <v>15596</v>
      </c>
      <c r="H1120" s="16" t="s">
        <v>15597</v>
      </c>
    </row>
    <row r="1121" spans="1:8" ht="33.75" x14ac:dyDescent="0.3">
      <c r="A1121" s="13" t="s">
        <v>15598</v>
      </c>
      <c r="B1121" s="14" t="s">
        <v>13007</v>
      </c>
      <c r="C1121" s="15" t="s">
        <v>15599</v>
      </c>
      <c r="D1121" s="15" t="s">
        <v>15600</v>
      </c>
      <c r="E1121" s="15" t="s">
        <v>15601</v>
      </c>
      <c r="F1121" s="15" t="s">
        <v>15602</v>
      </c>
      <c r="G1121" s="15" t="s">
        <v>15603</v>
      </c>
      <c r="H1121" s="16" t="s">
        <v>15604</v>
      </c>
    </row>
    <row r="1122" spans="1:8" x14ac:dyDescent="0.3">
      <c r="A1122" s="13">
        <v>32234</v>
      </c>
      <c r="B1122" s="14" t="s">
        <v>15605</v>
      </c>
      <c r="C1122" s="15"/>
      <c r="D1122" s="15"/>
      <c r="E1122" s="15"/>
      <c r="F1122" s="15"/>
      <c r="G1122" s="15"/>
      <c r="H1122" s="16"/>
    </row>
    <row r="1123" spans="1:8" ht="45" x14ac:dyDescent="0.3">
      <c r="A1123" s="13" t="s">
        <v>15606</v>
      </c>
      <c r="B1123" s="14" t="s">
        <v>12999</v>
      </c>
      <c r="C1123" s="15" t="s">
        <v>15607</v>
      </c>
      <c r="D1123" s="15" t="s">
        <v>15608</v>
      </c>
      <c r="E1123" s="15" t="s">
        <v>15609</v>
      </c>
      <c r="F1123" s="15" t="s">
        <v>15610</v>
      </c>
      <c r="G1123" s="15" t="s">
        <v>15611</v>
      </c>
      <c r="H1123" s="16" t="s">
        <v>15612</v>
      </c>
    </row>
    <row r="1124" spans="1:8" ht="33.75" x14ac:dyDescent="0.3">
      <c r="A1124" s="13" t="s">
        <v>15613</v>
      </c>
      <c r="B1124" s="14" t="s">
        <v>13007</v>
      </c>
      <c r="C1124" s="15" t="s">
        <v>15614</v>
      </c>
      <c r="D1124" s="15" t="s">
        <v>15615</v>
      </c>
      <c r="E1124" s="15" t="s">
        <v>15616</v>
      </c>
      <c r="F1124" s="15" t="s">
        <v>15617</v>
      </c>
      <c r="G1124" s="15" t="s">
        <v>15618</v>
      </c>
      <c r="H1124" s="16" t="s">
        <v>15619</v>
      </c>
    </row>
    <row r="1125" spans="1:8" x14ac:dyDescent="0.3">
      <c r="A1125" s="13">
        <v>32235</v>
      </c>
      <c r="B1125" s="14" t="s">
        <v>15620</v>
      </c>
      <c r="C1125" s="15"/>
      <c r="D1125" s="15"/>
      <c r="E1125" s="15"/>
      <c r="F1125" s="15"/>
      <c r="G1125" s="15"/>
      <c r="H1125" s="16"/>
    </row>
    <row r="1126" spans="1:8" ht="56.25" x14ac:dyDescent="0.3">
      <c r="A1126" s="13" t="s">
        <v>15621</v>
      </c>
      <c r="B1126" s="14" t="s">
        <v>12999</v>
      </c>
      <c r="C1126" s="15" t="s">
        <v>15622</v>
      </c>
      <c r="D1126" s="15" t="s">
        <v>15623</v>
      </c>
      <c r="E1126" s="15" t="s">
        <v>15624</v>
      </c>
      <c r="F1126" s="15" t="s">
        <v>15624</v>
      </c>
      <c r="G1126" s="15" t="s">
        <v>15625</v>
      </c>
      <c r="H1126" s="16" t="s">
        <v>15624</v>
      </c>
    </row>
    <row r="1127" spans="1:8" ht="33.75" x14ac:dyDescent="0.3">
      <c r="A1127" s="13" t="s">
        <v>15626</v>
      </c>
      <c r="B1127" s="14" t="s">
        <v>13007</v>
      </c>
      <c r="C1127" s="15" t="s">
        <v>15627</v>
      </c>
      <c r="D1127" s="15" t="s">
        <v>15628</v>
      </c>
      <c r="E1127" s="15" t="s">
        <v>15629</v>
      </c>
      <c r="F1127" s="15" t="s">
        <v>15630</v>
      </c>
      <c r="G1127" s="15" t="s">
        <v>15631</v>
      </c>
      <c r="H1127" s="16" t="s">
        <v>15632</v>
      </c>
    </row>
    <row r="1128" spans="1:8" x14ac:dyDescent="0.3">
      <c r="A1128" s="13">
        <v>32236</v>
      </c>
      <c r="B1128" s="14" t="s">
        <v>15633</v>
      </c>
      <c r="C1128" s="15"/>
      <c r="D1128" s="15"/>
      <c r="E1128" s="15"/>
      <c r="F1128" s="15"/>
      <c r="G1128" s="15"/>
      <c r="H1128" s="16"/>
    </row>
    <row r="1129" spans="1:8" ht="45" x14ac:dyDescent="0.3">
      <c r="A1129" s="13" t="s">
        <v>15634</v>
      </c>
      <c r="B1129" s="14" t="s">
        <v>12999</v>
      </c>
      <c r="C1129" s="15" t="s">
        <v>15635</v>
      </c>
      <c r="D1129" s="15" t="s">
        <v>15636</v>
      </c>
      <c r="E1129" s="15" t="s">
        <v>15637</v>
      </c>
      <c r="F1129" s="15" t="s">
        <v>15637</v>
      </c>
      <c r="G1129" s="15" t="s">
        <v>15637</v>
      </c>
      <c r="H1129" s="16" t="s">
        <v>15638</v>
      </c>
    </row>
    <row r="1130" spans="1:8" ht="33.75" x14ac:dyDescent="0.3">
      <c r="A1130" s="13" t="s">
        <v>15639</v>
      </c>
      <c r="B1130" s="14" t="s">
        <v>13007</v>
      </c>
      <c r="C1130" s="15" t="s">
        <v>15640</v>
      </c>
      <c r="D1130" s="15" t="s">
        <v>15641</v>
      </c>
      <c r="E1130" s="15" t="s">
        <v>15642</v>
      </c>
      <c r="F1130" s="15" t="s">
        <v>15642</v>
      </c>
      <c r="G1130" s="15" t="s">
        <v>15643</v>
      </c>
      <c r="H1130" s="16" t="s">
        <v>15642</v>
      </c>
    </row>
    <row r="1131" spans="1:8" x14ac:dyDescent="0.3">
      <c r="A1131" s="13">
        <v>32237</v>
      </c>
      <c r="B1131" s="14" t="s">
        <v>15644</v>
      </c>
      <c r="C1131" s="15"/>
      <c r="D1131" s="15"/>
      <c r="E1131" s="15"/>
      <c r="F1131" s="15"/>
      <c r="G1131" s="15"/>
      <c r="H1131" s="16"/>
    </row>
    <row r="1132" spans="1:8" ht="33.75" x14ac:dyDescent="0.3">
      <c r="A1132" s="13" t="s">
        <v>15645</v>
      </c>
      <c r="B1132" s="14" t="s">
        <v>12999</v>
      </c>
      <c r="C1132" s="15" t="s">
        <v>15646</v>
      </c>
      <c r="D1132" s="15" t="s">
        <v>15647</v>
      </c>
      <c r="E1132" s="15" t="s">
        <v>15648</v>
      </c>
      <c r="F1132" s="15" t="s">
        <v>15649</v>
      </c>
      <c r="G1132" s="15" t="s">
        <v>15650</v>
      </c>
      <c r="H1132" s="16" t="s">
        <v>15651</v>
      </c>
    </row>
    <row r="1133" spans="1:8" ht="33.75" x14ac:dyDescent="0.3">
      <c r="A1133" s="13" t="s">
        <v>15652</v>
      </c>
      <c r="B1133" s="14" t="s">
        <v>13007</v>
      </c>
      <c r="C1133" s="15" t="s">
        <v>15653</v>
      </c>
      <c r="D1133" s="15" t="s">
        <v>15654</v>
      </c>
      <c r="E1133" s="15" t="s">
        <v>15655</v>
      </c>
      <c r="F1133" s="15" t="s">
        <v>15656</v>
      </c>
      <c r="G1133" s="15" t="s">
        <v>15657</v>
      </c>
      <c r="H1133" s="16" t="s">
        <v>15658</v>
      </c>
    </row>
    <row r="1134" spans="1:8" x14ac:dyDescent="0.3">
      <c r="A1134" s="13">
        <v>32238</v>
      </c>
      <c r="B1134" s="14" t="s">
        <v>15659</v>
      </c>
      <c r="C1134" s="15"/>
      <c r="D1134" s="15"/>
      <c r="E1134" s="15"/>
      <c r="F1134" s="15"/>
      <c r="G1134" s="15"/>
      <c r="H1134" s="16"/>
    </row>
    <row r="1135" spans="1:8" ht="33.75" x14ac:dyDescent="0.3">
      <c r="A1135" s="13" t="s">
        <v>15660</v>
      </c>
      <c r="B1135" s="14" t="s">
        <v>12999</v>
      </c>
      <c r="C1135" s="15" t="s">
        <v>15661</v>
      </c>
      <c r="D1135" s="15" t="s">
        <v>15662</v>
      </c>
      <c r="E1135" s="15" t="s">
        <v>15663</v>
      </c>
      <c r="F1135" s="15" t="s">
        <v>15664</v>
      </c>
      <c r="G1135" s="15" t="s">
        <v>15665</v>
      </c>
      <c r="H1135" s="16" t="s">
        <v>15666</v>
      </c>
    </row>
    <row r="1136" spans="1:8" ht="45" x14ac:dyDescent="0.3">
      <c r="A1136" s="13" t="s">
        <v>15667</v>
      </c>
      <c r="B1136" s="14" t="s">
        <v>13007</v>
      </c>
      <c r="C1136" s="15" t="s">
        <v>15668</v>
      </c>
      <c r="D1136" s="15" t="s">
        <v>15669</v>
      </c>
      <c r="E1136" s="15" t="s">
        <v>15670</v>
      </c>
      <c r="F1136" s="15" t="s">
        <v>15671</v>
      </c>
      <c r="G1136" s="15" t="s">
        <v>15672</v>
      </c>
      <c r="H1136" s="16" t="s">
        <v>15672</v>
      </c>
    </row>
    <row r="1137" spans="1:8" ht="22.5" x14ac:dyDescent="0.3">
      <c r="A1137" s="13">
        <v>32239</v>
      </c>
      <c r="B1137" s="14" t="s">
        <v>15673</v>
      </c>
      <c r="C1137" s="15"/>
      <c r="D1137" s="15"/>
      <c r="E1137" s="15"/>
      <c r="F1137" s="15"/>
      <c r="G1137" s="15"/>
      <c r="H1137" s="16"/>
    </row>
    <row r="1138" spans="1:8" ht="67.5" x14ac:dyDescent="0.3">
      <c r="A1138" s="13" t="s">
        <v>15674</v>
      </c>
      <c r="B1138" s="14" t="s">
        <v>12999</v>
      </c>
      <c r="C1138" s="15" t="s">
        <v>15675</v>
      </c>
      <c r="D1138" s="15" t="s">
        <v>15676</v>
      </c>
      <c r="E1138" s="15" t="s">
        <v>15677</v>
      </c>
      <c r="F1138" s="15" t="s">
        <v>15678</v>
      </c>
      <c r="G1138" s="15" t="s">
        <v>15679</v>
      </c>
      <c r="H1138" s="16" t="s">
        <v>15680</v>
      </c>
    </row>
    <row r="1139" spans="1:8" ht="45" x14ac:dyDescent="0.3">
      <c r="A1139" s="13" t="s">
        <v>15681</v>
      </c>
      <c r="B1139" s="14" t="s">
        <v>13007</v>
      </c>
      <c r="C1139" s="15" t="s">
        <v>15682</v>
      </c>
      <c r="D1139" s="15" t="s">
        <v>15683</v>
      </c>
      <c r="E1139" s="15" t="s">
        <v>15684</v>
      </c>
      <c r="F1139" s="15" t="s">
        <v>15685</v>
      </c>
      <c r="G1139" s="15" t="s">
        <v>15686</v>
      </c>
      <c r="H1139" s="16" t="s">
        <v>15687</v>
      </c>
    </row>
    <row r="1140" spans="1:8" x14ac:dyDescent="0.3">
      <c r="A1140" s="13">
        <v>32240</v>
      </c>
      <c r="B1140" s="14" t="s">
        <v>15688</v>
      </c>
      <c r="C1140" s="15"/>
      <c r="D1140" s="15"/>
      <c r="E1140" s="15"/>
      <c r="F1140" s="15"/>
      <c r="G1140" s="15"/>
      <c r="H1140" s="16"/>
    </row>
    <row r="1141" spans="1:8" ht="45" x14ac:dyDescent="0.3">
      <c r="A1141" s="13" t="s">
        <v>15689</v>
      </c>
      <c r="B1141" s="14" t="s">
        <v>12999</v>
      </c>
      <c r="C1141" s="15" t="s">
        <v>15690</v>
      </c>
      <c r="D1141" s="15" t="s">
        <v>15691</v>
      </c>
      <c r="E1141" s="15" t="s">
        <v>15692</v>
      </c>
      <c r="F1141" s="15" t="s">
        <v>15693</v>
      </c>
      <c r="G1141" s="15" t="s">
        <v>15694</v>
      </c>
      <c r="H1141" s="16" t="s">
        <v>15695</v>
      </c>
    </row>
    <row r="1142" spans="1:8" ht="45" x14ac:dyDescent="0.3">
      <c r="A1142" s="13" t="s">
        <v>15696</v>
      </c>
      <c r="B1142" s="14" t="s">
        <v>13007</v>
      </c>
      <c r="C1142" s="15" t="s">
        <v>15697</v>
      </c>
      <c r="D1142" s="15" t="s">
        <v>15698</v>
      </c>
      <c r="E1142" s="15" t="s">
        <v>15699</v>
      </c>
      <c r="F1142" s="15" t="s">
        <v>15700</v>
      </c>
      <c r="G1142" s="15" t="s">
        <v>15701</v>
      </c>
      <c r="H1142" s="16" t="s">
        <v>15702</v>
      </c>
    </row>
    <row r="1143" spans="1:8" x14ac:dyDescent="0.3">
      <c r="A1143" s="13">
        <v>32241</v>
      </c>
      <c r="B1143" s="14" t="s">
        <v>15703</v>
      </c>
      <c r="C1143" s="15"/>
      <c r="D1143" s="15"/>
      <c r="E1143" s="15"/>
      <c r="F1143" s="15"/>
      <c r="G1143" s="15"/>
      <c r="H1143" s="16"/>
    </row>
    <row r="1144" spans="1:8" ht="101.25" x14ac:dyDescent="0.3">
      <c r="A1144" s="13" t="s">
        <v>15704</v>
      </c>
      <c r="B1144" s="14" t="s">
        <v>12999</v>
      </c>
      <c r="C1144" s="15" t="s">
        <v>15705</v>
      </c>
      <c r="D1144" s="15" t="s">
        <v>15706</v>
      </c>
      <c r="E1144" s="15" t="s">
        <v>15707</v>
      </c>
      <c r="F1144" s="15" t="s">
        <v>15708</v>
      </c>
      <c r="G1144" s="15" t="s">
        <v>15709</v>
      </c>
      <c r="H1144" s="16" t="s">
        <v>15710</v>
      </c>
    </row>
    <row r="1145" spans="1:8" ht="45" x14ac:dyDescent="0.3">
      <c r="A1145" s="13" t="s">
        <v>15711</v>
      </c>
      <c r="B1145" s="14" t="s">
        <v>13007</v>
      </c>
      <c r="C1145" s="15" t="s">
        <v>15712</v>
      </c>
      <c r="D1145" s="15" t="s">
        <v>15713</v>
      </c>
      <c r="E1145" s="15" t="s">
        <v>15714</v>
      </c>
      <c r="F1145" s="15" t="s">
        <v>15715</v>
      </c>
      <c r="G1145" s="15" t="s">
        <v>15716</v>
      </c>
      <c r="H1145" s="16" t="s">
        <v>15717</v>
      </c>
    </row>
    <row r="1146" spans="1:8" x14ac:dyDescent="0.3">
      <c r="A1146" s="13">
        <v>32242</v>
      </c>
      <c r="B1146" s="14" t="s">
        <v>15718</v>
      </c>
      <c r="C1146" s="15"/>
      <c r="D1146" s="15"/>
      <c r="E1146" s="15"/>
      <c r="F1146" s="15"/>
      <c r="G1146" s="15"/>
      <c r="H1146" s="16"/>
    </row>
    <row r="1147" spans="1:8" ht="33.75" x14ac:dyDescent="0.3">
      <c r="A1147" s="13" t="s">
        <v>15719</v>
      </c>
      <c r="B1147" s="14" t="s">
        <v>12999</v>
      </c>
      <c r="C1147" s="15" t="s">
        <v>15720</v>
      </c>
      <c r="D1147" s="15" t="s">
        <v>15721</v>
      </c>
      <c r="E1147" s="15" t="s">
        <v>15722</v>
      </c>
      <c r="F1147" s="15" t="s">
        <v>15723</v>
      </c>
      <c r="G1147" s="15" t="s">
        <v>15724</v>
      </c>
      <c r="H1147" s="16" t="s">
        <v>15725</v>
      </c>
    </row>
    <row r="1148" spans="1:8" ht="33.75" x14ac:dyDescent="0.3">
      <c r="A1148" s="13" t="s">
        <v>15726</v>
      </c>
      <c r="B1148" s="14" t="s">
        <v>13007</v>
      </c>
      <c r="C1148" s="15" t="s">
        <v>15727</v>
      </c>
      <c r="D1148" s="15" t="s">
        <v>15728</v>
      </c>
      <c r="E1148" s="15" t="s">
        <v>15729</v>
      </c>
      <c r="F1148" s="15" t="s">
        <v>15730</v>
      </c>
      <c r="G1148" s="15" t="s">
        <v>15731</v>
      </c>
      <c r="H1148" s="16" t="s">
        <v>15730</v>
      </c>
    </row>
    <row r="1149" spans="1:8" x14ac:dyDescent="0.3">
      <c r="A1149" s="13">
        <v>32243</v>
      </c>
      <c r="B1149" s="14" t="s">
        <v>15732</v>
      </c>
      <c r="C1149" s="15"/>
      <c r="D1149" s="15"/>
      <c r="E1149" s="15"/>
      <c r="F1149" s="15"/>
      <c r="G1149" s="15"/>
      <c r="H1149" s="16"/>
    </row>
    <row r="1150" spans="1:8" ht="56.25" x14ac:dyDescent="0.3">
      <c r="A1150" s="13" t="s">
        <v>15733</v>
      </c>
      <c r="B1150" s="14" t="s">
        <v>12999</v>
      </c>
      <c r="C1150" s="15" t="s">
        <v>15734</v>
      </c>
      <c r="D1150" s="15" t="s">
        <v>15735</v>
      </c>
      <c r="E1150" s="15" t="s">
        <v>15736</v>
      </c>
      <c r="F1150" s="15" t="s">
        <v>15737</v>
      </c>
      <c r="G1150" s="15" t="s">
        <v>15738</v>
      </c>
      <c r="H1150" s="16" t="s">
        <v>15739</v>
      </c>
    </row>
    <row r="1151" spans="1:8" ht="45" x14ac:dyDescent="0.3">
      <c r="A1151" s="13" t="s">
        <v>15740</v>
      </c>
      <c r="B1151" s="14" t="s">
        <v>13007</v>
      </c>
      <c r="C1151" s="15" t="s">
        <v>15741</v>
      </c>
      <c r="D1151" s="15" t="s">
        <v>15742</v>
      </c>
      <c r="E1151" s="15" t="s">
        <v>15743</v>
      </c>
      <c r="F1151" s="15" t="s">
        <v>15744</v>
      </c>
      <c r="G1151" s="15" t="s">
        <v>15745</v>
      </c>
      <c r="H1151" s="16" t="s">
        <v>15746</v>
      </c>
    </row>
    <row r="1152" spans="1:8" x14ac:dyDescent="0.3">
      <c r="A1152" s="13">
        <v>32244</v>
      </c>
      <c r="B1152" s="14" t="s">
        <v>15747</v>
      </c>
      <c r="C1152" s="15"/>
      <c r="D1152" s="15"/>
      <c r="E1152" s="15"/>
      <c r="F1152" s="15"/>
      <c r="G1152" s="15"/>
      <c r="H1152" s="16"/>
    </row>
    <row r="1153" spans="1:8" ht="90" x14ac:dyDescent="0.3">
      <c r="A1153" s="13" t="s">
        <v>15748</v>
      </c>
      <c r="B1153" s="14" t="s">
        <v>12999</v>
      </c>
      <c r="C1153" s="15" t="s">
        <v>15749</v>
      </c>
      <c r="D1153" s="15" t="s">
        <v>15750</v>
      </c>
      <c r="E1153" s="15" t="s">
        <v>15751</v>
      </c>
      <c r="F1153" s="15" t="s">
        <v>15752</v>
      </c>
      <c r="G1153" s="15" t="s">
        <v>15753</v>
      </c>
      <c r="H1153" s="16" t="s">
        <v>15754</v>
      </c>
    </row>
    <row r="1154" spans="1:8" ht="33.75" x14ac:dyDescent="0.3">
      <c r="A1154" s="13" t="s">
        <v>15755</v>
      </c>
      <c r="B1154" s="14" t="s">
        <v>13007</v>
      </c>
      <c r="C1154" s="15" t="s">
        <v>15756</v>
      </c>
      <c r="D1154" s="15" t="s">
        <v>15757</v>
      </c>
      <c r="E1154" s="15" t="s">
        <v>15758</v>
      </c>
      <c r="F1154" s="15" t="s">
        <v>15759</v>
      </c>
      <c r="G1154" s="15" t="s">
        <v>15760</v>
      </c>
      <c r="H1154" s="16" t="s">
        <v>15761</v>
      </c>
    </row>
    <row r="1155" spans="1:8" ht="22.5" x14ac:dyDescent="0.3">
      <c r="A1155" s="13">
        <v>32245</v>
      </c>
      <c r="B1155" s="14" t="s">
        <v>15762</v>
      </c>
      <c r="C1155" s="15"/>
      <c r="D1155" s="15" t="s">
        <v>15763</v>
      </c>
      <c r="E1155" s="15"/>
      <c r="F1155" s="15"/>
      <c r="G1155" s="15"/>
      <c r="H1155" s="16"/>
    </row>
    <row r="1156" spans="1:8" ht="45" x14ac:dyDescent="0.3">
      <c r="A1156" s="13" t="s">
        <v>15764</v>
      </c>
      <c r="B1156" s="14" t="s">
        <v>12999</v>
      </c>
      <c r="C1156" s="15" t="s">
        <v>15765</v>
      </c>
      <c r="D1156" s="15" t="s">
        <v>15766</v>
      </c>
      <c r="E1156" s="15" t="s">
        <v>15767</v>
      </c>
      <c r="F1156" s="15" t="s">
        <v>15768</v>
      </c>
      <c r="G1156" s="15" t="s">
        <v>15769</v>
      </c>
      <c r="H1156" s="16" t="s">
        <v>15770</v>
      </c>
    </row>
    <row r="1157" spans="1:8" ht="33.75" x14ac:dyDescent="0.3">
      <c r="A1157" s="13" t="s">
        <v>15771</v>
      </c>
      <c r="B1157" s="14" t="s">
        <v>13007</v>
      </c>
      <c r="C1157" s="15" t="s">
        <v>15772</v>
      </c>
      <c r="D1157" s="15" t="s">
        <v>15773</v>
      </c>
      <c r="E1157" s="15" t="s">
        <v>15774</v>
      </c>
      <c r="F1157" s="15" t="s">
        <v>15775</v>
      </c>
      <c r="G1157" s="15" t="s">
        <v>15776</v>
      </c>
      <c r="H1157" s="16" t="s">
        <v>15777</v>
      </c>
    </row>
    <row r="1158" spans="1:8" x14ac:dyDescent="0.3">
      <c r="A1158" s="13">
        <v>32246</v>
      </c>
      <c r="B1158" s="14" t="s">
        <v>15778</v>
      </c>
      <c r="C1158" s="15"/>
      <c r="D1158" s="15"/>
      <c r="E1158" s="15"/>
      <c r="F1158" s="15"/>
      <c r="G1158" s="15"/>
      <c r="H1158" s="16"/>
    </row>
    <row r="1159" spans="1:8" ht="22.5" x14ac:dyDescent="0.3">
      <c r="A1159" s="13" t="s">
        <v>15779</v>
      </c>
      <c r="B1159" s="14" t="s">
        <v>12999</v>
      </c>
      <c r="C1159" s="15" t="s">
        <v>15780</v>
      </c>
      <c r="D1159" s="15" t="s">
        <v>15781</v>
      </c>
      <c r="E1159" s="15" t="s">
        <v>15782</v>
      </c>
      <c r="F1159" s="15" t="s">
        <v>15783</v>
      </c>
      <c r="G1159" s="15" t="s">
        <v>15784</v>
      </c>
      <c r="H1159" s="16" t="s">
        <v>15785</v>
      </c>
    </row>
    <row r="1160" spans="1:8" ht="33.75" x14ac:dyDescent="0.3">
      <c r="A1160" s="13" t="s">
        <v>15786</v>
      </c>
      <c r="B1160" s="14" t="s">
        <v>13007</v>
      </c>
      <c r="C1160" s="15" t="s">
        <v>15787</v>
      </c>
      <c r="D1160" s="15" t="s">
        <v>15788</v>
      </c>
      <c r="E1160" s="15" t="s">
        <v>15789</v>
      </c>
      <c r="F1160" s="15" t="s">
        <v>15790</v>
      </c>
      <c r="G1160" s="15" t="s">
        <v>15788</v>
      </c>
      <c r="H1160" s="16" t="s">
        <v>15791</v>
      </c>
    </row>
    <row r="1161" spans="1:8" x14ac:dyDescent="0.3">
      <c r="A1161" s="13">
        <v>32247</v>
      </c>
      <c r="B1161" s="14" t="s">
        <v>15792</v>
      </c>
      <c r="C1161" s="15"/>
      <c r="D1161" s="15"/>
      <c r="E1161" s="15"/>
      <c r="F1161" s="15"/>
      <c r="G1161" s="15"/>
      <c r="H1161" s="16"/>
    </row>
    <row r="1162" spans="1:8" ht="22.5" x14ac:dyDescent="0.3">
      <c r="A1162" s="13" t="s">
        <v>15793</v>
      </c>
      <c r="B1162" s="14" t="s">
        <v>12999</v>
      </c>
      <c r="C1162" s="15" t="s">
        <v>15794</v>
      </c>
      <c r="D1162" s="15" t="s">
        <v>15795</v>
      </c>
      <c r="E1162" s="15" t="s">
        <v>15796</v>
      </c>
      <c r="F1162" s="15" t="s">
        <v>15797</v>
      </c>
      <c r="G1162" s="15" t="s">
        <v>15798</v>
      </c>
      <c r="H1162" s="16" t="s">
        <v>15799</v>
      </c>
    </row>
    <row r="1163" spans="1:8" ht="45" x14ac:dyDescent="0.3">
      <c r="A1163" s="13" t="s">
        <v>15800</v>
      </c>
      <c r="B1163" s="14" t="s">
        <v>13007</v>
      </c>
      <c r="C1163" s="15" t="s">
        <v>15801</v>
      </c>
      <c r="D1163" s="15" t="s">
        <v>15802</v>
      </c>
      <c r="E1163" s="15" t="s">
        <v>15803</v>
      </c>
      <c r="F1163" s="15" t="s">
        <v>15804</v>
      </c>
      <c r="G1163" s="15" t="s">
        <v>15805</v>
      </c>
      <c r="H1163" s="16" t="s">
        <v>15806</v>
      </c>
    </row>
    <row r="1164" spans="1:8" ht="12" x14ac:dyDescent="0.3">
      <c r="A1164" s="13">
        <v>32248</v>
      </c>
      <c r="B1164" s="14" t="s">
        <v>19771</v>
      </c>
      <c r="C1164" s="15"/>
      <c r="D1164" s="15"/>
      <c r="E1164" s="15"/>
      <c r="F1164" s="15"/>
      <c r="G1164" s="15"/>
      <c r="H1164" s="16"/>
    </row>
    <row r="1165" spans="1:8" ht="33.75" x14ac:dyDescent="0.3">
      <c r="A1165" s="13" t="s">
        <v>15807</v>
      </c>
      <c r="B1165" s="14" t="s">
        <v>12999</v>
      </c>
      <c r="C1165" s="15" t="s">
        <v>15808</v>
      </c>
      <c r="D1165" s="15" t="s">
        <v>15809</v>
      </c>
      <c r="E1165" s="15" t="s">
        <v>15810</v>
      </c>
      <c r="F1165" s="15" t="s">
        <v>15811</v>
      </c>
      <c r="G1165" s="15" t="s">
        <v>15812</v>
      </c>
      <c r="H1165" s="16" t="s">
        <v>15813</v>
      </c>
    </row>
    <row r="1166" spans="1:8" ht="33.75" x14ac:dyDescent="0.3">
      <c r="A1166" s="13" t="s">
        <v>15814</v>
      </c>
      <c r="B1166" s="14" t="s">
        <v>13007</v>
      </c>
      <c r="C1166" s="15" t="s">
        <v>15815</v>
      </c>
      <c r="D1166" s="15" t="s">
        <v>15816</v>
      </c>
      <c r="E1166" s="15" t="s">
        <v>15817</v>
      </c>
      <c r="F1166" s="15" t="s">
        <v>15818</v>
      </c>
      <c r="G1166" s="15" t="s">
        <v>15819</v>
      </c>
      <c r="H1166" s="16" t="s">
        <v>15820</v>
      </c>
    </row>
    <row r="1167" spans="1:8" ht="12" x14ac:dyDescent="0.3">
      <c r="A1167" s="13">
        <v>32249</v>
      </c>
      <c r="B1167" s="14" t="s">
        <v>19772</v>
      </c>
      <c r="C1167" s="15"/>
      <c r="D1167" s="15"/>
      <c r="E1167" s="15"/>
      <c r="F1167" s="15"/>
      <c r="G1167" s="15"/>
      <c r="H1167" s="16"/>
    </row>
    <row r="1168" spans="1:8" ht="22.5" x14ac:dyDescent="0.3">
      <c r="A1168" s="13" t="s">
        <v>15821</v>
      </c>
      <c r="B1168" s="14" t="s">
        <v>12999</v>
      </c>
      <c r="C1168" s="15" t="s">
        <v>15822</v>
      </c>
      <c r="D1168" s="15" t="s">
        <v>15823</v>
      </c>
      <c r="E1168" s="15" t="s">
        <v>15824</v>
      </c>
      <c r="F1168" s="15" t="s">
        <v>15825</v>
      </c>
      <c r="G1168" s="15" t="s">
        <v>15826</v>
      </c>
      <c r="H1168" s="16" t="s">
        <v>15827</v>
      </c>
    </row>
    <row r="1169" spans="1:8" ht="33.75" x14ac:dyDescent="0.3">
      <c r="A1169" s="13" t="s">
        <v>15828</v>
      </c>
      <c r="B1169" s="14" t="s">
        <v>13007</v>
      </c>
      <c r="C1169" s="15" t="s">
        <v>15829</v>
      </c>
      <c r="D1169" s="15" t="s">
        <v>15830</v>
      </c>
      <c r="E1169" s="15" t="s">
        <v>15831</v>
      </c>
      <c r="F1169" s="15" t="s">
        <v>15832</v>
      </c>
      <c r="G1169" s="15" t="s">
        <v>15833</v>
      </c>
      <c r="H1169" s="16" t="s">
        <v>15834</v>
      </c>
    </row>
    <row r="1170" spans="1:8" x14ac:dyDescent="0.3">
      <c r="A1170" s="13">
        <v>32250</v>
      </c>
      <c r="B1170" s="14" t="s">
        <v>15835</v>
      </c>
      <c r="C1170" s="15"/>
      <c r="D1170" s="15"/>
      <c r="E1170" s="15"/>
      <c r="F1170" s="15"/>
      <c r="G1170" s="15"/>
      <c r="H1170" s="16"/>
    </row>
    <row r="1171" spans="1:8" ht="45" x14ac:dyDescent="0.3">
      <c r="A1171" s="13" t="s">
        <v>15836</v>
      </c>
      <c r="B1171" s="14" t="s">
        <v>12999</v>
      </c>
      <c r="C1171" s="15" t="s">
        <v>15837</v>
      </c>
      <c r="D1171" s="15"/>
      <c r="E1171" s="15" t="s">
        <v>15838</v>
      </c>
      <c r="F1171" s="15" t="s">
        <v>15839</v>
      </c>
      <c r="G1171" s="15" t="s">
        <v>15840</v>
      </c>
      <c r="H1171" s="16" t="s">
        <v>15841</v>
      </c>
    </row>
    <row r="1172" spans="1:8" ht="33.75" x14ac:dyDescent="0.3">
      <c r="A1172" s="13" t="s">
        <v>15842</v>
      </c>
      <c r="B1172" s="14" t="s">
        <v>13007</v>
      </c>
      <c r="C1172" s="15" t="s">
        <v>15843</v>
      </c>
      <c r="D1172" s="15" t="s">
        <v>15844</v>
      </c>
      <c r="E1172" s="15" t="s">
        <v>15845</v>
      </c>
      <c r="F1172" s="15" t="s">
        <v>15846</v>
      </c>
      <c r="G1172" s="15" t="s">
        <v>15847</v>
      </c>
      <c r="H1172" s="16" t="s">
        <v>15845</v>
      </c>
    </row>
    <row r="1173" spans="1:8" x14ac:dyDescent="0.3">
      <c r="A1173" s="13">
        <v>32251</v>
      </c>
      <c r="B1173" s="14" t="s">
        <v>15848</v>
      </c>
      <c r="C1173" s="15"/>
      <c r="D1173" s="15"/>
      <c r="E1173" s="15"/>
      <c r="F1173" s="15"/>
      <c r="G1173" s="15"/>
      <c r="H1173" s="16"/>
    </row>
    <row r="1174" spans="1:8" ht="22.5" x14ac:dyDescent="0.3">
      <c r="A1174" s="13" t="s">
        <v>15849</v>
      </c>
      <c r="B1174" s="14" t="s">
        <v>12999</v>
      </c>
      <c r="C1174" s="15" t="s">
        <v>15850</v>
      </c>
      <c r="D1174" s="15" t="s">
        <v>15851</v>
      </c>
      <c r="E1174" s="15" t="s">
        <v>15852</v>
      </c>
      <c r="F1174" s="15" t="s">
        <v>15853</v>
      </c>
      <c r="G1174" s="15" t="s">
        <v>15854</v>
      </c>
      <c r="H1174" s="16" t="s">
        <v>4649</v>
      </c>
    </row>
    <row r="1175" spans="1:8" ht="33.75" x14ac:dyDescent="0.3">
      <c r="A1175" s="13" t="s">
        <v>15855</v>
      </c>
      <c r="B1175" s="14" t="s">
        <v>13007</v>
      </c>
      <c r="C1175" s="15" t="s">
        <v>15856</v>
      </c>
      <c r="D1175" s="15" t="s">
        <v>15857</v>
      </c>
      <c r="E1175" s="15" t="s">
        <v>15858</v>
      </c>
      <c r="F1175" s="15" t="s">
        <v>15859</v>
      </c>
      <c r="G1175" s="15" t="s">
        <v>15860</v>
      </c>
      <c r="H1175" s="16" t="s">
        <v>15861</v>
      </c>
    </row>
    <row r="1176" spans="1:8" x14ac:dyDescent="0.3">
      <c r="A1176" s="13">
        <v>32252</v>
      </c>
      <c r="B1176" s="14" t="s">
        <v>15862</v>
      </c>
      <c r="C1176" s="15"/>
      <c r="D1176" s="15"/>
      <c r="E1176" s="15"/>
      <c r="F1176" s="15"/>
      <c r="G1176" s="15"/>
      <c r="H1176" s="16"/>
    </row>
    <row r="1177" spans="1:8" ht="33.75" x14ac:dyDescent="0.3">
      <c r="A1177" s="13" t="s">
        <v>15863</v>
      </c>
      <c r="B1177" s="14" t="s">
        <v>12999</v>
      </c>
      <c r="C1177" s="15" t="s">
        <v>15864</v>
      </c>
      <c r="D1177" s="15" t="s">
        <v>15865</v>
      </c>
      <c r="E1177" s="15" t="s">
        <v>15866</v>
      </c>
      <c r="F1177" s="15" t="s">
        <v>15867</v>
      </c>
      <c r="G1177" s="15" t="s">
        <v>15868</v>
      </c>
      <c r="H1177" s="16" t="s">
        <v>15869</v>
      </c>
    </row>
    <row r="1178" spans="1:8" ht="33.75" x14ac:dyDescent="0.3">
      <c r="A1178" s="13" t="s">
        <v>15870</v>
      </c>
      <c r="B1178" s="14" t="s">
        <v>13007</v>
      </c>
      <c r="C1178" s="15" t="s">
        <v>15871</v>
      </c>
      <c r="D1178" s="15" t="s">
        <v>15872</v>
      </c>
      <c r="E1178" s="15" t="s">
        <v>15873</v>
      </c>
      <c r="F1178" s="15" t="s">
        <v>15874</v>
      </c>
      <c r="G1178" s="15" t="s">
        <v>15875</v>
      </c>
      <c r="H1178" s="16" t="s">
        <v>15875</v>
      </c>
    </row>
    <row r="1179" spans="1:8" x14ac:dyDescent="0.3">
      <c r="A1179" s="13">
        <v>32253</v>
      </c>
      <c r="B1179" s="14" t="s">
        <v>15876</v>
      </c>
      <c r="C1179" s="15"/>
      <c r="D1179" s="15"/>
      <c r="E1179" s="15"/>
      <c r="F1179" s="15"/>
      <c r="G1179" s="15"/>
      <c r="H1179" s="16"/>
    </row>
    <row r="1180" spans="1:8" ht="22.5" x14ac:dyDescent="0.3">
      <c r="A1180" s="13" t="s">
        <v>15877</v>
      </c>
      <c r="B1180" s="14" t="s">
        <v>12999</v>
      </c>
      <c r="C1180" s="15" t="s">
        <v>15878</v>
      </c>
      <c r="D1180" s="15" t="s">
        <v>15879</v>
      </c>
      <c r="E1180" s="15" t="s">
        <v>15880</v>
      </c>
      <c r="F1180" s="15" t="s">
        <v>15880</v>
      </c>
      <c r="G1180" s="15" t="s">
        <v>15881</v>
      </c>
      <c r="H1180" s="16" t="s">
        <v>15882</v>
      </c>
    </row>
    <row r="1181" spans="1:8" ht="33.75" x14ac:dyDescent="0.3">
      <c r="A1181" s="13" t="s">
        <v>15883</v>
      </c>
      <c r="B1181" s="14" t="s">
        <v>13007</v>
      </c>
      <c r="C1181" s="15" t="s">
        <v>15884</v>
      </c>
      <c r="D1181" s="15"/>
      <c r="E1181" s="15" t="s">
        <v>15885</v>
      </c>
      <c r="F1181" s="15" t="s">
        <v>15886</v>
      </c>
      <c r="G1181" s="15" t="s">
        <v>15887</v>
      </c>
      <c r="H1181" s="16" t="s">
        <v>15888</v>
      </c>
    </row>
    <row r="1182" spans="1:8" x14ac:dyDescent="0.3">
      <c r="A1182" s="13">
        <v>32254</v>
      </c>
      <c r="B1182" s="14" t="s">
        <v>15889</v>
      </c>
      <c r="C1182" s="15"/>
      <c r="D1182" s="15"/>
      <c r="E1182" s="15"/>
      <c r="F1182" s="15"/>
      <c r="G1182" s="15"/>
      <c r="H1182" s="16"/>
    </row>
    <row r="1183" spans="1:8" ht="45" x14ac:dyDescent="0.3">
      <c r="A1183" s="13" t="s">
        <v>15890</v>
      </c>
      <c r="B1183" s="14" t="s">
        <v>12999</v>
      </c>
      <c r="C1183" s="15" t="s">
        <v>15891</v>
      </c>
      <c r="D1183" s="15" t="s">
        <v>15892</v>
      </c>
      <c r="E1183" s="15" t="s">
        <v>15893</v>
      </c>
      <c r="F1183" s="15" t="s">
        <v>15894</v>
      </c>
      <c r="G1183" s="15" t="s">
        <v>15895</v>
      </c>
      <c r="H1183" s="16" t="s">
        <v>15896</v>
      </c>
    </row>
    <row r="1184" spans="1:8" ht="33.75" x14ac:dyDescent="0.3">
      <c r="A1184" s="13" t="s">
        <v>15897</v>
      </c>
      <c r="B1184" s="14" t="s">
        <v>13007</v>
      </c>
      <c r="C1184" s="15" t="s">
        <v>15898</v>
      </c>
      <c r="D1184" s="15"/>
      <c r="E1184" s="15" t="s">
        <v>15899</v>
      </c>
      <c r="F1184" s="15" t="s">
        <v>15900</v>
      </c>
      <c r="G1184" s="15" t="s">
        <v>15901</v>
      </c>
      <c r="H1184" s="16" t="s">
        <v>15901</v>
      </c>
    </row>
    <row r="1185" spans="1:8" x14ac:dyDescent="0.3">
      <c r="A1185" s="13">
        <v>32255</v>
      </c>
      <c r="B1185" s="14" t="s">
        <v>15902</v>
      </c>
      <c r="C1185" s="15"/>
      <c r="D1185" s="15"/>
      <c r="E1185" s="15"/>
      <c r="F1185" s="15"/>
      <c r="G1185" s="15"/>
      <c r="H1185" s="16"/>
    </row>
    <row r="1186" spans="1:8" ht="56.25" x14ac:dyDescent="0.3">
      <c r="A1186" s="13" t="s">
        <v>15903</v>
      </c>
      <c r="B1186" s="14" t="s">
        <v>12999</v>
      </c>
      <c r="C1186" s="15" t="s">
        <v>15904</v>
      </c>
      <c r="D1186" s="15" t="s">
        <v>15905</v>
      </c>
      <c r="E1186" s="15" t="s">
        <v>15906</v>
      </c>
      <c r="F1186" s="15" t="s">
        <v>15907</v>
      </c>
      <c r="G1186" s="15" t="s">
        <v>15908</v>
      </c>
      <c r="H1186" s="16" t="s">
        <v>15909</v>
      </c>
    </row>
    <row r="1187" spans="1:8" ht="56.25" x14ac:dyDescent="0.3">
      <c r="A1187" s="13" t="s">
        <v>15910</v>
      </c>
      <c r="B1187" s="14" t="s">
        <v>13007</v>
      </c>
      <c r="C1187" s="15" t="s">
        <v>15911</v>
      </c>
      <c r="D1187" s="15" t="s">
        <v>15912</v>
      </c>
      <c r="E1187" s="15" t="s">
        <v>15913</v>
      </c>
      <c r="F1187" s="15" t="s">
        <v>15914</v>
      </c>
      <c r="G1187" s="15" t="s">
        <v>15915</v>
      </c>
      <c r="H1187" s="16" t="s">
        <v>15916</v>
      </c>
    </row>
    <row r="1188" spans="1:8" x14ac:dyDescent="0.3">
      <c r="A1188" s="13">
        <v>32256</v>
      </c>
      <c r="B1188" s="14" t="s">
        <v>15917</v>
      </c>
      <c r="C1188" s="15"/>
      <c r="D1188" s="15"/>
      <c r="E1188" s="15"/>
      <c r="F1188" s="15"/>
      <c r="G1188" s="15"/>
      <c r="H1188" s="16"/>
    </row>
    <row r="1189" spans="1:8" ht="22.5" x14ac:dyDescent="0.3">
      <c r="A1189" s="13" t="s">
        <v>15918</v>
      </c>
      <c r="B1189" s="14" t="s">
        <v>12999</v>
      </c>
      <c r="C1189" s="15" t="s">
        <v>15919</v>
      </c>
      <c r="D1189" s="15" t="s">
        <v>15920</v>
      </c>
      <c r="E1189" s="15" t="s">
        <v>15921</v>
      </c>
      <c r="F1189" s="15" t="s">
        <v>15922</v>
      </c>
      <c r="G1189" s="15" t="s">
        <v>15923</v>
      </c>
      <c r="H1189" s="16" t="s">
        <v>15924</v>
      </c>
    </row>
    <row r="1190" spans="1:8" ht="33.75" x14ac:dyDescent="0.3">
      <c r="A1190" s="13" t="s">
        <v>15925</v>
      </c>
      <c r="B1190" s="14" t="s">
        <v>13007</v>
      </c>
      <c r="C1190" s="15" t="s">
        <v>15926</v>
      </c>
      <c r="D1190" s="15" t="s">
        <v>15927</v>
      </c>
      <c r="E1190" s="15" t="s">
        <v>15928</v>
      </c>
      <c r="F1190" s="15" t="s">
        <v>15929</v>
      </c>
      <c r="G1190" s="15" t="s">
        <v>15930</v>
      </c>
      <c r="H1190" s="16" t="s">
        <v>15931</v>
      </c>
    </row>
    <row r="1191" spans="1:8" x14ac:dyDescent="0.3">
      <c r="A1191" s="13">
        <v>32257</v>
      </c>
      <c r="B1191" s="14" t="s">
        <v>15932</v>
      </c>
      <c r="C1191" s="15"/>
      <c r="D1191" s="15"/>
      <c r="E1191" s="15"/>
      <c r="F1191" s="15"/>
      <c r="G1191" s="15"/>
      <c r="H1191" s="16"/>
    </row>
    <row r="1192" spans="1:8" ht="22.5" x14ac:dyDescent="0.3">
      <c r="A1192" s="13" t="s">
        <v>15933</v>
      </c>
      <c r="B1192" s="14" t="s">
        <v>12999</v>
      </c>
      <c r="C1192" s="15" t="s">
        <v>15934</v>
      </c>
      <c r="D1192" s="15" t="s">
        <v>15935</v>
      </c>
      <c r="E1192" s="15" t="s">
        <v>15936</v>
      </c>
      <c r="F1192" s="15" t="s">
        <v>15937</v>
      </c>
      <c r="G1192" s="15" t="s">
        <v>15938</v>
      </c>
      <c r="H1192" s="16" t="s">
        <v>15936</v>
      </c>
    </row>
    <row r="1193" spans="1:8" ht="33.75" x14ac:dyDescent="0.3">
      <c r="A1193" s="13" t="s">
        <v>15939</v>
      </c>
      <c r="B1193" s="14" t="s">
        <v>13007</v>
      </c>
      <c r="C1193" s="15" t="s">
        <v>15940</v>
      </c>
      <c r="D1193" s="15" t="s">
        <v>15941</v>
      </c>
      <c r="E1193" s="15" t="s">
        <v>15942</v>
      </c>
      <c r="F1193" s="15" t="s">
        <v>15943</v>
      </c>
      <c r="G1193" s="15" t="s">
        <v>15943</v>
      </c>
      <c r="H1193" s="16" t="s">
        <v>15944</v>
      </c>
    </row>
    <row r="1194" spans="1:8" ht="22.5" x14ac:dyDescent="0.3">
      <c r="A1194" s="13">
        <v>32258</v>
      </c>
      <c r="B1194" s="14" t="s">
        <v>15945</v>
      </c>
      <c r="C1194" s="15"/>
      <c r="D1194" s="15"/>
      <c r="E1194" s="15"/>
      <c r="F1194" s="15"/>
      <c r="G1194" s="15"/>
      <c r="H1194" s="16"/>
    </row>
    <row r="1195" spans="1:8" ht="22.5" x14ac:dyDescent="0.3">
      <c r="A1195" s="13" t="s">
        <v>15946</v>
      </c>
      <c r="B1195" s="14" t="s">
        <v>12999</v>
      </c>
      <c r="C1195" s="15" t="s">
        <v>15947</v>
      </c>
      <c r="D1195" s="15" t="s">
        <v>15948</v>
      </c>
      <c r="E1195" s="15" t="s">
        <v>15949</v>
      </c>
      <c r="F1195" s="15" t="s">
        <v>15950</v>
      </c>
      <c r="G1195" s="15" t="s">
        <v>15951</v>
      </c>
      <c r="H1195" s="16" t="s">
        <v>15952</v>
      </c>
    </row>
    <row r="1196" spans="1:8" ht="33.75" x14ac:dyDescent="0.3">
      <c r="A1196" s="13" t="s">
        <v>15953</v>
      </c>
      <c r="B1196" s="14" t="s">
        <v>13007</v>
      </c>
      <c r="C1196" s="15" t="s">
        <v>15954</v>
      </c>
      <c r="D1196" s="15" t="s">
        <v>15955</v>
      </c>
      <c r="E1196" s="15" t="s">
        <v>15956</v>
      </c>
      <c r="F1196" s="15" t="s">
        <v>15957</v>
      </c>
      <c r="G1196" s="15" t="s">
        <v>15958</v>
      </c>
      <c r="H1196" s="16" t="s">
        <v>15959</v>
      </c>
    </row>
    <row r="1197" spans="1:8" x14ac:dyDescent="0.3">
      <c r="A1197" s="13">
        <v>32259</v>
      </c>
      <c r="B1197" s="14" t="s">
        <v>15960</v>
      </c>
      <c r="C1197" s="15"/>
      <c r="D1197" s="15"/>
      <c r="E1197" s="15"/>
      <c r="F1197" s="15"/>
      <c r="G1197" s="15"/>
      <c r="H1197" s="16"/>
    </row>
    <row r="1198" spans="1:8" ht="22.5" x14ac:dyDescent="0.3">
      <c r="A1198" s="13" t="s">
        <v>15961</v>
      </c>
      <c r="B1198" s="14" t="s">
        <v>12999</v>
      </c>
      <c r="C1198" s="15" t="s">
        <v>15962</v>
      </c>
      <c r="D1198" s="15" t="s">
        <v>15963</v>
      </c>
      <c r="E1198" s="15" t="s">
        <v>15964</v>
      </c>
      <c r="F1198" s="15" t="s">
        <v>15965</v>
      </c>
      <c r="G1198" s="15" t="s">
        <v>15966</v>
      </c>
      <c r="H1198" s="16" t="s">
        <v>15967</v>
      </c>
    </row>
    <row r="1199" spans="1:8" ht="33.75" x14ac:dyDescent="0.3">
      <c r="A1199" s="13" t="s">
        <v>15968</v>
      </c>
      <c r="B1199" s="14" t="s">
        <v>13007</v>
      </c>
      <c r="C1199" s="15" t="s">
        <v>15969</v>
      </c>
      <c r="D1199" s="15" t="s">
        <v>15970</v>
      </c>
      <c r="E1199" s="15" t="s">
        <v>15971</v>
      </c>
      <c r="F1199" s="15" t="s">
        <v>15972</v>
      </c>
      <c r="G1199" s="15" t="s">
        <v>15973</v>
      </c>
      <c r="H1199" s="16" t="s">
        <v>15974</v>
      </c>
    </row>
    <row r="1200" spans="1:8" x14ac:dyDescent="0.3">
      <c r="A1200" s="13">
        <v>32260</v>
      </c>
      <c r="B1200" s="14" t="s">
        <v>15975</v>
      </c>
      <c r="C1200" s="15"/>
      <c r="D1200" s="15"/>
      <c r="E1200" s="15"/>
      <c r="F1200" s="15"/>
      <c r="G1200" s="15"/>
      <c r="H1200" s="16"/>
    </row>
    <row r="1201" spans="1:8" ht="22.5" x14ac:dyDescent="0.3">
      <c r="A1201" s="13" t="s">
        <v>15976</v>
      </c>
      <c r="B1201" s="14" t="s">
        <v>12999</v>
      </c>
      <c r="C1201" s="15" t="s">
        <v>15977</v>
      </c>
      <c r="D1201" s="15" t="s">
        <v>15978</v>
      </c>
      <c r="E1201" s="15" t="s">
        <v>15979</v>
      </c>
      <c r="F1201" s="15" t="s">
        <v>15980</v>
      </c>
      <c r="G1201" s="15" t="s">
        <v>15981</v>
      </c>
      <c r="H1201" s="16" t="s">
        <v>15982</v>
      </c>
    </row>
    <row r="1202" spans="1:8" ht="33.75" x14ac:dyDescent="0.3">
      <c r="A1202" s="13" t="s">
        <v>15983</v>
      </c>
      <c r="B1202" s="14" t="s">
        <v>13007</v>
      </c>
      <c r="C1202" s="15" t="s">
        <v>15984</v>
      </c>
      <c r="D1202" s="15" t="s">
        <v>15985</v>
      </c>
      <c r="E1202" s="15" t="s">
        <v>15986</v>
      </c>
      <c r="F1202" s="15" t="s">
        <v>15987</v>
      </c>
      <c r="G1202" s="15" t="s">
        <v>15988</v>
      </c>
      <c r="H1202" s="16" t="s">
        <v>15989</v>
      </c>
    </row>
    <row r="1203" spans="1:8" x14ac:dyDescent="0.3">
      <c r="A1203" s="13">
        <v>32261</v>
      </c>
      <c r="B1203" s="14" t="s">
        <v>15990</v>
      </c>
      <c r="C1203" s="15"/>
      <c r="D1203" s="15"/>
      <c r="E1203" s="15"/>
      <c r="F1203" s="15"/>
      <c r="G1203" s="15"/>
      <c r="H1203" s="16"/>
    </row>
    <row r="1204" spans="1:8" ht="56.25" x14ac:dyDescent="0.3">
      <c r="A1204" s="13" t="s">
        <v>15991</v>
      </c>
      <c r="B1204" s="14" t="s">
        <v>12999</v>
      </c>
      <c r="C1204" s="15" t="s">
        <v>15992</v>
      </c>
      <c r="D1204" s="15" t="s">
        <v>15993</v>
      </c>
      <c r="E1204" s="15" t="s">
        <v>15994</v>
      </c>
      <c r="F1204" s="15" t="s">
        <v>15995</v>
      </c>
      <c r="G1204" s="15" t="s">
        <v>15996</v>
      </c>
      <c r="H1204" s="16" t="s">
        <v>15997</v>
      </c>
    </row>
    <row r="1205" spans="1:8" ht="33.75" x14ac:dyDescent="0.3">
      <c r="A1205" s="13" t="s">
        <v>15998</v>
      </c>
      <c r="B1205" s="14" t="s">
        <v>13007</v>
      </c>
      <c r="C1205" s="15" t="s">
        <v>15999</v>
      </c>
      <c r="D1205" s="15" t="s">
        <v>16000</v>
      </c>
      <c r="E1205" s="15" t="s">
        <v>16001</v>
      </c>
      <c r="F1205" s="15" t="s">
        <v>16002</v>
      </c>
      <c r="G1205" s="15" t="s">
        <v>16003</v>
      </c>
      <c r="H1205" s="16" t="s">
        <v>16004</v>
      </c>
    </row>
    <row r="1206" spans="1:8" x14ac:dyDescent="0.3">
      <c r="A1206" s="13">
        <v>32262</v>
      </c>
      <c r="B1206" s="14" t="s">
        <v>16005</v>
      </c>
      <c r="C1206" s="15"/>
      <c r="D1206" s="15"/>
      <c r="E1206" s="15"/>
      <c r="F1206" s="15"/>
      <c r="G1206" s="15"/>
      <c r="H1206" s="16"/>
    </row>
    <row r="1207" spans="1:8" ht="56.25" x14ac:dyDescent="0.3">
      <c r="A1207" s="13" t="s">
        <v>16006</v>
      </c>
      <c r="B1207" s="14" t="s">
        <v>12999</v>
      </c>
      <c r="C1207" s="15" t="s">
        <v>16007</v>
      </c>
      <c r="D1207" s="15"/>
      <c r="E1207" s="15" t="s">
        <v>16008</v>
      </c>
      <c r="F1207" s="15" t="s">
        <v>16009</v>
      </c>
      <c r="G1207" s="15" t="s">
        <v>16010</v>
      </c>
      <c r="H1207" s="16" t="s">
        <v>16011</v>
      </c>
    </row>
    <row r="1208" spans="1:8" ht="33.75" x14ac:dyDescent="0.3">
      <c r="A1208" s="13" t="s">
        <v>16012</v>
      </c>
      <c r="B1208" s="14" t="s">
        <v>13007</v>
      </c>
      <c r="C1208" s="15" t="s">
        <v>16013</v>
      </c>
      <c r="D1208" s="15" t="s">
        <v>16014</v>
      </c>
      <c r="E1208" s="15" t="s">
        <v>16015</v>
      </c>
      <c r="F1208" s="15" t="s">
        <v>16016</v>
      </c>
      <c r="G1208" s="15" t="s">
        <v>16017</v>
      </c>
      <c r="H1208" s="16" t="s">
        <v>16018</v>
      </c>
    </row>
    <row r="1209" spans="1:8" x14ac:dyDescent="0.3">
      <c r="A1209" s="13">
        <v>32263</v>
      </c>
      <c r="B1209" s="14" t="s">
        <v>16019</v>
      </c>
      <c r="C1209" s="15"/>
      <c r="D1209" s="15"/>
      <c r="E1209" s="15"/>
      <c r="F1209" s="15"/>
      <c r="G1209" s="15"/>
      <c r="H1209" s="16"/>
    </row>
    <row r="1210" spans="1:8" ht="45" x14ac:dyDescent="0.3">
      <c r="A1210" s="13" t="s">
        <v>16020</v>
      </c>
      <c r="B1210" s="14" t="s">
        <v>12999</v>
      </c>
      <c r="C1210" s="15" t="s">
        <v>16021</v>
      </c>
      <c r="D1210" s="15" t="s">
        <v>16022</v>
      </c>
      <c r="E1210" s="15" t="s">
        <v>16023</v>
      </c>
      <c r="F1210" s="15" t="s">
        <v>16024</v>
      </c>
      <c r="G1210" s="15" t="s">
        <v>16024</v>
      </c>
      <c r="H1210" s="16" t="s">
        <v>16025</v>
      </c>
    </row>
    <row r="1211" spans="1:8" ht="33.75" x14ac:dyDescent="0.3">
      <c r="A1211" s="13" t="s">
        <v>16026</v>
      </c>
      <c r="B1211" s="14" t="s">
        <v>13007</v>
      </c>
      <c r="C1211" s="15" t="s">
        <v>16027</v>
      </c>
      <c r="D1211" s="15" t="s">
        <v>16028</v>
      </c>
      <c r="E1211" s="15" t="s">
        <v>16029</v>
      </c>
      <c r="F1211" s="15" t="s">
        <v>16030</v>
      </c>
      <c r="G1211" s="15" t="s">
        <v>16031</v>
      </c>
      <c r="H1211" s="16" t="s">
        <v>16032</v>
      </c>
    </row>
    <row r="1212" spans="1:8" x14ac:dyDescent="0.3">
      <c r="A1212" s="13">
        <v>32264</v>
      </c>
      <c r="B1212" s="14" t="s">
        <v>16033</v>
      </c>
      <c r="C1212" s="15"/>
      <c r="D1212" s="15"/>
      <c r="E1212" s="15"/>
      <c r="F1212" s="15"/>
      <c r="G1212" s="15"/>
      <c r="H1212" s="16"/>
    </row>
    <row r="1213" spans="1:8" ht="33.75" x14ac:dyDescent="0.3">
      <c r="A1213" s="13" t="s">
        <v>16034</v>
      </c>
      <c r="B1213" s="14" t="s">
        <v>12999</v>
      </c>
      <c r="C1213" s="15" t="s">
        <v>16035</v>
      </c>
      <c r="D1213" s="15"/>
      <c r="E1213" s="15" t="s">
        <v>16036</v>
      </c>
      <c r="F1213" s="15" t="s">
        <v>16037</v>
      </c>
      <c r="G1213" s="15" t="s">
        <v>16038</v>
      </c>
      <c r="H1213" s="16" t="s">
        <v>16039</v>
      </c>
    </row>
    <row r="1214" spans="1:8" ht="33.75" x14ac:dyDescent="0.3">
      <c r="A1214" s="13" t="s">
        <v>16040</v>
      </c>
      <c r="B1214" s="14" t="s">
        <v>13007</v>
      </c>
      <c r="C1214" s="15" t="s">
        <v>16041</v>
      </c>
      <c r="D1214" s="15" t="s">
        <v>16042</v>
      </c>
      <c r="E1214" s="15" t="s">
        <v>16043</v>
      </c>
      <c r="F1214" s="15" t="s">
        <v>16044</v>
      </c>
      <c r="G1214" s="15" t="s">
        <v>16045</v>
      </c>
      <c r="H1214" s="16" t="s">
        <v>16046</v>
      </c>
    </row>
    <row r="1215" spans="1:8" x14ac:dyDescent="0.3">
      <c r="A1215" s="13">
        <v>32265</v>
      </c>
      <c r="B1215" s="14" t="s">
        <v>16047</v>
      </c>
      <c r="C1215" s="15"/>
      <c r="D1215" s="15"/>
      <c r="E1215" s="15"/>
      <c r="F1215" s="15"/>
      <c r="G1215" s="15"/>
      <c r="H1215" s="16"/>
    </row>
    <row r="1216" spans="1:8" ht="78.75" x14ac:dyDescent="0.3">
      <c r="A1216" s="13" t="s">
        <v>16048</v>
      </c>
      <c r="B1216" s="14" t="s">
        <v>12999</v>
      </c>
      <c r="C1216" s="15" t="s">
        <v>16049</v>
      </c>
      <c r="D1216" s="15" t="s">
        <v>16050</v>
      </c>
      <c r="E1216" s="15" t="s">
        <v>16051</v>
      </c>
      <c r="F1216" s="15" t="s">
        <v>16052</v>
      </c>
      <c r="G1216" s="15" t="s">
        <v>16053</v>
      </c>
      <c r="H1216" s="16" t="s">
        <v>16054</v>
      </c>
    </row>
    <row r="1217" spans="1:8" ht="33.75" x14ac:dyDescent="0.3">
      <c r="A1217" s="13" t="s">
        <v>16055</v>
      </c>
      <c r="B1217" s="14" t="s">
        <v>13007</v>
      </c>
      <c r="C1217" s="15" t="s">
        <v>16056</v>
      </c>
      <c r="D1217" s="15" t="s">
        <v>16057</v>
      </c>
      <c r="E1217" s="15" t="s">
        <v>16058</v>
      </c>
      <c r="F1217" s="15" t="s">
        <v>16059</v>
      </c>
      <c r="G1217" s="15" t="s">
        <v>16060</v>
      </c>
      <c r="H1217" s="16" t="s">
        <v>16059</v>
      </c>
    </row>
    <row r="1218" spans="1:8" x14ac:dyDescent="0.3">
      <c r="A1218" s="13">
        <v>32266</v>
      </c>
      <c r="B1218" s="14" t="s">
        <v>16061</v>
      </c>
      <c r="C1218" s="15"/>
      <c r="D1218" s="15"/>
      <c r="E1218" s="15"/>
      <c r="F1218" s="15"/>
      <c r="G1218" s="15"/>
      <c r="H1218" s="16"/>
    </row>
    <row r="1219" spans="1:8" ht="45" x14ac:dyDescent="0.3">
      <c r="A1219" s="13" t="s">
        <v>16062</v>
      </c>
      <c r="B1219" s="14" t="s">
        <v>12999</v>
      </c>
      <c r="C1219" s="15" t="s">
        <v>16063</v>
      </c>
      <c r="D1219" s="15" t="s">
        <v>16064</v>
      </c>
      <c r="E1219" s="15" t="s">
        <v>16065</v>
      </c>
      <c r="F1219" s="15" t="s">
        <v>16066</v>
      </c>
      <c r="G1219" s="15" t="s">
        <v>16065</v>
      </c>
      <c r="H1219" s="16" t="s">
        <v>16067</v>
      </c>
    </row>
    <row r="1220" spans="1:8" ht="33.75" x14ac:dyDescent="0.3">
      <c r="A1220" s="13" t="s">
        <v>16068</v>
      </c>
      <c r="B1220" s="14" t="s">
        <v>13007</v>
      </c>
      <c r="C1220" s="15" t="s">
        <v>16069</v>
      </c>
      <c r="D1220" s="15" t="s">
        <v>16070</v>
      </c>
      <c r="E1220" s="15" t="s">
        <v>16071</v>
      </c>
      <c r="F1220" s="15" t="s">
        <v>16072</v>
      </c>
      <c r="G1220" s="15" t="s">
        <v>16072</v>
      </c>
      <c r="H1220" s="16" t="s">
        <v>16072</v>
      </c>
    </row>
    <row r="1221" spans="1:8" ht="22.5" x14ac:dyDescent="0.3">
      <c r="A1221" s="13">
        <v>32267</v>
      </c>
      <c r="B1221" s="14" t="s">
        <v>16073</v>
      </c>
      <c r="C1221" s="15"/>
      <c r="D1221" s="15"/>
      <c r="E1221" s="15"/>
      <c r="F1221" s="15"/>
      <c r="G1221" s="15"/>
      <c r="H1221" s="16"/>
    </row>
    <row r="1222" spans="1:8" ht="22.5" x14ac:dyDescent="0.3">
      <c r="A1222" s="13" t="s">
        <v>16074</v>
      </c>
      <c r="B1222" s="14" t="s">
        <v>12999</v>
      </c>
      <c r="C1222" s="15" t="s">
        <v>16075</v>
      </c>
      <c r="D1222" s="15" t="s">
        <v>16076</v>
      </c>
      <c r="E1222" s="15" t="s">
        <v>16077</v>
      </c>
      <c r="F1222" s="15" t="s">
        <v>16078</v>
      </c>
      <c r="G1222" s="15" t="s">
        <v>16079</v>
      </c>
      <c r="H1222" s="16" t="s">
        <v>16080</v>
      </c>
    </row>
    <row r="1223" spans="1:8" ht="33.75" x14ac:dyDescent="0.3">
      <c r="A1223" s="13" t="s">
        <v>16081</v>
      </c>
      <c r="B1223" s="14" t="s">
        <v>13007</v>
      </c>
      <c r="C1223" s="15" t="s">
        <v>16082</v>
      </c>
      <c r="D1223" s="15" t="s">
        <v>16083</v>
      </c>
      <c r="E1223" s="15" t="s">
        <v>16083</v>
      </c>
      <c r="F1223" s="15" t="s">
        <v>16084</v>
      </c>
      <c r="G1223" s="15" t="s">
        <v>16083</v>
      </c>
      <c r="H1223" s="16" t="s">
        <v>16083</v>
      </c>
    </row>
    <row r="1224" spans="1:8" x14ac:dyDescent="0.3">
      <c r="A1224" s="13">
        <v>32268</v>
      </c>
      <c r="B1224" s="14" t="s">
        <v>16085</v>
      </c>
      <c r="C1224" s="15"/>
      <c r="D1224" s="15"/>
      <c r="E1224" s="15"/>
      <c r="F1224" s="15"/>
      <c r="G1224" s="15"/>
      <c r="H1224" s="16"/>
    </row>
    <row r="1225" spans="1:8" ht="22.5" x14ac:dyDescent="0.3">
      <c r="A1225" s="13" t="s">
        <v>16086</v>
      </c>
      <c r="B1225" s="14" t="s">
        <v>12999</v>
      </c>
      <c r="C1225" s="15" t="s">
        <v>16087</v>
      </c>
      <c r="D1225" s="15" t="s">
        <v>16088</v>
      </c>
      <c r="E1225" s="15" t="s">
        <v>16089</v>
      </c>
      <c r="F1225" s="15" t="s">
        <v>16090</v>
      </c>
      <c r="G1225" s="15" t="s">
        <v>16091</v>
      </c>
      <c r="H1225" s="16" t="s">
        <v>16092</v>
      </c>
    </row>
    <row r="1226" spans="1:8" ht="33.75" x14ac:dyDescent="0.3">
      <c r="A1226" s="13" t="s">
        <v>16093</v>
      </c>
      <c r="B1226" s="14" t="s">
        <v>13007</v>
      </c>
      <c r="C1226" s="15" t="s">
        <v>16094</v>
      </c>
      <c r="D1226" s="15" t="s">
        <v>16095</v>
      </c>
      <c r="E1226" s="15" t="s">
        <v>16096</v>
      </c>
      <c r="F1226" s="15" t="s">
        <v>16097</v>
      </c>
      <c r="G1226" s="15" t="s">
        <v>16097</v>
      </c>
      <c r="H1226" s="16" t="s">
        <v>16096</v>
      </c>
    </row>
    <row r="1227" spans="1:8" x14ac:dyDescent="0.3">
      <c r="A1227" s="13">
        <v>32269</v>
      </c>
      <c r="B1227" s="14" t="s">
        <v>16098</v>
      </c>
      <c r="C1227" s="15"/>
      <c r="D1227" s="15"/>
      <c r="E1227" s="15"/>
      <c r="F1227" s="15"/>
      <c r="G1227" s="15"/>
      <c r="H1227" s="16"/>
    </row>
    <row r="1228" spans="1:8" ht="22.5" x14ac:dyDescent="0.3">
      <c r="A1228" s="13" t="s">
        <v>16099</v>
      </c>
      <c r="B1228" s="14" t="s">
        <v>12999</v>
      </c>
      <c r="C1228" s="15" t="s">
        <v>16100</v>
      </c>
      <c r="D1228" s="15" t="s">
        <v>16101</v>
      </c>
      <c r="E1228" s="15" t="s">
        <v>16102</v>
      </c>
      <c r="F1228" s="15" t="s">
        <v>16102</v>
      </c>
      <c r="G1228" s="15" t="s">
        <v>16102</v>
      </c>
      <c r="H1228" s="16" t="s">
        <v>16102</v>
      </c>
    </row>
    <row r="1229" spans="1:8" ht="33.75" x14ac:dyDescent="0.3">
      <c r="A1229" s="13" t="s">
        <v>16103</v>
      </c>
      <c r="B1229" s="14" t="s">
        <v>13007</v>
      </c>
      <c r="C1229" s="15" t="s">
        <v>16104</v>
      </c>
      <c r="D1229" s="15" t="s">
        <v>16105</v>
      </c>
      <c r="E1229" s="15" t="s">
        <v>16106</v>
      </c>
      <c r="F1229" s="15" t="s">
        <v>16107</v>
      </c>
      <c r="G1229" s="15" t="s">
        <v>16108</v>
      </c>
      <c r="H1229" s="16" t="s">
        <v>16109</v>
      </c>
    </row>
    <row r="1230" spans="1:8" ht="22.5" x14ac:dyDescent="0.3">
      <c r="A1230" s="13">
        <v>32270</v>
      </c>
      <c r="B1230" s="14" t="s">
        <v>16110</v>
      </c>
      <c r="C1230" s="15"/>
      <c r="D1230" s="15"/>
      <c r="E1230" s="15"/>
      <c r="F1230" s="15"/>
      <c r="G1230" s="15"/>
      <c r="H1230" s="16"/>
    </row>
    <row r="1231" spans="1:8" ht="33.75" x14ac:dyDescent="0.3">
      <c r="A1231" s="13" t="s">
        <v>16111</v>
      </c>
      <c r="B1231" s="14" t="s">
        <v>12999</v>
      </c>
      <c r="C1231" s="15" t="s">
        <v>16112</v>
      </c>
      <c r="D1231" s="15" t="s">
        <v>16113</v>
      </c>
      <c r="E1231" s="15" t="s">
        <v>16114</v>
      </c>
      <c r="F1231" s="15" t="s">
        <v>16115</v>
      </c>
      <c r="G1231" s="15" t="s">
        <v>16116</v>
      </c>
      <c r="H1231" s="16" t="s">
        <v>16115</v>
      </c>
    </row>
    <row r="1232" spans="1:8" ht="33.75" x14ac:dyDescent="0.3">
      <c r="A1232" s="13" t="s">
        <v>16117</v>
      </c>
      <c r="B1232" s="14" t="s">
        <v>13007</v>
      </c>
      <c r="C1232" s="15" t="s">
        <v>16118</v>
      </c>
      <c r="D1232" s="15" t="s">
        <v>16119</v>
      </c>
      <c r="E1232" s="15" t="s">
        <v>16120</v>
      </c>
      <c r="F1232" s="15" t="s">
        <v>16121</v>
      </c>
      <c r="G1232" s="15" t="s">
        <v>16122</v>
      </c>
      <c r="H1232" s="16" t="s">
        <v>16123</v>
      </c>
    </row>
    <row r="1233" spans="1:8" x14ac:dyDescent="0.3">
      <c r="A1233" s="13">
        <v>32271</v>
      </c>
      <c r="B1233" s="14" t="s">
        <v>16124</v>
      </c>
      <c r="C1233" s="15"/>
      <c r="D1233" s="15"/>
      <c r="E1233" s="15"/>
      <c r="F1233" s="15"/>
      <c r="G1233" s="15"/>
      <c r="H1233" s="16"/>
    </row>
    <row r="1234" spans="1:8" ht="67.5" x14ac:dyDescent="0.3">
      <c r="A1234" s="13" t="s">
        <v>16125</v>
      </c>
      <c r="B1234" s="14" t="s">
        <v>12999</v>
      </c>
      <c r="C1234" s="15" t="s">
        <v>16126</v>
      </c>
      <c r="D1234" s="15" t="s">
        <v>16127</v>
      </c>
      <c r="E1234" s="15" t="s">
        <v>16128</v>
      </c>
      <c r="F1234" s="15" t="s">
        <v>16129</v>
      </c>
      <c r="G1234" s="15" t="s">
        <v>16130</v>
      </c>
      <c r="H1234" s="16" t="s">
        <v>16131</v>
      </c>
    </row>
    <row r="1235" spans="1:8" ht="33.75" x14ac:dyDescent="0.3">
      <c r="A1235" s="13" t="s">
        <v>16132</v>
      </c>
      <c r="B1235" s="14" t="s">
        <v>13007</v>
      </c>
      <c r="C1235" s="15" t="s">
        <v>16133</v>
      </c>
      <c r="D1235" s="15" t="s">
        <v>16134</v>
      </c>
      <c r="E1235" s="15" t="s">
        <v>16135</v>
      </c>
      <c r="F1235" s="15" t="s">
        <v>16136</v>
      </c>
      <c r="G1235" s="15" t="s">
        <v>16137</v>
      </c>
      <c r="H1235" s="16" t="s">
        <v>16138</v>
      </c>
    </row>
    <row r="1236" spans="1:8" x14ac:dyDescent="0.3">
      <c r="A1236" s="13">
        <v>32272</v>
      </c>
      <c r="B1236" s="14" t="s">
        <v>16139</v>
      </c>
      <c r="C1236" s="15"/>
      <c r="D1236" s="15"/>
      <c r="E1236" s="15"/>
      <c r="F1236" s="15"/>
      <c r="G1236" s="15"/>
      <c r="H1236" s="16"/>
    </row>
    <row r="1237" spans="1:8" ht="56.25" x14ac:dyDescent="0.3">
      <c r="A1237" s="13" t="s">
        <v>16140</v>
      </c>
      <c r="B1237" s="14" t="s">
        <v>12999</v>
      </c>
      <c r="C1237" s="15" t="s">
        <v>16141</v>
      </c>
      <c r="D1237" s="15" t="s">
        <v>16142</v>
      </c>
      <c r="E1237" s="15" t="s">
        <v>16143</v>
      </c>
      <c r="F1237" s="15" t="s">
        <v>16144</v>
      </c>
      <c r="G1237" s="15" t="s">
        <v>16145</v>
      </c>
      <c r="H1237" s="16" t="s">
        <v>16146</v>
      </c>
    </row>
    <row r="1238" spans="1:8" ht="33.75" x14ac:dyDescent="0.3">
      <c r="A1238" s="13" t="s">
        <v>16147</v>
      </c>
      <c r="B1238" s="14" t="s">
        <v>13007</v>
      </c>
      <c r="C1238" s="15" t="s">
        <v>16148</v>
      </c>
      <c r="D1238" s="15" t="s">
        <v>16149</v>
      </c>
      <c r="E1238" s="15" t="s">
        <v>16150</v>
      </c>
      <c r="F1238" s="15" t="s">
        <v>16151</v>
      </c>
      <c r="G1238" s="15" t="s">
        <v>16152</v>
      </c>
      <c r="H1238" s="16" t="s">
        <v>16153</v>
      </c>
    </row>
    <row r="1239" spans="1:8" x14ac:dyDescent="0.3">
      <c r="A1239" s="13">
        <v>32273</v>
      </c>
      <c r="B1239" s="14" t="s">
        <v>16154</v>
      </c>
      <c r="C1239" s="15"/>
      <c r="D1239" s="15"/>
      <c r="E1239" s="15"/>
      <c r="F1239" s="15"/>
      <c r="G1239" s="15"/>
      <c r="H1239" s="16"/>
    </row>
    <row r="1240" spans="1:8" ht="22.5" x14ac:dyDescent="0.3">
      <c r="A1240" s="13" t="s">
        <v>16155</v>
      </c>
      <c r="B1240" s="14" t="s">
        <v>12999</v>
      </c>
      <c r="C1240" s="15" t="s">
        <v>16156</v>
      </c>
      <c r="D1240" s="15" t="s">
        <v>16157</v>
      </c>
      <c r="E1240" s="15" t="s">
        <v>16158</v>
      </c>
      <c r="F1240" s="15" t="s">
        <v>16159</v>
      </c>
      <c r="G1240" s="15" t="s">
        <v>16160</v>
      </c>
      <c r="H1240" s="16" t="s">
        <v>16161</v>
      </c>
    </row>
    <row r="1241" spans="1:8" ht="33.75" x14ac:dyDescent="0.3">
      <c r="A1241" s="13" t="s">
        <v>16162</v>
      </c>
      <c r="B1241" s="14" t="s">
        <v>13007</v>
      </c>
      <c r="C1241" s="15" t="s">
        <v>16163</v>
      </c>
      <c r="D1241" s="15" t="s">
        <v>16164</v>
      </c>
      <c r="E1241" s="15" t="s">
        <v>16165</v>
      </c>
      <c r="F1241" s="15" t="s">
        <v>16166</v>
      </c>
      <c r="G1241" s="15" t="s">
        <v>16167</v>
      </c>
      <c r="H1241" s="16" t="s">
        <v>16168</v>
      </c>
    </row>
    <row r="1242" spans="1:8" x14ac:dyDescent="0.3">
      <c r="A1242" s="13">
        <v>32274</v>
      </c>
      <c r="B1242" s="14" t="s">
        <v>16169</v>
      </c>
      <c r="C1242" s="15" t="s">
        <v>16170</v>
      </c>
      <c r="D1242" s="15"/>
      <c r="E1242" s="15"/>
      <c r="F1242" s="15"/>
      <c r="G1242" s="15"/>
      <c r="H1242" s="16"/>
    </row>
    <row r="1243" spans="1:8" ht="33.75" x14ac:dyDescent="0.3">
      <c r="A1243" s="13" t="s">
        <v>16171</v>
      </c>
      <c r="B1243" s="14" t="s">
        <v>12999</v>
      </c>
      <c r="C1243" s="15" t="s">
        <v>16170</v>
      </c>
      <c r="D1243" s="15" t="s">
        <v>16172</v>
      </c>
      <c r="E1243" s="15" t="s">
        <v>16173</v>
      </c>
      <c r="F1243" s="15" t="s">
        <v>16174</v>
      </c>
      <c r="G1243" s="15" t="s">
        <v>16175</v>
      </c>
      <c r="H1243" s="16" t="s">
        <v>16176</v>
      </c>
    </row>
    <row r="1244" spans="1:8" ht="33.75" x14ac:dyDescent="0.3">
      <c r="A1244" s="13" t="s">
        <v>16177</v>
      </c>
      <c r="B1244" s="14" t="s">
        <v>13007</v>
      </c>
      <c r="C1244" s="15" t="s">
        <v>16178</v>
      </c>
      <c r="D1244" s="15" t="s">
        <v>16179</v>
      </c>
      <c r="E1244" s="15" t="s">
        <v>16180</v>
      </c>
      <c r="F1244" s="15" t="s">
        <v>16181</v>
      </c>
      <c r="G1244" s="15" t="s">
        <v>16182</v>
      </c>
      <c r="H1244" s="16" t="s">
        <v>16183</v>
      </c>
    </row>
    <row r="1245" spans="1:8" x14ac:dyDescent="0.3">
      <c r="A1245" s="13">
        <v>32275</v>
      </c>
      <c r="B1245" s="14" t="s">
        <v>16184</v>
      </c>
      <c r="C1245" s="15"/>
      <c r="D1245" s="15"/>
      <c r="E1245" s="15"/>
      <c r="F1245" s="15"/>
      <c r="G1245" s="15"/>
      <c r="H1245" s="16"/>
    </row>
    <row r="1246" spans="1:8" ht="22.5" x14ac:dyDescent="0.3">
      <c r="A1246" s="13" t="s">
        <v>16185</v>
      </c>
      <c r="B1246" s="14" t="s">
        <v>12999</v>
      </c>
      <c r="C1246" s="15" t="s">
        <v>16186</v>
      </c>
      <c r="D1246" s="15" t="s">
        <v>16187</v>
      </c>
      <c r="E1246" s="15" t="s">
        <v>16188</v>
      </c>
      <c r="F1246" s="15" t="s">
        <v>16189</v>
      </c>
      <c r="G1246" s="15" t="s">
        <v>16190</v>
      </c>
      <c r="H1246" s="16" t="s">
        <v>16191</v>
      </c>
    </row>
    <row r="1247" spans="1:8" ht="33.75" x14ac:dyDescent="0.3">
      <c r="A1247" s="13" t="s">
        <v>16192</v>
      </c>
      <c r="B1247" s="14" t="s">
        <v>13007</v>
      </c>
      <c r="C1247" s="15" t="s">
        <v>16193</v>
      </c>
      <c r="D1247" s="15" t="s">
        <v>16194</v>
      </c>
      <c r="E1247" s="15" t="s">
        <v>16195</v>
      </c>
      <c r="F1247" s="15" t="s">
        <v>16196</v>
      </c>
      <c r="G1247" s="15" t="s">
        <v>16196</v>
      </c>
      <c r="H1247" s="16" t="s">
        <v>16195</v>
      </c>
    </row>
    <row r="1248" spans="1:8" x14ac:dyDescent="0.3">
      <c r="A1248" s="13">
        <v>32276</v>
      </c>
      <c r="B1248" s="14" t="s">
        <v>16197</v>
      </c>
      <c r="C1248" s="15"/>
      <c r="D1248" s="15"/>
      <c r="E1248" s="15"/>
      <c r="F1248" s="15"/>
      <c r="G1248" s="15"/>
      <c r="H1248" s="16"/>
    </row>
    <row r="1249" spans="1:8" ht="45" x14ac:dyDescent="0.3">
      <c r="A1249" s="13" t="s">
        <v>16198</v>
      </c>
      <c r="B1249" s="14" t="s">
        <v>12999</v>
      </c>
      <c r="C1249" s="15" t="s">
        <v>16199</v>
      </c>
      <c r="D1249" s="15" t="s">
        <v>16200</v>
      </c>
      <c r="E1249" s="15" t="s">
        <v>16201</v>
      </c>
      <c r="F1249" s="15" t="s">
        <v>16202</v>
      </c>
      <c r="G1249" s="15" t="s">
        <v>16203</v>
      </c>
      <c r="H1249" s="16" t="s">
        <v>16204</v>
      </c>
    </row>
    <row r="1250" spans="1:8" ht="33.75" x14ac:dyDescent="0.3">
      <c r="A1250" s="13" t="s">
        <v>16205</v>
      </c>
      <c r="B1250" s="14" t="s">
        <v>13007</v>
      </c>
      <c r="C1250" s="15" t="s">
        <v>16206</v>
      </c>
      <c r="D1250" s="15" t="s">
        <v>16207</v>
      </c>
      <c r="E1250" s="15" t="s">
        <v>16208</v>
      </c>
      <c r="F1250" s="15" t="s">
        <v>16209</v>
      </c>
      <c r="G1250" s="15" t="s">
        <v>16210</v>
      </c>
      <c r="H1250" s="16" t="s">
        <v>16211</v>
      </c>
    </row>
    <row r="1251" spans="1:8" x14ac:dyDescent="0.3">
      <c r="A1251" s="13">
        <v>32277</v>
      </c>
      <c r="B1251" s="14" t="s">
        <v>16212</v>
      </c>
      <c r="C1251" s="15"/>
      <c r="D1251" s="15"/>
      <c r="E1251" s="15"/>
      <c r="F1251" s="15"/>
      <c r="G1251" s="15"/>
      <c r="H1251" s="16"/>
    </row>
    <row r="1252" spans="1:8" ht="56.25" x14ac:dyDescent="0.3">
      <c r="A1252" s="13" t="s">
        <v>16213</v>
      </c>
      <c r="B1252" s="14" t="s">
        <v>12999</v>
      </c>
      <c r="C1252" s="15" t="s">
        <v>16214</v>
      </c>
      <c r="D1252" s="15" t="s">
        <v>16215</v>
      </c>
      <c r="E1252" s="15" t="s">
        <v>16216</v>
      </c>
      <c r="F1252" s="15" t="s">
        <v>16217</v>
      </c>
      <c r="G1252" s="15" t="s">
        <v>16218</v>
      </c>
      <c r="H1252" s="16" t="s">
        <v>16219</v>
      </c>
    </row>
    <row r="1253" spans="1:8" ht="33.75" x14ac:dyDescent="0.3">
      <c r="A1253" s="13" t="s">
        <v>16220</v>
      </c>
      <c r="B1253" s="14" t="s">
        <v>13007</v>
      </c>
      <c r="C1253" s="15" t="s">
        <v>16221</v>
      </c>
      <c r="D1253" s="15" t="s">
        <v>16222</v>
      </c>
      <c r="E1253" s="15" t="s">
        <v>16223</v>
      </c>
      <c r="F1253" s="15" t="s">
        <v>16224</v>
      </c>
      <c r="G1253" s="15" t="s">
        <v>16225</v>
      </c>
      <c r="H1253" s="16" t="s">
        <v>16226</v>
      </c>
    </row>
    <row r="1254" spans="1:8" x14ac:dyDescent="0.3">
      <c r="A1254" s="13">
        <v>32278</v>
      </c>
      <c r="B1254" s="14" t="s">
        <v>16227</v>
      </c>
      <c r="C1254" s="15"/>
      <c r="D1254" s="15"/>
      <c r="E1254" s="15"/>
      <c r="F1254" s="15"/>
      <c r="G1254" s="15"/>
      <c r="H1254" s="16"/>
    </row>
    <row r="1255" spans="1:8" ht="33.75" x14ac:dyDescent="0.3">
      <c r="A1255" s="13" t="s">
        <v>16228</v>
      </c>
      <c r="B1255" s="14" t="s">
        <v>12999</v>
      </c>
      <c r="C1255" s="15" t="s">
        <v>16229</v>
      </c>
      <c r="D1255" s="15" t="s">
        <v>16230</v>
      </c>
      <c r="E1255" s="15" t="s">
        <v>16231</v>
      </c>
      <c r="F1255" s="15" t="s">
        <v>16232</v>
      </c>
      <c r="G1255" s="15" t="s">
        <v>16233</v>
      </c>
      <c r="H1255" s="16" t="s">
        <v>16234</v>
      </c>
    </row>
    <row r="1256" spans="1:8" ht="33.75" x14ac:dyDescent="0.3">
      <c r="A1256" s="13" t="s">
        <v>16235</v>
      </c>
      <c r="B1256" s="14" t="s">
        <v>13007</v>
      </c>
      <c r="C1256" s="15" t="s">
        <v>16236</v>
      </c>
      <c r="D1256" s="15" t="s">
        <v>16237</v>
      </c>
      <c r="E1256" s="15" t="s">
        <v>16238</v>
      </c>
      <c r="F1256" s="15" t="s">
        <v>16239</v>
      </c>
      <c r="G1256" s="15" t="s">
        <v>16240</v>
      </c>
      <c r="H1256" s="16" t="s">
        <v>16241</v>
      </c>
    </row>
    <row r="1257" spans="1:8" x14ac:dyDescent="0.3">
      <c r="A1257" s="13">
        <v>32279</v>
      </c>
      <c r="B1257" s="14" t="s">
        <v>16242</v>
      </c>
      <c r="C1257" s="15"/>
      <c r="D1257" s="15"/>
      <c r="E1257" s="15"/>
      <c r="F1257" s="15"/>
      <c r="G1257" s="15"/>
      <c r="H1257" s="16"/>
    </row>
    <row r="1258" spans="1:8" ht="33.75" x14ac:dyDescent="0.3">
      <c r="A1258" s="13" t="s">
        <v>16243</v>
      </c>
      <c r="B1258" s="14" t="s">
        <v>12999</v>
      </c>
      <c r="C1258" s="15" t="s">
        <v>16244</v>
      </c>
      <c r="D1258" s="15" t="s">
        <v>16245</v>
      </c>
      <c r="E1258" s="15" t="s">
        <v>16246</v>
      </c>
      <c r="F1258" s="15" t="s">
        <v>16247</v>
      </c>
      <c r="G1258" s="15" t="s">
        <v>16248</v>
      </c>
      <c r="H1258" s="16" t="s">
        <v>16249</v>
      </c>
    </row>
    <row r="1259" spans="1:8" ht="33.75" x14ac:dyDescent="0.3">
      <c r="A1259" s="13" t="s">
        <v>16250</v>
      </c>
      <c r="B1259" s="14" t="s">
        <v>13007</v>
      </c>
      <c r="C1259" s="15" t="s">
        <v>16251</v>
      </c>
      <c r="D1259" s="15" t="s">
        <v>16252</v>
      </c>
      <c r="E1259" s="15" t="s">
        <v>16253</v>
      </c>
      <c r="F1259" s="15" t="s">
        <v>16254</v>
      </c>
      <c r="G1259" s="15" t="s">
        <v>16255</v>
      </c>
      <c r="H1259" s="16" t="s">
        <v>16256</v>
      </c>
    </row>
    <row r="1260" spans="1:8" x14ac:dyDescent="0.3">
      <c r="A1260" s="13">
        <v>32280</v>
      </c>
      <c r="B1260" s="14" t="s">
        <v>16257</v>
      </c>
      <c r="C1260" s="15"/>
      <c r="D1260" s="15"/>
      <c r="E1260" s="15"/>
      <c r="F1260" s="15"/>
      <c r="G1260" s="15"/>
      <c r="H1260" s="16"/>
    </row>
    <row r="1261" spans="1:8" ht="22.5" x14ac:dyDescent="0.3">
      <c r="A1261" s="13" t="s">
        <v>16258</v>
      </c>
      <c r="B1261" s="14" t="s">
        <v>12999</v>
      </c>
      <c r="C1261" s="15"/>
      <c r="D1261" s="15"/>
      <c r="E1261" s="15" t="s">
        <v>16259</v>
      </c>
      <c r="F1261" s="15" t="s">
        <v>16260</v>
      </c>
      <c r="G1261" s="15" t="s">
        <v>16261</v>
      </c>
      <c r="H1261" s="16" t="s">
        <v>16260</v>
      </c>
    </row>
    <row r="1262" spans="1:8" ht="33.75" x14ac:dyDescent="0.3">
      <c r="A1262" s="13" t="s">
        <v>16262</v>
      </c>
      <c r="B1262" s="14" t="s">
        <v>13007</v>
      </c>
      <c r="C1262" s="15" t="s">
        <v>16263</v>
      </c>
      <c r="D1262" s="15" t="s">
        <v>16264</v>
      </c>
      <c r="E1262" s="15" t="s">
        <v>16265</v>
      </c>
      <c r="F1262" s="15" t="s">
        <v>16266</v>
      </c>
      <c r="G1262" s="15" t="s">
        <v>16267</v>
      </c>
      <c r="H1262" s="16" t="s">
        <v>16268</v>
      </c>
    </row>
    <row r="1263" spans="1:8" x14ac:dyDescent="0.3">
      <c r="A1263" s="13">
        <v>32281</v>
      </c>
      <c r="B1263" s="14" t="s">
        <v>16269</v>
      </c>
      <c r="C1263" s="15"/>
      <c r="D1263" s="15"/>
      <c r="E1263" s="15"/>
      <c r="F1263" s="15"/>
      <c r="G1263" s="15"/>
      <c r="H1263" s="16"/>
    </row>
    <row r="1264" spans="1:8" ht="22.5" x14ac:dyDescent="0.3">
      <c r="A1264" s="13" t="s">
        <v>16270</v>
      </c>
      <c r="B1264" s="14" t="s">
        <v>12999</v>
      </c>
      <c r="C1264" s="15" t="s">
        <v>16271</v>
      </c>
      <c r="D1264" s="15" t="s">
        <v>16272</v>
      </c>
      <c r="E1264" s="15" t="s">
        <v>16273</v>
      </c>
      <c r="F1264" s="15" t="s">
        <v>16274</v>
      </c>
      <c r="G1264" s="15" t="s">
        <v>16275</v>
      </c>
      <c r="H1264" s="16" t="s">
        <v>16276</v>
      </c>
    </row>
    <row r="1265" spans="1:8" ht="33.75" x14ac:dyDescent="0.3">
      <c r="A1265" s="13" t="s">
        <v>16277</v>
      </c>
      <c r="B1265" s="14" t="s">
        <v>13007</v>
      </c>
      <c r="C1265" s="15" t="s">
        <v>16278</v>
      </c>
      <c r="D1265" s="15" t="s">
        <v>16279</v>
      </c>
      <c r="E1265" s="15" t="s">
        <v>16280</v>
      </c>
      <c r="F1265" s="15" t="s">
        <v>16279</v>
      </c>
      <c r="G1265" s="15" t="s">
        <v>16281</v>
      </c>
      <c r="H1265" s="16" t="s">
        <v>16282</v>
      </c>
    </row>
    <row r="1266" spans="1:8" x14ac:dyDescent="0.3">
      <c r="A1266" s="13">
        <v>32282</v>
      </c>
      <c r="B1266" s="14" t="s">
        <v>16283</v>
      </c>
      <c r="C1266" s="15"/>
      <c r="D1266" s="15"/>
      <c r="E1266" s="15"/>
      <c r="F1266" s="15"/>
      <c r="G1266" s="15"/>
      <c r="H1266" s="16"/>
    </row>
    <row r="1267" spans="1:8" ht="33.75" x14ac:dyDescent="0.3">
      <c r="A1267" s="13" t="s">
        <v>16284</v>
      </c>
      <c r="B1267" s="14" t="s">
        <v>12999</v>
      </c>
      <c r="C1267" s="15" t="s">
        <v>16285</v>
      </c>
      <c r="D1267" s="15" t="s">
        <v>16286</v>
      </c>
      <c r="E1267" s="15" t="s">
        <v>16287</v>
      </c>
      <c r="F1267" s="15" t="s">
        <v>16288</v>
      </c>
      <c r="G1267" s="15" t="s">
        <v>16289</v>
      </c>
      <c r="H1267" s="16" t="s">
        <v>16290</v>
      </c>
    </row>
    <row r="1268" spans="1:8" ht="33.75" x14ac:dyDescent="0.3">
      <c r="A1268" s="13" t="s">
        <v>16291</v>
      </c>
      <c r="B1268" s="14" t="s">
        <v>13007</v>
      </c>
      <c r="C1268" s="15" t="s">
        <v>16292</v>
      </c>
      <c r="D1268" s="15" t="s">
        <v>16293</v>
      </c>
      <c r="E1268" s="15" t="s">
        <v>16294</v>
      </c>
      <c r="F1268" s="15" t="s">
        <v>16295</v>
      </c>
      <c r="G1268" s="15" t="s">
        <v>16296</v>
      </c>
      <c r="H1268" s="16" t="s">
        <v>16297</v>
      </c>
    </row>
    <row r="1269" spans="1:8" x14ac:dyDescent="0.3">
      <c r="A1269" s="13">
        <v>32283</v>
      </c>
      <c r="B1269" s="14" t="s">
        <v>16298</v>
      </c>
      <c r="C1269" s="15"/>
      <c r="D1269" s="15"/>
      <c r="E1269" s="15"/>
      <c r="F1269" s="15"/>
      <c r="G1269" s="15"/>
      <c r="H1269" s="16"/>
    </row>
    <row r="1270" spans="1:8" ht="45" x14ac:dyDescent="0.3">
      <c r="A1270" s="13" t="s">
        <v>16299</v>
      </c>
      <c r="B1270" s="14" t="s">
        <v>12999</v>
      </c>
      <c r="C1270" s="15" t="s">
        <v>16300</v>
      </c>
      <c r="D1270" s="15" t="s">
        <v>16301</v>
      </c>
      <c r="E1270" s="15" t="s">
        <v>14828</v>
      </c>
      <c r="F1270" s="15" t="s">
        <v>14827</v>
      </c>
      <c r="G1270" s="15" t="s">
        <v>16302</v>
      </c>
      <c r="H1270" s="16" t="s">
        <v>14827</v>
      </c>
    </row>
    <row r="1271" spans="1:8" ht="90" x14ac:dyDescent="0.3">
      <c r="A1271" s="13" t="s">
        <v>16303</v>
      </c>
      <c r="B1271" s="14" t="s">
        <v>13007</v>
      </c>
      <c r="C1271" s="15" t="s">
        <v>16304</v>
      </c>
      <c r="D1271" s="15" t="s">
        <v>16305</v>
      </c>
      <c r="E1271" s="15" t="s">
        <v>16306</v>
      </c>
      <c r="F1271" s="15" t="s">
        <v>16307</v>
      </c>
      <c r="G1271" s="15" t="s">
        <v>16307</v>
      </c>
      <c r="H1271" s="16" t="s">
        <v>16306</v>
      </c>
    </row>
    <row r="1272" spans="1:8" x14ac:dyDescent="0.3">
      <c r="A1272" s="13">
        <v>32284</v>
      </c>
      <c r="B1272" s="14" t="s">
        <v>16308</v>
      </c>
      <c r="C1272" s="15"/>
      <c r="D1272" s="15"/>
      <c r="E1272" s="15"/>
      <c r="F1272" s="15"/>
      <c r="G1272" s="15"/>
      <c r="H1272" s="16"/>
    </row>
    <row r="1273" spans="1:8" ht="78.75" x14ac:dyDescent="0.3">
      <c r="A1273" s="13" t="s">
        <v>16309</v>
      </c>
      <c r="B1273" s="14" t="s">
        <v>12999</v>
      </c>
      <c r="C1273" s="15" t="s">
        <v>16310</v>
      </c>
      <c r="D1273" s="15" t="s">
        <v>16311</v>
      </c>
      <c r="E1273" s="15" t="s">
        <v>16312</v>
      </c>
      <c r="F1273" s="15" t="s">
        <v>16313</v>
      </c>
      <c r="G1273" s="15" t="s">
        <v>16314</v>
      </c>
      <c r="H1273" s="16" t="s">
        <v>16315</v>
      </c>
    </row>
    <row r="1274" spans="1:8" ht="33.75" x14ac:dyDescent="0.3">
      <c r="A1274" s="13" t="s">
        <v>16316</v>
      </c>
      <c r="B1274" s="14" t="s">
        <v>13007</v>
      </c>
      <c r="C1274" s="15" t="s">
        <v>16317</v>
      </c>
      <c r="D1274" s="15"/>
      <c r="E1274" s="15" t="s">
        <v>16318</v>
      </c>
      <c r="F1274" s="15" t="s">
        <v>16319</v>
      </c>
      <c r="G1274" s="15" t="s">
        <v>16320</v>
      </c>
      <c r="H1274" s="16" t="s">
        <v>16321</v>
      </c>
    </row>
    <row r="1275" spans="1:8" x14ac:dyDescent="0.3">
      <c r="A1275" s="13">
        <v>32285</v>
      </c>
      <c r="B1275" s="14" t="s">
        <v>16322</v>
      </c>
      <c r="C1275" s="15"/>
      <c r="D1275" s="15"/>
      <c r="E1275" s="15"/>
      <c r="F1275" s="15"/>
      <c r="G1275" s="15"/>
      <c r="H1275" s="16"/>
    </row>
    <row r="1276" spans="1:8" ht="33.75" x14ac:dyDescent="0.3">
      <c r="A1276" s="13" t="s">
        <v>16323</v>
      </c>
      <c r="B1276" s="14" t="s">
        <v>12999</v>
      </c>
      <c r="C1276" s="15" t="s">
        <v>16324</v>
      </c>
      <c r="D1276" s="15" t="s">
        <v>16325</v>
      </c>
      <c r="E1276" s="15" t="s">
        <v>16326</v>
      </c>
      <c r="F1276" s="15" t="s">
        <v>16327</v>
      </c>
      <c r="G1276" s="15" t="s">
        <v>16328</v>
      </c>
      <c r="H1276" s="16" t="s">
        <v>16329</v>
      </c>
    </row>
    <row r="1277" spans="1:8" ht="33.75" x14ac:dyDescent="0.3">
      <c r="A1277" s="13" t="s">
        <v>16330</v>
      </c>
      <c r="B1277" s="14" t="s">
        <v>13007</v>
      </c>
      <c r="C1277" s="15" t="s">
        <v>16331</v>
      </c>
      <c r="D1277" s="15"/>
      <c r="E1277" s="15" t="s">
        <v>16332</v>
      </c>
      <c r="F1277" s="15" t="s">
        <v>16333</v>
      </c>
      <c r="G1277" s="15" t="s">
        <v>16334</v>
      </c>
      <c r="H1277" s="16" t="s">
        <v>16334</v>
      </c>
    </row>
    <row r="1278" spans="1:8" x14ac:dyDescent="0.3">
      <c r="A1278" s="13">
        <v>32286</v>
      </c>
      <c r="B1278" s="14" t="s">
        <v>16335</v>
      </c>
      <c r="C1278" s="15"/>
      <c r="D1278" s="15"/>
      <c r="E1278" s="15"/>
      <c r="F1278" s="15"/>
      <c r="G1278" s="15"/>
      <c r="H1278" s="16"/>
    </row>
    <row r="1279" spans="1:8" ht="45" x14ac:dyDescent="0.3">
      <c r="A1279" s="13" t="s">
        <v>16336</v>
      </c>
      <c r="B1279" s="14" t="s">
        <v>12999</v>
      </c>
      <c r="C1279" s="15" t="s">
        <v>16337</v>
      </c>
      <c r="D1279" s="15" t="s">
        <v>16338</v>
      </c>
      <c r="E1279" s="15" t="s">
        <v>16339</v>
      </c>
      <c r="F1279" s="15" t="s">
        <v>16340</v>
      </c>
      <c r="G1279" s="15" t="s">
        <v>16341</v>
      </c>
      <c r="H1279" s="16" t="s">
        <v>16342</v>
      </c>
    </row>
    <row r="1280" spans="1:8" ht="33.75" x14ac:dyDescent="0.3">
      <c r="A1280" s="13" t="s">
        <v>16343</v>
      </c>
      <c r="B1280" s="14" t="s">
        <v>13007</v>
      </c>
      <c r="C1280" s="15" t="s">
        <v>16344</v>
      </c>
      <c r="D1280" s="15" t="s">
        <v>16345</v>
      </c>
      <c r="E1280" s="15" t="s">
        <v>16346</v>
      </c>
      <c r="F1280" s="15" t="s">
        <v>16347</v>
      </c>
      <c r="G1280" s="15" t="s">
        <v>16348</v>
      </c>
      <c r="H1280" s="16" t="s">
        <v>16349</v>
      </c>
    </row>
    <row r="1281" spans="1:8" ht="22.5" x14ac:dyDescent="0.3">
      <c r="A1281" s="13">
        <v>32287</v>
      </c>
      <c r="B1281" s="14" t="s">
        <v>16350</v>
      </c>
      <c r="C1281" s="15"/>
      <c r="D1281" s="15"/>
      <c r="E1281" s="15"/>
      <c r="F1281" s="15"/>
      <c r="G1281" s="15"/>
      <c r="H1281" s="16"/>
    </row>
    <row r="1282" spans="1:8" ht="45" x14ac:dyDescent="0.3">
      <c r="A1282" s="13" t="s">
        <v>16351</v>
      </c>
      <c r="B1282" s="14" t="s">
        <v>12999</v>
      </c>
      <c r="C1282" s="15" t="s">
        <v>16352</v>
      </c>
      <c r="D1282" s="15" t="s">
        <v>16353</v>
      </c>
      <c r="E1282" s="15" t="s">
        <v>16354</v>
      </c>
      <c r="F1282" s="15" t="s">
        <v>16355</v>
      </c>
      <c r="G1282" s="15" t="s">
        <v>16356</v>
      </c>
      <c r="H1282" s="16" t="s">
        <v>16357</v>
      </c>
    </row>
    <row r="1283" spans="1:8" ht="33.75" x14ac:dyDescent="0.3">
      <c r="A1283" s="13" t="s">
        <v>16358</v>
      </c>
      <c r="B1283" s="14" t="s">
        <v>13007</v>
      </c>
      <c r="C1283" s="15" t="s">
        <v>16359</v>
      </c>
      <c r="D1283" s="15" t="s">
        <v>16360</v>
      </c>
      <c r="E1283" s="15" t="s">
        <v>16361</v>
      </c>
      <c r="F1283" s="15" t="s">
        <v>16362</v>
      </c>
      <c r="G1283" s="15" t="s">
        <v>16363</v>
      </c>
      <c r="H1283" s="16" t="s">
        <v>16364</v>
      </c>
    </row>
    <row r="1284" spans="1:8" x14ac:dyDescent="0.3">
      <c r="A1284" s="13">
        <v>32288</v>
      </c>
      <c r="B1284" s="14" t="s">
        <v>16365</v>
      </c>
      <c r="C1284" s="15"/>
      <c r="D1284" s="15"/>
      <c r="E1284" s="15"/>
      <c r="F1284" s="15"/>
      <c r="G1284" s="15"/>
      <c r="H1284" s="16"/>
    </row>
    <row r="1285" spans="1:8" ht="22.5" x14ac:dyDescent="0.3">
      <c r="A1285" s="13" t="s">
        <v>16366</v>
      </c>
      <c r="B1285" s="14" t="s">
        <v>12999</v>
      </c>
      <c r="C1285" s="15" t="s">
        <v>16367</v>
      </c>
      <c r="D1285" s="15" t="s">
        <v>16368</v>
      </c>
      <c r="E1285" s="15" t="s">
        <v>16369</v>
      </c>
      <c r="F1285" s="15" t="s">
        <v>16370</v>
      </c>
      <c r="G1285" s="15" t="s">
        <v>16371</v>
      </c>
      <c r="H1285" s="16" t="s">
        <v>16368</v>
      </c>
    </row>
    <row r="1286" spans="1:8" ht="45" x14ac:dyDescent="0.3">
      <c r="A1286" s="13" t="s">
        <v>16372</v>
      </c>
      <c r="B1286" s="14" t="s">
        <v>13007</v>
      </c>
      <c r="C1286" s="15" t="s">
        <v>16373</v>
      </c>
      <c r="D1286" s="15" t="s">
        <v>16374</v>
      </c>
      <c r="E1286" s="15" t="s">
        <v>16375</v>
      </c>
      <c r="F1286" s="15" t="s">
        <v>16376</v>
      </c>
      <c r="G1286" s="15" t="s">
        <v>16377</v>
      </c>
      <c r="H1286" s="16" t="s">
        <v>16376</v>
      </c>
    </row>
    <row r="1287" spans="1:8" x14ac:dyDescent="0.3">
      <c r="A1287" s="13">
        <v>32289</v>
      </c>
      <c r="B1287" s="14" t="s">
        <v>16378</v>
      </c>
      <c r="C1287" s="15"/>
      <c r="D1287" s="15"/>
      <c r="E1287" s="15"/>
      <c r="F1287" s="15"/>
      <c r="G1287" s="15"/>
      <c r="H1287" s="16"/>
    </row>
    <row r="1288" spans="1:8" ht="22.5" x14ac:dyDescent="0.3">
      <c r="A1288" s="13" t="s">
        <v>16379</v>
      </c>
      <c r="B1288" s="14" t="s">
        <v>12999</v>
      </c>
      <c r="C1288" s="15" t="s">
        <v>16380</v>
      </c>
      <c r="D1288" s="15" t="s">
        <v>16381</v>
      </c>
      <c r="E1288" s="15" t="s">
        <v>16382</v>
      </c>
      <c r="F1288" s="15" t="s">
        <v>16383</v>
      </c>
      <c r="G1288" s="15" t="s">
        <v>16384</v>
      </c>
      <c r="H1288" s="16" t="s">
        <v>10119</v>
      </c>
    </row>
    <row r="1289" spans="1:8" ht="33.75" x14ac:dyDescent="0.3">
      <c r="A1289" s="13" t="s">
        <v>16385</v>
      </c>
      <c r="B1289" s="14" t="s">
        <v>13007</v>
      </c>
      <c r="C1289" s="15" t="s">
        <v>16386</v>
      </c>
      <c r="D1289" s="15"/>
      <c r="E1289" s="15" t="s">
        <v>16387</v>
      </c>
      <c r="F1289" s="15" t="s">
        <v>16388</v>
      </c>
      <c r="G1289" s="15" t="s">
        <v>16389</v>
      </c>
      <c r="H1289" s="16" t="s">
        <v>16390</v>
      </c>
    </row>
    <row r="1290" spans="1:8" x14ac:dyDescent="0.3">
      <c r="A1290" s="13">
        <v>32290</v>
      </c>
      <c r="B1290" s="14" t="s">
        <v>16391</v>
      </c>
      <c r="C1290" s="15"/>
      <c r="D1290" s="15"/>
      <c r="E1290" s="15"/>
      <c r="F1290" s="15"/>
      <c r="G1290" s="15"/>
      <c r="H1290" s="16"/>
    </row>
    <row r="1291" spans="1:8" ht="45" x14ac:dyDescent="0.3">
      <c r="A1291" s="13" t="s">
        <v>16392</v>
      </c>
      <c r="B1291" s="14" t="s">
        <v>12999</v>
      </c>
      <c r="C1291" s="15" t="s">
        <v>16393</v>
      </c>
      <c r="D1291" s="15" t="s">
        <v>16394</v>
      </c>
      <c r="E1291" s="15" t="s">
        <v>16395</v>
      </c>
      <c r="F1291" s="15" t="s">
        <v>16396</v>
      </c>
      <c r="G1291" s="15" t="s">
        <v>16395</v>
      </c>
      <c r="H1291" s="16" t="s">
        <v>16395</v>
      </c>
    </row>
    <row r="1292" spans="1:8" ht="33.75" x14ac:dyDescent="0.3">
      <c r="A1292" s="13" t="s">
        <v>16397</v>
      </c>
      <c r="B1292" s="14" t="s">
        <v>13007</v>
      </c>
      <c r="C1292" s="15" t="s">
        <v>16398</v>
      </c>
      <c r="D1292" s="15" t="s">
        <v>16399</v>
      </c>
      <c r="E1292" s="15" t="s">
        <v>16400</v>
      </c>
      <c r="F1292" s="15" t="s">
        <v>16401</v>
      </c>
      <c r="G1292" s="15" t="s">
        <v>16402</v>
      </c>
      <c r="H1292" s="16" t="s">
        <v>16403</v>
      </c>
    </row>
    <row r="1293" spans="1:8" x14ac:dyDescent="0.3">
      <c r="A1293" s="13">
        <v>32291</v>
      </c>
      <c r="B1293" s="14" t="s">
        <v>16404</v>
      </c>
      <c r="C1293" s="15"/>
      <c r="D1293" s="15"/>
      <c r="E1293" s="15"/>
      <c r="F1293" s="15"/>
      <c r="G1293" s="15"/>
      <c r="H1293" s="16"/>
    </row>
    <row r="1294" spans="1:8" ht="22.5" x14ac:dyDescent="0.3">
      <c r="A1294" s="13" t="s">
        <v>16405</v>
      </c>
      <c r="B1294" s="14" t="s">
        <v>12999</v>
      </c>
      <c r="C1294" s="15" t="s">
        <v>16406</v>
      </c>
      <c r="D1294" s="15" t="s">
        <v>16407</v>
      </c>
      <c r="E1294" s="15" t="s">
        <v>16408</v>
      </c>
      <c r="F1294" s="15" t="s">
        <v>16409</v>
      </c>
      <c r="G1294" s="15" t="s">
        <v>16410</v>
      </c>
      <c r="H1294" s="16" t="s">
        <v>16411</v>
      </c>
    </row>
    <row r="1295" spans="1:8" ht="33.75" x14ac:dyDescent="0.3">
      <c r="A1295" s="13" t="s">
        <v>16412</v>
      </c>
      <c r="B1295" s="14" t="s">
        <v>13007</v>
      </c>
      <c r="C1295" s="15" t="s">
        <v>16413</v>
      </c>
      <c r="D1295" s="15" t="s">
        <v>16414</v>
      </c>
      <c r="E1295" s="15" t="s">
        <v>16415</v>
      </c>
      <c r="F1295" s="15" t="s">
        <v>16416</v>
      </c>
      <c r="G1295" s="15" t="s">
        <v>16415</v>
      </c>
      <c r="H1295" s="16" t="s">
        <v>16417</v>
      </c>
    </row>
    <row r="1296" spans="1:8" ht="22.5" x14ac:dyDescent="0.3">
      <c r="A1296" s="13">
        <v>32292</v>
      </c>
      <c r="B1296" s="14" t="s">
        <v>16418</v>
      </c>
      <c r="C1296" s="15"/>
      <c r="D1296" s="15"/>
      <c r="E1296" s="15"/>
      <c r="F1296" s="15"/>
      <c r="G1296" s="15"/>
      <c r="H1296" s="16"/>
    </row>
    <row r="1297" spans="1:8" ht="33.75" x14ac:dyDescent="0.3">
      <c r="A1297" s="13" t="s">
        <v>16419</v>
      </c>
      <c r="B1297" s="14" t="s">
        <v>12999</v>
      </c>
      <c r="C1297" s="15" t="s">
        <v>16420</v>
      </c>
      <c r="D1297" s="15" t="s">
        <v>16421</v>
      </c>
      <c r="E1297" s="15" t="s">
        <v>16422</v>
      </c>
      <c r="F1297" s="15" t="s">
        <v>16423</v>
      </c>
      <c r="G1297" s="15" t="s">
        <v>16424</v>
      </c>
      <c r="H1297" s="16" t="s">
        <v>16425</v>
      </c>
    </row>
    <row r="1298" spans="1:8" ht="33.75" x14ac:dyDescent="0.3">
      <c r="A1298" s="13" t="s">
        <v>16426</v>
      </c>
      <c r="B1298" s="14" t="s">
        <v>13007</v>
      </c>
      <c r="C1298" s="15" t="s">
        <v>16427</v>
      </c>
      <c r="D1298" s="15"/>
      <c r="E1298" s="15" t="s">
        <v>16428</v>
      </c>
      <c r="F1298" s="15"/>
      <c r="G1298" s="15" t="s">
        <v>16429</v>
      </c>
      <c r="H1298" s="16" t="s">
        <v>16430</v>
      </c>
    </row>
    <row r="1299" spans="1:8" x14ac:dyDescent="0.3">
      <c r="A1299" s="13">
        <v>32293</v>
      </c>
      <c r="B1299" s="14" t="s">
        <v>16431</v>
      </c>
      <c r="C1299" s="15"/>
      <c r="D1299" s="15"/>
      <c r="E1299" s="15"/>
      <c r="F1299" s="15"/>
      <c r="G1299" s="15"/>
      <c r="H1299" s="16"/>
    </row>
    <row r="1300" spans="1:8" ht="45" x14ac:dyDescent="0.3">
      <c r="A1300" s="13" t="s">
        <v>16432</v>
      </c>
      <c r="B1300" s="14" t="s">
        <v>12999</v>
      </c>
      <c r="C1300" s="15" t="s">
        <v>16433</v>
      </c>
      <c r="D1300" s="15"/>
      <c r="E1300" s="15" t="s">
        <v>16434</v>
      </c>
      <c r="F1300" s="15" t="s">
        <v>16435</v>
      </c>
      <c r="G1300" s="15" t="s">
        <v>16436</v>
      </c>
      <c r="H1300" s="16" t="s">
        <v>16437</v>
      </c>
    </row>
    <row r="1301" spans="1:8" ht="33.75" x14ac:dyDescent="0.3">
      <c r="A1301" s="13" t="s">
        <v>16438</v>
      </c>
      <c r="B1301" s="14" t="s">
        <v>13007</v>
      </c>
      <c r="C1301" s="15" t="s">
        <v>16439</v>
      </c>
      <c r="D1301" s="15" t="s">
        <v>16440</v>
      </c>
      <c r="E1301" s="15" t="s">
        <v>16441</v>
      </c>
      <c r="F1301" s="15" t="s">
        <v>16442</v>
      </c>
      <c r="G1301" s="15" t="s">
        <v>16443</v>
      </c>
      <c r="H1301" s="16" t="s">
        <v>16441</v>
      </c>
    </row>
    <row r="1302" spans="1:8" x14ac:dyDescent="0.3">
      <c r="A1302" s="13">
        <v>32294</v>
      </c>
      <c r="B1302" s="14" t="s">
        <v>16444</v>
      </c>
      <c r="C1302" s="15"/>
      <c r="D1302" s="15"/>
      <c r="E1302" s="15"/>
      <c r="F1302" s="15"/>
      <c r="G1302" s="15"/>
      <c r="H1302" s="16"/>
    </row>
    <row r="1303" spans="1:8" ht="22.5" x14ac:dyDescent="0.3">
      <c r="A1303" s="13" t="s">
        <v>16445</v>
      </c>
      <c r="B1303" s="14" t="s">
        <v>12999</v>
      </c>
      <c r="C1303" s="15" t="s">
        <v>16446</v>
      </c>
      <c r="D1303" s="15" t="s">
        <v>16447</v>
      </c>
      <c r="E1303" s="15" t="s">
        <v>16448</v>
      </c>
      <c r="F1303" s="15" t="s">
        <v>16449</v>
      </c>
      <c r="G1303" s="15" t="s">
        <v>16450</v>
      </c>
      <c r="H1303" s="16" t="s">
        <v>16451</v>
      </c>
    </row>
    <row r="1304" spans="1:8" ht="33.75" x14ac:dyDescent="0.3">
      <c r="A1304" s="13" t="s">
        <v>16452</v>
      </c>
      <c r="B1304" s="14" t="s">
        <v>13007</v>
      </c>
      <c r="C1304" s="15" t="s">
        <v>16453</v>
      </c>
      <c r="D1304" s="15" t="s">
        <v>16454</v>
      </c>
      <c r="E1304" s="15" t="s">
        <v>16455</v>
      </c>
      <c r="F1304" s="15" t="s">
        <v>16454</v>
      </c>
      <c r="G1304" s="15" t="s">
        <v>16456</v>
      </c>
      <c r="H1304" s="16" t="s">
        <v>16457</v>
      </c>
    </row>
    <row r="1305" spans="1:8" x14ac:dyDescent="0.3">
      <c r="A1305" s="13">
        <v>32295</v>
      </c>
      <c r="B1305" s="14" t="s">
        <v>16458</v>
      </c>
      <c r="C1305" s="15"/>
      <c r="D1305" s="15"/>
      <c r="E1305" s="15"/>
      <c r="F1305" s="15"/>
      <c r="G1305" s="15"/>
      <c r="H1305" s="16"/>
    </row>
    <row r="1306" spans="1:8" ht="22.5" x14ac:dyDescent="0.3">
      <c r="A1306" s="13" t="s">
        <v>16459</v>
      </c>
      <c r="B1306" s="14" t="s">
        <v>12999</v>
      </c>
      <c r="C1306" s="15" t="s">
        <v>16460</v>
      </c>
      <c r="D1306" s="15"/>
      <c r="E1306" s="15" t="s">
        <v>16461</v>
      </c>
      <c r="F1306" s="15" t="s">
        <v>13204</v>
      </c>
      <c r="G1306" s="15" t="s">
        <v>16462</v>
      </c>
      <c r="H1306" s="16" t="s">
        <v>16463</v>
      </c>
    </row>
    <row r="1307" spans="1:8" ht="45" x14ac:dyDescent="0.3">
      <c r="A1307" s="13" t="s">
        <v>16464</v>
      </c>
      <c r="B1307" s="14" t="s">
        <v>13007</v>
      </c>
      <c r="C1307" s="15" t="s">
        <v>16465</v>
      </c>
      <c r="D1307" s="15" t="s">
        <v>16466</v>
      </c>
      <c r="E1307" s="15" t="s">
        <v>16467</v>
      </c>
      <c r="F1307" s="15" t="s">
        <v>16468</v>
      </c>
      <c r="G1307" s="15" t="s">
        <v>16469</v>
      </c>
      <c r="H1307" s="16" t="s">
        <v>16470</v>
      </c>
    </row>
    <row r="1308" spans="1:8" ht="22.5" x14ac:dyDescent="0.3">
      <c r="A1308" s="13">
        <v>32296</v>
      </c>
      <c r="B1308" s="14" t="s">
        <v>16471</v>
      </c>
      <c r="C1308" s="15"/>
      <c r="D1308" s="15"/>
      <c r="E1308" s="15"/>
      <c r="F1308" s="15"/>
      <c r="G1308" s="15"/>
      <c r="H1308" s="16"/>
    </row>
    <row r="1309" spans="1:8" ht="56.25" x14ac:dyDescent="0.3">
      <c r="A1309" s="13" t="s">
        <v>16472</v>
      </c>
      <c r="B1309" s="14" t="s">
        <v>12999</v>
      </c>
      <c r="C1309" s="15" t="s">
        <v>16473</v>
      </c>
      <c r="D1309" s="15" t="s">
        <v>16474</v>
      </c>
      <c r="E1309" s="15" t="s">
        <v>16475</v>
      </c>
      <c r="F1309" s="15" t="s">
        <v>16476</v>
      </c>
      <c r="G1309" s="15" t="s">
        <v>16477</v>
      </c>
      <c r="H1309" s="16" t="s">
        <v>16478</v>
      </c>
    </row>
    <row r="1310" spans="1:8" ht="33.75" x14ac:dyDescent="0.3">
      <c r="A1310" s="13" t="s">
        <v>16479</v>
      </c>
      <c r="B1310" s="14" t="s">
        <v>13007</v>
      </c>
      <c r="C1310" s="15" t="s">
        <v>16480</v>
      </c>
      <c r="D1310" s="15"/>
      <c r="E1310" s="15" t="s">
        <v>16481</v>
      </c>
      <c r="F1310" s="15" t="s">
        <v>16482</v>
      </c>
      <c r="G1310" s="15" t="s">
        <v>16483</v>
      </c>
      <c r="H1310" s="16" t="s">
        <v>16484</v>
      </c>
    </row>
    <row r="1311" spans="1:8" x14ac:dyDescent="0.3">
      <c r="A1311" s="13">
        <v>32297</v>
      </c>
      <c r="B1311" s="14" t="s">
        <v>16485</v>
      </c>
      <c r="C1311" s="15"/>
      <c r="D1311" s="15"/>
      <c r="E1311" s="15"/>
      <c r="F1311" s="15"/>
      <c r="G1311" s="15"/>
      <c r="H1311" s="16"/>
    </row>
    <row r="1312" spans="1:8" ht="33.75" x14ac:dyDescent="0.3">
      <c r="A1312" s="13" t="s">
        <v>16486</v>
      </c>
      <c r="B1312" s="14" t="s">
        <v>12999</v>
      </c>
      <c r="C1312" s="15" t="s">
        <v>16487</v>
      </c>
      <c r="D1312" s="15" t="s">
        <v>16488</v>
      </c>
      <c r="E1312" s="15" t="s">
        <v>16489</v>
      </c>
      <c r="F1312" s="15" t="s">
        <v>16490</v>
      </c>
      <c r="G1312" s="15"/>
      <c r="H1312" s="16" t="s">
        <v>16491</v>
      </c>
    </row>
    <row r="1313" spans="1:8" ht="33.75" x14ac:dyDescent="0.3">
      <c r="A1313" s="13" t="s">
        <v>16492</v>
      </c>
      <c r="B1313" s="14" t="s">
        <v>13007</v>
      </c>
      <c r="C1313" s="15" t="s">
        <v>16493</v>
      </c>
      <c r="D1313" s="15" t="s">
        <v>16494</v>
      </c>
      <c r="E1313" s="15" t="s">
        <v>16495</v>
      </c>
      <c r="F1313" s="15" t="s">
        <v>16496</v>
      </c>
      <c r="G1313" s="15"/>
      <c r="H1313" s="16" t="s">
        <v>16497</v>
      </c>
    </row>
    <row r="1314" spans="1:8" x14ac:dyDescent="0.3">
      <c r="A1314" s="13">
        <v>32298</v>
      </c>
      <c r="B1314" s="14" t="s">
        <v>16498</v>
      </c>
      <c r="C1314" s="15"/>
      <c r="D1314" s="15"/>
      <c r="E1314" s="15"/>
      <c r="F1314" s="15"/>
      <c r="G1314" s="15"/>
      <c r="H1314" s="16"/>
    </row>
    <row r="1315" spans="1:8" ht="22.5" x14ac:dyDescent="0.3">
      <c r="A1315" s="13" t="s">
        <v>16499</v>
      </c>
      <c r="B1315" s="14" t="s">
        <v>12999</v>
      </c>
      <c r="C1315" s="15" t="s">
        <v>16500</v>
      </c>
      <c r="D1315" s="15" t="s">
        <v>16501</v>
      </c>
      <c r="E1315" s="15" t="s">
        <v>16502</v>
      </c>
      <c r="F1315" s="15" t="s">
        <v>16503</v>
      </c>
      <c r="G1315" s="15" t="s">
        <v>16502</v>
      </c>
      <c r="H1315" s="16" t="s">
        <v>16502</v>
      </c>
    </row>
    <row r="1316" spans="1:8" ht="33.75" x14ac:dyDescent="0.3">
      <c r="A1316" s="13" t="s">
        <v>16504</v>
      </c>
      <c r="B1316" s="14" t="s">
        <v>13007</v>
      </c>
      <c r="C1316" s="15" t="s">
        <v>16505</v>
      </c>
      <c r="D1316" s="15" t="s">
        <v>16506</v>
      </c>
      <c r="E1316" s="15" t="s">
        <v>16507</v>
      </c>
      <c r="F1316" s="15" t="s">
        <v>16508</v>
      </c>
      <c r="G1316" s="15" t="s">
        <v>16509</v>
      </c>
      <c r="H1316" s="16" t="s">
        <v>16509</v>
      </c>
    </row>
    <row r="1317" spans="1:8" x14ac:dyDescent="0.3">
      <c r="A1317" s="13">
        <v>32299</v>
      </c>
      <c r="B1317" s="14" t="s">
        <v>16510</v>
      </c>
      <c r="C1317" s="15"/>
      <c r="D1317" s="15"/>
      <c r="E1317" s="15"/>
      <c r="F1317" s="15"/>
      <c r="G1317" s="15"/>
      <c r="H1317" s="16"/>
    </row>
    <row r="1318" spans="1:8" ht="33.75" x14ac:dyDescent="0.3">
      <c r="A1318" s="13" t="s">
        <v>16511</v>
      </c>
      <c r="B1318" s="14" t="s">
        <v>12999</v>
      </c>
      <c r="C1318" s="15" t="s">
        <v>16512</v>
      </c>
      <c r="D1318" s="15" t="s">
        <v>16513</v>
      </c>
      <c r="E1318" s="15" t="s">
        <v>16514</v>
      </c>
      <c r="F1318" s="15" t="s">
        <v>16515</v>
      </c>
      <c r="G1318" s="15" t="s">
        <v>16516</v>
      </c>
      <c r="H1318" s="16" t="s">
        <v>16517</v>
      </c>
    </row>
    <row r="1319" spans="1:8" ht="33.75" x14ac:dyDescent="0.3">
      <c r="A1319" s="13" t="s">
        <v>16518</v>
      </c>
      <c r="B1319" s="14" t="s">
        <v>13007</v>
      </c>
      <c r="C1319" s="15" t="s">
        <v>16519</v>
      </c>
      <c r="D1319" s="15"/>
      <c r="E1319" s="15" t="s">
        <v>16520</v>
      </c>
      <c r="F1319" s="15" t="s">
        <v>16521</v>
      </c>
      <c r="G1319" s="15" t="s">
        <v>16522</v>
      </c>
      <c r="H1319" s="16" t="s">
        <v>16522</v>
      </c>
    </row>
    <row r="1320" spans="1:8" x14ac:dyDescent="0.3">
      <c r="A1320" s="13">
        <v>32300</v>
      </c>
      <c r="B1320" s="14" t="s">
        <v>16523</v>
      </c>
      <c r="C1320" s="15"/>
      <c r="D1320" s="15"/>
      <c r="E1320" s="15"/>
      <c r="F1320" s="15"/>
      <c r="G1320" s="15"/>
      <c r="H1320" s="16"/>
    </row>
    <row r="1321" spans="1:8" ht="22.5" x14ac:dyDescent="0.3">
      <c r="A1321" s="13" t="s">
        <v>16524</v>
      </c>
      <c r="B1321" s="14" t="s">
        <v>12999</v>
      </c>
      <c r="C1321" s="15" t="s">
        <v>16525</v>
      </c>
      <c r="D1321" s="15" t="s">
        <v>16526</v>
      </c>
      <c r="E1321" s="15" t="s">
        <v>16527</v>
      </c>
      <c r="F1321" s="15" t="s">
        <v>16527</v>
      </c>
      <c r="G1321" s="15" t="s">
        <v>16527</v>
      </c>
      <c r="H1321" s="16" t="s">
        <v>16528</v>
      </c>
    </row>
    <row r="1322" spans="1:8" ht="33.75" x14ac:dyDescent="0.3">
      <c r="A1322" s="13" t="s">
        <v>16529</v>
      </c>
      <c r="B1322" s="14" t="s">
        <v>13007</v>
      </c>
      <c r="C1322" s="15" t="s">
        <v>16530</v>
      </c>
      <c r="D1322" s="15" t="s">
        <v>16531</v>
      </c>
      <c r="E1322" s="15" t="s">
        <v>16532</v>
      </c>
      <c r="F1322" s="15" t="s">
        <v>16531</v>
      </c>
      <c r="G1322" s="15" t="s">
        <v>16533</v>
      </c>
      <c r="H1322" s="16" t="s">
        <v>16531</v>
      </c>
    </row>
    <row r="1323" spans="1:8" x14ac:dyDescent="0.3">
      <c r="A1323" s="13">
        <v>32301</v>
      </c>
      <c r="B1323" s="14" t="s">
        <v>16534</v>
      </c>
      <c r="C1323" s="15"/>
      <c r="D1323" s="15"/>
      <c r="E1323" s="15"/>
      <c r="F1323" s="15"/>
      <c r="G1323" s="15"/>
      <c r="H1323" s="16"/>
    </row>
    <row r="1324" spans="1:8" ht="22.5" x14ac:dyDescent="0.3">
      <c r="A1324" s="13" t="s">
        <v>16535</v>
      </c>
      <c r="B1324" s="14" t="s">
        <v>12999</v>
      </c>
      <c r="C1324" s="15" t="s">
        <v>16536</v>
      </c>
      <c r="D1324" s="15" t="s">
        <v>16537</v>
      </c>
      <c r="E1324" s="15" t="s">
        <v>16538</v>
      </c>
      <c r="F1324" s="15" t="s">
        <v>16539</v>
      </c>
      <c r="G1324" s="15" t="s">
        <v>16540</v>
      </c>
      <c r="H1324" s="16" t="s">
        <v>16539</v>
      </c>
    </row>
    <row r="1325" spans="1:8" ht="33.75" x14ac:dyDescent="0.3">
      <c r="A1325" s="13" t="s">
        <v>16541</v>
      </c>
      <c r="B1325" s="14" t="s">
        <v>13007</v>
      </c>
      <c r="C1325" s="15" t="s">
        <v>16542</v>
      </c>
      <c r="D1325" s="15" t="s">
        <v>16543</v>
      </c>
      <c r="E1325" s="15" t="s">
        <v>16544</v>
      </c>
      <c r="F1325" s="15" t="s">
        <v>16545</v>
      </c>
      <c r="G1325" s="15" t="s">
        <v>16543</v>
      </c>
      <c r="H1325" s="16" t="s">
        <v>16546</v>
      </c>
    </row>
    <row r="1326" spans="1:8" x14ac:dyDescent="0.3">
      <c r="A1326" s="13">
        <v>32302</v>
      </c>
      <c r="B1326" s="14" t="s">
        <v>16547</v>
      </c>
      <c r="C1326" s="15"/>
      <c r="D1326" s="15"/>
      <c r="E1326" s="15"/>
      <c r="F1326" s="15"/>
      <c r="G1326" s="15"/>
      <c r="H1326" s="16"/>
    </row>
    <row r="1327" spans="1:8" ht="22.5" x14ac:dyDescent="0.3">
      <c r="A1327" s="13" t="s">
        <v>16548</v>
      </c>
      <c r="B1327" s="14" t="s">
        <v>12999</v>
      </c>
      <c r="C1327" s="15" t="s">
        <v>16549</v>
      </c>
      <c r="D1327" s="15" t="s">
        <v>16550</v>
      </c>
      <c r="E1327" s="15" t="s">
        <v>16551</v>
      </c>
      <c r="F1327" s="15" t="s">
        <v>16552</v>
      </c>
      <c r="G1327" s="15" t="s">
        <v>16553</v>
      </c>
      <c r="H1327" s="16" t="s">
        <v>16554</v>
      </c>
    </row>
    <row r="1328" spans="1:8" ht="33.75" x14ac:dyDescent="0.3">
      <c r="A1328" s="13" t="s">
        <v>16555</v>
      </c>
      <c r="B1328" s="14" t="s">
        <v>13007</v>
      </c>
      <c r="C1328" s="15" t="s">
        <v>16556</v>
      </c>
      <c r="D1328" s="15" t="s">
        <v>16557</v>
      </c>
      <c r="E1328" s="15" t="s">
        <v>16558</v>
      </c>
      <c r="F1328" s="15" t="s">
        <v>16559</v>
      </c>
      <c r="G1328" s="15" t="s">
        <v>16560</v>
      </c>
      <c r="H1328" s="16" t="s">
        <v>16561</v>
      </c>
    </row>
    <row r="1329" spans="1:8" x14ac:dyDescent="0.3">
      <c r="A1329" s="13">
        <v>32303</v>
      </c>
      <c r="B1329" s="14" t="s">
        <v>16562</v>
      </c>
      <c r="C1329" s="15"/>
      <c r="D1329" s="15"/>
      <c r="E1329" s="15"/>
      <c r="F1329" s="15"/>
      <c r="G1329" s="15"/>
      <c r="H1329" s="16"/>
    </row>
    <row r="1330" spans="1:8" ht="33.75" x14ac:dyDescent="0.3">
      <c r="A1330" s="13" t="s">
        <v>16563</v>
      </c>
      <c r="B1330" s="14" t="s">
        <v>12999</v>
      </c>
      <c r="C1330" s="15" t="s">
        <v>16564</v>
      </c>
      <c r="D1330" s="15" t="s">
        <v>16565</v>
      </c>
      <c r="E1330" s="15" t="s">
        <v>16566</v>
      </c>
      <c r="F1330" s="15" t="s">
        <v>16567</v>
      </c>
      <c r="G1330" s="15" t="s">
        <v>16568</v>
      </c>
      <c r="H1330" s="16" t="s">
        <v>16569</v>
      </c>
    </row>
    <row r="1331" spans="1:8" ht="33.75" x14ac:dyDescent="0.3">
      <c r="A1331" s="13" t="s">
        <v>16570</v>
      </c>
      <c r="B1331" s="14" t="s">
        <v>13007</v>
      </c>
      <c r="C1331" s="15" t="s">
        <v>16571</v>
      </c>
      <c r="D1331" s="15" t="s">
        <v>16572</v>
      </c>
      <c r="E1331" s="15" t="s">
        <v>16573</v>
      </c>
      <c r="F1331" s="15" t="s">
        <v>16574</v>
      </c>
      <c r="G1331" s="15" t="s">
        <v>16575</v>
      </c>
      <c r="H1331" s="16" t="s">
        <v>16576</v>
      </c>
    </row>
    <row r="1332" spans="1:8" x14ac:dyDescent="0.3">
      <c r="A1332" s="13">
        <v>32304</v>
      </c>
      <c r="B1332" s="14" t="s">
        <v>16577</v>
      </c>
      <c r="C1332" s="15"/>
      <c r="D1332" s="15"/>
      <c r="E1332" s="15"/>
      <c r="F1332" s="15"/>
      <c r="G1332" s="15"/>
      <c r="H1332" s="16"/>
    </row>
    <row r="1333" spans="1:8" ht="101.25" x14ac:dyDescent="0.3">
      <c r="A1333" s="13" t="s">
        <v>16578</v>
      </c>
      <c r="B1333" s="14" t="s">
        <v>12999</v>
      </c>
      <c r="C1333" s="15" t="s">
        <v>16579</v>
      </c>
      <c r="D1333" s="15" t="s">
        <v>16580</v>
      </c>
      <c r="E1333" s="15" t="s">
        <v>16581</v>
      </c>
      <c r="F1333" s="15" t="s">
        <v>16582</v>
      </c>
      <c r="G1333" s="15" t="s">
        <v>16583</v>
      </c>
      <c r="H1333" s="16" t="s">
        <v>16584</v>
      </c>
    </row>
    <row r="1334" spans="1:8" ht="33.75" x14ac:dyDescent="0.3">
      <c r="A1334" s="13" t="s">
        <v>16585</v>
      </c>
      <c r="B1334" s="14" t="s">
        <v>13007</v>
      </c>
      <c r="C1334" s="15" t="s">
        <v>16586</v>
      </c>
      <c r="D1334" s="15" t="s">
        <v>16587</v>
      </c>
      <c r="E1334" s="15" t="s">
        <v>16588</v>
      </c>
      <c r="F1334" s="15" t="s">
        <v>16589</v>
      </c>
      <c r="G1334" s="15" t="s">
        <v>16589</v>
      </c>
      <c r="H1334" s="16" t="s">
        <v>16590</v>
      </c>
    </row>
    <row r="1335" spans="1:8" x14ac:dyDescent="0.3">
      <c r="A1335" s="13">
        <v>32305</v>
      </c>
      <c r="B1335" s="14" t="s">
        <v>16591</v>
      </c>
      <c r="C1335" s="15"/>
      <c r="D1335" s="15"/>
      <c r="E1335" s="15"/>
      <c r="F1335" s="15"/>
      <c r="G1335" s="15"/>
      <c r="H1335" s="16"/>
    </row>
    <row r="1336" spans="1:8" ht="33.75" x14ac:dyDescent="0.3">
      <c r="A1336" s="13" t="s">
        <v>16592</v>
      </c>
      <c r="B1336" s="14" t="s">
        <v>12999</v>
      </c>
      <c r="C1336" s="15" t="s">
        <v>16593</v>
      </c>
      <c r="D1336" s="15" t="s">
        <v>16594</v>
      </c>
      <c r="E1336" s="15" t="s">
        <v>16595</v>
      </c>
      <c r="F1336" s="15" t="s">
        <v>16596</v>
      </c>
      <c r="G1336" s="15" t="s">
        <v>16597</v>
      </c>
      <c r="H1336" s="16" t="s">
        <v>16595</v>
      </c>
    </row>
    <row r="1337" spans="1:8" ht="33.75" x14ac:dyDescent="0.3">
      <c r="A1337" s="13" t="s">
        <v>16598</v>
      </c>
      <c r="B1337" s="14" t="s">
        <v>13007</v>
      </c>
      <c r="C1337" s="15" t="s">
        <v>16599</v>
      </c>
      <c r="D1337" s="15" t="s">
        <v>16600</v>
      </c>
      <c r="E1337" s="15" t="s">
        <v>16601</v>
      </c>
      <c r="F1337" s="15" t="s">
        <v>16602</v>
      </c>
      <c r="G1337" s="15" t="s">
        <v>16603</v>
      </c>
      <c r="H1337" s="16" t="s">
        <v>16604</v>
      </c>
    </row>
    <row r="1338" spans="1:8" ht="22.5" x14ac:dyDescent="0.3">
      <c r="A1338" s="13">
        <v>32306</v>
      </c>
      <c r="B1338" s="14" t="s">
        <v>16605</v>
      </c>
      <c r="C1338" s="15"/>
      <c r="D1338" s="15"/>
      <c r="E1338" s="15"/>
      <c r="F1338" s="15"/>
      <c r="G1338" s="15"/>
      <c r="H1338" s="16"/>
    </row>
    <row r="1339" spans="1:8" ht="33.75" x14ac:dyDescent="0.3">
      <c r="A1339" s="13" t="s">
        <v>16606</v>
      </c>
      <c r="B1339" s="14" t="s">
        <v>12999</v>
      </c>
      <c r="C1339" s="15" t="s">
        <v>16607</v>
      </c>
      <c r="D1339" s="15" t="s">
        <v>16608</v>
      </c>
      <c r="E1339" s="15" t="s">
        <v>16609</v>
      </c>
      <c r="F1339" s="15" t="s">
        <v>16610</v>
      </c>
      <c r="G1339" s="15" t="s">
        <v>16611</v>
      </c>
      <c r="H1339" s="16" t="s">
        <v>16612</v>
      </c>
    </row>
    <row r="1340" spans="1:8" ht="33.75" x14ac:dyDescent="0.3">
      <c r="A1340" s="13" t="s">
        <v>16613</v>
      </c>
      <c r="B1340" s="14" t="s">
        <v>13007</v>
      </c>
      <c r="C1340" s="15" t="s">
        <v>16614</v>
      </c>
      <c r="D1340" s="15" t="s">
        <v>16615</v>
      </c>
      <c r="E1340" s="15" t="s">
        <v>16616</v>
      </c>
      <c r="F1340" s="15" t="s">
        <v>16617</v>
      </c>
      <c r="G1340" s="15" t="s">
        <v>16618</v>
      </c>
      <c r="H1340" s="16" t="s">
        <v>16619</v>
      </c>
    </row>
    <row r="1341" spans="1:8" ht="22.5" x14ac:dyDescent="0.3">
      <c r="A1341" s="13">
        <v>32307</v>
      </c>
      <c r="B1341" s="14" t="s">
        <v>16620</v>
      </c>
      <c r="C1341" s="15"/>
      <c r="D1341" s="15"/>
      <c r="E1341" s="15"/>
      <c r="F1341" s="15"/>
      <c r="G1341" s="15"/>
      <c r="H1341" s="16"/>
    </row>
    <row r="1342" spans="1:8" ht="56.25" x14ac:dyDescent="0.3">
      <c r="A1342" s="13" t="s">
        <v>16621</v>
      </c>
      <c r="B1342" s="14" t="s">
        <v>12999</v>
      </c>
      <c r="C1342" s="15" t="s">
        <v>16622</v>
      </c>
      <c r="D1342" s="15" t="s">
        <v>16623</v>
      </c>
      <c r="E1342" s="15" t="s">
        <v>16624</v>
      </c>
      <c r="F1342" s="15"/>
      <c r="G1342" s="15" t="s">
        <v>16625</v>
      </c>
      <c r="H1342" s="16" t="s">
        <v>16626</v>
      </c>
    </row>
    <row r="1343" spans="1:8" ht="33.75" x14ac:dyDescent="0.3">
      <c r="A1343" s="13" t="s">
        <v>16627</v>
      </c>
      <c r="B1343" s="14" t="s">
        <v>13007</v>
      </c>
      <c r="C1343" s="15" t="s">
        <v>16628</v>
      </c>
      <c r="D1343" s="15"/>
      <c r="E1343" s="15" t="s">
        <v>16629</v>
      </c>
      <c r="F1343" s="15"/>
      <c r="G1343" s="15"/>
      <c r="H1343" s="16" t="s">
        <v>16630</v>
      </c>
    </row>
    <row r="1344" spans="1:8" x14ac:dyDescent="0.3">
      <c r="A1344" s="13">
        <v>32308</v>
      </c>
      <c r="B1344" s="14" t="s">
        <v>16631</v>
      </c>
      <c r="C1344" s="15"/>
      <c r="D1344" s="15"/>
      <c r="E1344" s="15"/>
      <c r="F1344" s="15" t="s">
        <v>57</v>
      </c>
      <c r="G1344" s="15"/>
      <c r="H1344" s="16"/>
    </row>
    <row r="1345" spans="1:8" ht="22.5" x14ac:dyDescent="0.3">
      <c r="A1345" s="13" t="s">
        <v>16632</v>
      </c>
      <c r="B1345" s="14" t="s">
        <v>12999</v>
      </c>
      <c r="C1345" s="15" t="s">
        <v>16633</v>
      </c>
      <c r="D1345" s="15" t="s">
        <v>16634</v>
      </c>
      <c r="E1345" s="15"/>
      <c r="F1345" s="15"/>
      <c r="G1345" s="15" t="s">
        <v>16635</v>
      </c>
      <c r="H1345" s="16" t="s">
        <v>16636</v>
      </c>
    </row>
    <row r="1346" spans="1:8" ht="33.75" x14ac:dyDescent="0.3">
      <c r="A1346" s="13" t="s">
        <v>16637</v>
      </c>
      <c r="B1346" s="14" t="s">
        <v>13007</v>
      </c>
      <c r="C1346" s="15" t="s">
        <v>16638</v>
      </c>
      <c r="D1346" s="15" t="s">
        <v>16639</v>
      </c>
      <c r="E1346" s="15"/>
      <c r="F1346" s="15"/>
      <c r="G1346" s="15" t="s">
        <v>16640</v>
      </c>
      <c r="H1346" s="16" t="s">
        <v>16641</v>
      </c>
    </row>
    <row r="1347" spans="1:8" x14ac:dyDescent="0.3">
      <c r="A1347" s="13">
        <v>32309</v>
      </c>
      <c r="B1347" s="14" t="s">
        <v>16642</v>
      </c>
      <c r="C1347" s="15"/>
      <c r="D1347" s="15"/>
      <c r="E1347" s="15"/>
      <c r="F1347" s="15"/>
      <c r="G1347" s="15"/>
      <c r="H1347" s="16"/>
    </row>
    <row r="1348" spans="1:8" ht="22.5" x14ac:dyDescent="0.3">
      <c r="A1348" s="13" t="s">
        <v>16643</v>
      </c>
      <c r="B1348" s="14" t="s">
        <v>12999</v>
      </c>
      <c r="C1348" s="15" t="s">
        <v>16644</v>
      </c>
      <c r="D1348" s="15" t="s">
        <v>16645</v>
      </c>
      <c r="E1348" s="15" t="s">
        <v>16646</v>
      </c>
      <c r="F1348" s="15" t="s">
        <v>16647</v>
      </c>
      <c r="G1348" s="15" t="s">
        <v>16648</v>
      </c>
      <c r="H1348" s="16" t="s">
        <v>16649</v>
      </c>
    </row>
    <row r="1349" spans="1:8" ht="33.75" x14ac:dyDescent="0.3">
      <c r="A1349" s="13" t="s">
        <v>16650</v>
      </c>
      <c r="B1349" s="14" t="s">
        <v>13007</v>
      </c>
      <c r="C1349" s="15" t="s">
        <v>16651</v>
      </c>
      <c r="D1349" s="15" t="s">
        <v>16652</v>
      </c>
      <c r="E1349" s="15" t="s">
        <v>15169</v>
      </c>
      <c r="F1349" s="15" t="s">
        <v>16653</v>
      </c>
      <c r="G1349" s="15" t="s">
        <v>15170</v>
      </c>
      <c r="H1349" s="16" t="s">
        <v>16653</v>
      </c>
    </row>
    <row r="1350" spans="1:8" x14ac:dyDescent="0.3">
      <c r="A1350" s="13">
        <v>32310</v>
      </c>
      <c r="B1350" s="14" t="s">
        <v>16654</v>
      </c>
      <c r="C1350" s="15"/>
      <c r="D1350" s="15"/>
      <c r="E1350" s="15"/>
      <c r="F1350" s="15"/>
      <c r="G1350" s="15"/>
      <c r="H1350" s="16"/>
    </row>
    <row r="1351" spans="1:8" ht="22.5" x14ac:dyDescent="0.3">
      <c r="A1351" s="13" t="s">
        <v>16655</v>
      </c>
      <c r="B1351" s="14" t="s">
        <v>12999</v>
      </c>
      <c r="C1351" s="15" t="s">
        <v>16656</v>
      </c>
      <c r="D1351" s="15" t="s">
        <v>16657</v>
      </c>
      <c r="E1351" s="15" t="s">
        <v>16658</v>
      </c>
      <c r="F1351" s="15" t="s">
        <v>16659</v>
      </c>
      <c r="G1351" s="15" t="s">
        <v>16660</v>
      </c>
      <c r="H1351" s="16" t="s">
        <v>16661</v>
      </c>
    </row>
    <row r="1352" spans="1:8" ht="33.75" x14ac:dyDescent="0.3">
      <c r="A1352" s="13" t="s">
        <v>16662</v>
      </c>
      <c r="B1352" s="14" t="s">
        <v>13007</v>
      </c>
      <c r="C1352" s="15" t="s">
        <v>16663</v>
      </c>
      <c r="D1352" s="15" t="s">
        <v>16664</v>
      </c>
      <c r="E1352" s="15" t="s">
        <v>16665</v>
      </c>
      <c r="F1352" s="15" t="s">
        <v>16666</v>
      </c>
      <c r="G1352" s="15" t="s">
        <v>16667</v>
      </c>
      <c r="H1352" s="16" t="s">
        <v>16665</v>
      </c>
    </row>
    <row r="1353" spans="1:8" x14ac:dyDescent="0.3">
      <c r="A1353" s="13">
        <v>32311</v>
      </c>
      <c r="B1353" s="14" t="s">
        <v>16668</v>
      </c>
      <c r="C1353" s="15"/>
      <c r="D1353" s="15"/>
      <c r="E1353" s="15"/>
      <c r="F1353" s="15"/>
      <c r="G1353" s="15"/>
      <c r="H1353" s="16"/>
    </row>
    <row r="1354" spans="1:8" ht="22.5" x14ac:dyDescent="0.3">
      <c r="A1354" s="13" t="s">
        <v>16669</v>
      </c>
      <c r="B1354" s="14" t="s">
        <v>12999</v>
      </c>
      <c r="C1354" s="15" t="s">
        <v>16670</v>
      </c>
      <c r="D1354" s="15"/>
      <c r="E1354" s="15" t="s">
        <v>16671</v>
      </c>
      <c r="F1354" s="15" t="s">
        <v>16672</v>
      </c>
      <c r="G1354" s="15" t="s">
        <v>16673</v>
      </c>
      <c r="H1354" s="16" t="s">
        <v>16674</v>
      </c>
    </row>
    <row r="1355" spans="1:8" ht="33.75" x14ac:dyDescent="0.3">
      <c r="A1355" s="13" t="s">
        <v>16675</v>
      </c>
      <c r="B1355" s="14" t="s">
        <v>13007</v>
      </c>
      <c r="C1355" s="15" t="s">
        <v>16676</v>
      </c>
      <c r="D1355" s="15"/>
      <c r="E1355" s="15" t="s">
        <v>16677</v>
      </c>
      <c r="F1355" s="15" t="s">
        <v>16678</v>
      </c>
      <c r="G1355" s="15" t="s">
        <v>16679</v>
      </c>
      <c r="H1355" s="16" t="s">
        <v>16680</v>
      </c>
    </row>
    <row r="1356" spans="1:8" x14ac:dyDescent="0.3">
      <c r="A1356" s="13">
        <v>32312</v>
      </c>
      <c r="B1356" s="14" t="s">
        <v>16681</v>
      </c>
      <c r="C1356" s="15"/>
      <c r="D1356" s="15"/>
      <c r="E1356" s="15"/>
      <c r="F1356" s="15"/>
      <c r="G1356" s="15"/>
      <c r="H1356" s="16"/>
    </row>
    <row r="1357" spans="1:8" ht="22.5" x14ac:dyDescent="0.3">
      <c r="A1357" s="13" t="s">
        <v>16682</v>
      </c>
      <c r="B1357" s="14" t="s">
        <v>12999</v>
      </c>
      <c r="C1357" s="15" t="s">
        <v>16683</v>
      </c>
      <c r="D1357" s="15" t="s">
        <v>16684</v>
      </c>
      <c r="E1357" s="15" t="s">
        <v>16685</v>
      </c>
      <c r="F1357" s="15" t="s">
        <v>16686</v>
      </c>
      <c r="G1357" s="15" t="s">
        <v>16673</v>
      </c>
      <c r="H1357" s="16" t="s">
        <v>16687</v>
      </c>
    </row>
    <row r="1358" spans="1:8" ht="78.75" x14ac:dyDescent="0.3">
      <c r="A1358" s="13" t="s">
        <v>16688</v>
      </c>
      <c r="B1358" s="14" t="s">
        <v>13007</v>
      </c>
      <c r="C1358" s="15" t="s">
        <v>16689</v>
      </c>
      <c r="D1358" s="15" t="s">
        <v>16690</v>
      </c>
      <c r="E1358" s="15" t="s">
        <v>16691</v>
      </c>
      <c r="F1358" s="15" t="s">
        <v>16692</v>
      </c>
      <c r="G1358" s="15" t="s">
        <v>16679</v>
      </c>
      <c r="H1358" s="16" t="s">
        <v>16693</v>
      </c>
    </row>
    <row r="1359" spans="1:8" x14ac:dyDescent="0.3">
      <c r="A1359" s="13">
        <v>32313</v>
      </c>
      <c r="B1359" s="14" t="s">
        <v>16694</v>
      </c>
      <c r="C1359" s="15"/>
      <c r="D1359" s="15"/>
      <c r="E1359" s="15"/>
      <c r="F1359" s="15"/>
      <c r="G1359" s="15"/>
      <c r="H1359" s="16"/>
    </row>
    <row r="1360" spans="1:8" ht="22.5" x14ac:dyDescent="0.3">
      <c r="A1360" s="13" t="s">
        <v>16695</v>
      </c>
      <c r="B1360" s="14" t="s">
        <v>12999</v>
      </c>
      <c r="C1360" s="15" t="s">
        <v>16696</v>
      </c>
      <c r="D1360" s="15" t="s">
        <v>16697</v>
      </c>
      <c r="E1360" s="15" t="s">
        <v>16698</v>
      </c>
      <c r="F1360" s="15" t="s">
        <v>16699</v>
      </c>
      <c r="G1360" s="15" t="s">
        <v>16700</v>
      </c>
      <c r="H1360" s="16" t="s">
        <v>16701</v>
      </c>
    </row>
    <row r="1361" spans="1:8" ht="33.75" x14ac:dyDescent="0.3">
      <c r="A1361" s="13" t="s">
        <v>16702</v>
      </c>
      <c r="B1361" s="14" t="s">
        <v>13007</v>
      </c>
      <c r="C1361" s="15" t="s">
        <v>16703</v>
      </c>
      <c r="D1361" s="15" t="s">
        <v>16704</v>
      </c>
      <c r="E1361" s="15" t="s">
        <v>16705</v>
      </c>
      <c r="F1361" s="15" t="s">
        <v>16706</v>
      </c>
      <c r="G1361" s="15" t="s">
        <v>16707</v>
      </c>
      <c r="H1361" s="16" t="s">
        <v>16706</v>
      </c>
    </row>
    <row r="1362" spans="1:8" x14ac:dyDescent="0.3">
      <c r="A1362" s="13">
        <v>32314</v>
      </c>
      <c r="B1362" s="14" t="s">
        <v>16708</v>
      </c>
      <c r="C1362" s="15"/>
      <c r="D1362" s="15"/>
      <c r="E1362" s="15"/>
      <c r="F1362" s="15"/>
      <c r="G1362" s="15"/>
      <c r="H1362" s="16"/>
    </row>
    <row r="1363" spans="1:8" ht="22.5" x14ac:dyDescent="0.3">
      <c r="A1363" s="13" t="s">
        <v>16709</v>
      </c>
      <c r="B1363" s="14" t="s">
        <v>12999</v>
      </c>
      <c r="C1363" s="15"/>
      <c r="D1363" s="15"/>
      <c r="E1363" s="15" t="s">
        <v>16710</v>
      </c>
      <c r="F1363" s="15" t="s">
        <v>57</v>
      </c>
      <c r="G1363" s="15" t="s">
        <v>16711</v>
      </c>
      <c r="H1363" s="16"/>
    </row>
    <row r="1364" spans="1:8" ht="33.75" x14ac:dyDescent="0.3">
      <c r="A1364" s="13" t="s">
        <v>16712</v>
      </c>
      <c r="B1364" s="14" t="s">
        <v>13007</v>
      </c>
      <c r="C1364" s="15"/>
      <c r="D1364" s="15"/>
      <c r="E1364" s="15" t="s">
        <v>16713</v>
      </c>
      <c r="F1364" s="15" t="s">
        <v>57</v>
      </c>
      <c r="G1364" s="15" t="s">
        <v>16714</v>
      </c>
      <c r="H1364" s="16"/>
    </row>
    <row r="1365" spans="1:8" x14ac:dyDescent="0.3">
      <c r="A1365" s="13">
        <v>32315</v>
      </c>
      <c r="B1365" s="14" t="s">
        <v>16715</v>
      </c>
      <c r="C1365" s="15"/>
      <c r="D1365" s="15"/>
      <c r="E1365" s="15"/>
      <c r="F1365" s="15"/>
      <c r="G1365" s="15"/>
      <c r="H1365" s="16"/>
    </row>
    <row r="1366" spans="1:8" ht="33.75" x14ac:dyDescent="0.3">
      <c r="A1366" s="13" t="s">
        <v>16716</v>
      </c>
      <c r="B1366" s="14" t="s">
        <v>12999</v>
      </c>
      <c r="C1366" s="15" t="s">
        <v>16717</v>
      </c>
      <c r="D1366" s="15" t="s">
        <v>16718</v>
      </c>
      <c r="E1366" s="15" t="s">
        <v>16719</v>
      </c>
      <c r="F1366" s="15" t="s">
        <v>16720</v>
      </c>
      <c r="G1366" s="15" t="s">
        <v>16721</v>
      </c>
      <c r="H1366" s="16" t="s">
        <v>16722</v>
      </c>
    </row>
    <row r="1367" spans="1:8" ht="33.75" x14ac:dyDescent="0.3">
      <c r="A1367" s="13" t="s">
        <v>16723</v>
      </c>
      <c r="B1367" s="14" t="s">
        <v>13007</v>
      </c>
      <c r="C1367" s="15" t="s">
        <v>16724</v>
      </c>
      <c r="D1367" s="15" t="s">
        <v>16725</v>
      </c>
      <c r="E1367" s="15" t="s">
        <v>16726</v>
      </c>
      <c r="F1367" s="15" t="s">
        <v>16727</v>
      </c>
      <c r="G1367" s="15" t="s">
        <v>16727</v>
      </c>
      <c r="H1367" s="16" t="s">
        <v>16728</v>
      </c>
    </row>
    <row r="1368" spans="1:8" x14ac:dyDescent="0.3">
      <c r="A1368" s="13">
        <v>32316</v>
      </c>
      <c r="B1368" s="14" t="s">
        <v>16729</v>
      </c>
      <c r="C1368" s="15"/>
      <c r="D1368" s="15"/>
      <c r="E1368" s="15"/>
      <c r="F1368" s="15"/>
      <c r="G1368" s="15"/>
      <c r="H1368" s="16"/>
    </row>
    <row r="1369" spans="1:8" ht="22.5" x14ac:dyDescent="0.3">
      <c r="A1369" s="13" t="s">
        <v>16730</v>
      </c>
      <c r="B1369" s="14" t="s">
        <v>12999</v>
      </c>
      <c r="C1369" s="15" t="s">
        <v>16731</v>
      </c>
      <c r="D1369" s="15" t="s">
        <v>16732</v>
      </c>
      <c r="E1369" s="15" t="s">
        <v>16733</v>
      </c>
      <c r="F1369" s="15" t="s">
        <v>16734</v>
      </c>
      <c r="G1369" s="15" t="s">
        <v>16735</v>
      </c>
      <c r="H1369" s="16" t="s">
        <v>16736</v>
      </c>
    </row>
    <row r="1370" spans="1:8" ht="33.75" x14ac:dyDescent="0.3">
      <c r="A1370" s="13" t="s">
        <v>16737</v>
      </c>
      <c r="B1370" s="14" t="s">
        <v>13007</v>
      </c>
      <c r="C1370" s="15" t="s">
        <v>16738</v>
      </c>
      <c r="D1370" s="15" t="s">
        <v>16739</v>
      </c>
      <c r="E1370" s="15" t="s">
        <v>16740</v>
      </c>
      <c r="F1370" s="15" t="s">
        <v>16741</v>
      </c>
      <c r="G1370" s="15" t="s">
        <v>16742</v>
      </c>
      <c r="H1370" s="16" t="s">
        <v>16743</v>
      </c>
    </row>
    <row r="1371" spans="1:8" x14ac:dyDescent="0.3">
      <c r="A1371" s="13">
        <v>32317</v>
      </c>
      <c r="B1371" s="14" t="s">
        <v>16744</v>
      </c>
      <c r="C1371" s="15"/>
      <c r="D1371" s="15"/>
      <c r="E1371" s="15"/>
      <c r="F1371" s="15"/>
      <c r="G1371" s="15"/>
      <c r="H1371" s="16"/>
    </row>
    <row r="1372" spans="1:8" ht="22.5" x14ac:dyDescent="0.3">
      <c r="A1372" s="13" t="s">
        <v>16745</v>
      </c>
      <c r="B1372" s="14" t="s">
        <v>12999</v>
      </c>
      <c r="C1372" s="15" t="s">
        <v>16746</v>
      </c>
      <c r="D1372" s="15" t="s">
        <v>16747</v>
      </c>
      <c r="E1372" s="15" t="s">
        <v>16748</v>
      </c>
      <c r="F1372" s="15" t="s">
        <v>16749</v>
      </c>
      <c r="G1372" s="15" t="s">
        <v>16750</v>
      </c>
      <c r="H1372" s="16" t="s">
        <v>16751</v>
      </c>
    </row>
    <row r="1373" spans="1:8" ht="33.75" x14ac:dyDescent="0.3">
      <c r="A1373" s="13" t="s">
        <v>16752</v>
      </c>
      <c r="B1373" s="14" t="s">
        <v>13007</v>
      </c>
      <c r="C1373" s="15" t="s">
        <v>16753</v>
      </c>
      <c r="D1373" s="15" t="s">
        <v>16754</v>
      </c>
      <c r="E1373" s="15" t="s">
        <v>16755</v>
      </c>
      <c r="F1373" s="15"/>
      <c r="G1373" s="15" t="s">
        <v>16756</v>
      </c>
      <c r="H1373" s="16" t="s">
        <v>16757</v>
      </c>
    </row>
    <row r="1374" spans="1:8" x14ac:dyDescent="0.3">
      <c r="A1374" s="13">
        <v>32318</v>
      </c>
      <c r="B1374" s="14" t="s">
        <v>16758</v>
      </c>
      <c r="C1374" s="15"/>
      <c r="D1374" s="15"/>
      <c r="E1374" s="15"/>
      <c r="F1374" s="15"/>
      <c r="G1374" s="15"/>
      <c r="H1374" s="16"/>
    </row>
    <row r="1375" spans="1:8" ht="22.5" x14ac:dyDescent="0.3">
      <c r="A1375" s="13" t="s">
        <v>16759</v>
      </c>
      <c r="B1375" s="14" t="s">
        <v>12999</v>
      </c>
      <c r="C1375" s="15" t="s">
        <v>16760</v>
      </c>
      <c r="D1375" s="15" t="s">
        <v>16761</v>
      </c>
      <c r="E1375" s="15" t="s">
        <v>16762</v>
      </c>
      <c r="F1375" s="15" t="s">
        <v>16762</v>
      </c>
      <c r="G1375" s="15" t="s">
        <v>16763</v>
      </c>
      <c r="H1375" s="16" t="s">
        <v>16762</v>
      </c>
    </row>
    <row r="1376" spans="1:8" ht="33.75" x14ac:dyDescent="0.3">
      <c r="A1376" s="13" t="s">
        <v>16764</v>
      </c>
      <c r="B1376" s="14" t="s">
        <v>13007</v>
      </c>
      <c r="C1376" s="15" t="s">
        <v>16765</v>
      </c>
      <c r="D1376" s="15" t="s">
        <v>16766</v>
      </c>
      <c r="E1376" s="15" t="s">
        <v>16767</v>
      </c>
      <c r="F1376" s="15" t="s">
        <v>16768</v>
      </c>
      <c r="G1376" s="15" t="s">
        <v>16769</v>
      </c>
      <c r="H1376" s="16" t="s">
        <v>16770</v>
      </c>
    </row>
    <row r="1377" spans="1:8" x14ac:dyDescent="0.3">
      <c r="A1377" s="13">
        <v>32319</v>
      </c>
      <c r="B1377" s="14" t="s">
        <v>16771</v>
      </c>
      <c r="C1377" s="15"/>
      <c r="D1377" s="15"/>
      <c r="E1377" s="15"/>
      <c r="F1377" s="15"/>
      <c r="G1377" s="15"/>
      <c r="H1377" s="16"/>
    </row>
    <row r="1378" spans="1:8" ht="22.5" x14ac:dyDescent="0.3">
      <c r="A1378" s="13" t="s">
        <v>16772</v>
      </c>
      <c r="B1378" s="14" t="s">
        <v>12999</v>
      </c>
      <c r="C1378" s="15" t="s">
        <v>16773</v>
      </c>
      <c r="D1378" s="15" t="s">
        <v>16774</v>
      </c>
      <c r="E1378" s="15" t="s">
        <v>16775</v>
      </c>
      <c r="F1378" s="15" t="s">
        <v>16776</v>
      </c>
      <c r="G1378" s="15" t="s">
        <v>16777</v>
      </c>
      <c r="H1378" s="16" t="s">
        <v>16778</v>
      </c>
    </row>
    <row r="1379" spans="1:8" ht="33.75" x14ac:dyDescent="0.3">
      <c r="A1379" s="13" t="s">
        <v>16779</v>
      </c>
      <c r="B1379" s="14" t="s">
        <v>13007</v>
      </c>
      <c r="C1379" s="15" t="s">
        <v>16780</v>
      </c>
      <c r="D1379" s="15" t="s">
        <v>16781</v>
      </c>
      <c r="E1379" s="15" t="s">
        <v>16782</v>
      </c>
      <c r="F1379" s="15" t="s">
        <v>16783</v>
      </c>
      <c r="G1379" s="15" t="s">
        <v>16784</v>
      </c>
      <c r="H1379" s="16" t="s">
        <v>16785</v>
      </c>
    </row>
    <row r="1380" spans="1:8" ht="22.5" x14ac:dyDescent="0.3">
      <c r="A1380" s="13">
        <v>32320</v>
      </c>
      <c r="B1380" s="14" t="s">
        <v>16786</v>
      </c>
      <c r="C1380" s="15"/>
      <c r="D1380" s="15"/>
      <c r="E1380" s="15"/>
      <c r="F1380" s="15"/>
      <c r="G1380" s="15"/>
      <c r="H1380" s="16"/>
    </row>
    <row r="1381" spans="1:8" ht="22.5" x14ac:dyDescent="0.3">
      <c r="A1381" s="13" t="s">
        <v>16787</v>
      </c>
      <c r="B1381" s="14" t="s">
        <v>12999</v>
      </c>
      <c r="C1381" s="15" t="s">
        <v>16788</v>
      </c>
      <c r="D1381" s="15" t="s">
        <v>16789</v>
      </c>
      <c r="E1381" s="15" t="s">
        <v>16790</v>
      </c>
      <c r="F1381" s="15" t="s">
        <v>16791</v>
      </c>
      <c r="G1381" s="15" t="s">
        <v>16792</v>
      </c>
      <c r="H1381" s="16" t="s">
        <v>16790</v>
      </c>
    </row>
    <row r="1382" spans="1:8" ht="33.75" x14ac:dyDescent="0.3">
      <c r="A1382" s="13" t="s">
        <v>16793</v>
      </c>
      <c r="B1382" s="14" t="s">
        <v>13007</v>
      </c>
      <c r="C1382" s="15" t="s">
        <v>16794</v>
      </c>
      <c r="D1382" s="15" t="s">
        <v>16795</v>
      </c>
      <c r="E1382" s="15" t="s">
        <v>16796</v>
      </c>
      <c r="F1382" s="15" t="s">
        <v>16795</v>
      </c>
      <c r="G1382" s="15" t="s">
        <v>16797</v>
      </c>
      <c r="H1382" s="16" t="s">
        <v>16798</v>
      </c>
    </row>
    <row r="1383" spans="1:8" x14ac:dyDescent="0.3">
      <c r="A1383" s="13">
        <v>32321</v>
      </c>
      <c r="B1383" s="14" t="s">
        <v>16799</v>
      </c>
      <c r="C1383" s="15"/>
      <c r="D1383" s="15"/>
      <c r="E1383" s="15"/>
      <c r="F1383" s="15"/>
      <c r="G1383" s="15"/>
      <c r="H1383" s="16"/>
    </row>
    <row r="1384" spans="1:8" ht="22.5" x14ac:dyDescent="0.3">
      <c r="A1384" s="13" t="s">
        <v>16800</v>
      </c>
      <c r="B1384" s="14" t="s">
        <v>12999</v>
      </c>
      <c r="C1384" s="15" t="s">
        <v>16801</v>
      </c>
      <c r="D1384" s="15" t="s">
        <v>16802</v>
      </c>
      <c r="E1384" s="15" t="s">
        <v>16803</v>
      </c>
      <c r="F1384" s="15"/>
      <c r="G1384" s="15" t="s">
        <v>16804</v>
      </c>
      <c r="H1384" s="16" t="s">
        <v>16805</v>
      </c>
    </row>
    <row r="1385" spans="1:8" ht="33.75" x14ac:dyDescent="0.3">
      <c r="A1385" s="13" t="s">
        <v>16806</v>
      </c>
      <c r="B1385" s="14" t="s">
        <v>13007</v>
      </c>
      <c r="C1385" s="15" t="s">
        <v>16807</v>
      </c>
      <c r="D1385" s="15" t="s">
        <v>16808</v>
      </c>
      <c r="E1385" s="15" t="s">
        <v>16809</v>
      </c>
      <c r="F1385" s="15"/>
      <c r="G1385" s="15" t="s">
        <v>16810</v>
      </c>
      <c r="H1385" s="16" t="s">
        <v>16811</v>
      </c>
    </row>
    <row r="1386" spans="1:8" x14ac:dyDescent="0.3">
      <c r="A1386" s="13">
        <v>32322</v>
      </c>
      <c r="B1386" s="14" t="s">
        <v>16812</v>
      </c>
      <c r="C1386" s="15"/>
      <c r="D1386" s="15"/>
      <c r="E1386" s="15"/>
      <c r="F1386" s="15"/>
      <c r="G1386" s="15"/>
      <c r="H1386" s="16"/>
    </row>
    <row r="1387" spans="1:8" ht="22.5" x14ac:dyDescent="0.3">
      <c r="A1387" s="13" t="s">
        <v>16813</v>
      </c>
      <c r="B1387" s="14" t="s">
        <v>12999</v>
      </c>
      <c r="C1387" s="15" t="s">
        <v>16814</v>
      </c>
      <c r="D1387" s="15" t="s">
        <v>16815</v>
      </c>
      <c r="E1387" s="15" t="s">
        <v>15109</v>
      </c>
      <c r="F1387" s="15" t="s">
        <v>16816</v>
      </c>
      <c r="G1387" s="15" t="s">
        <v>16817</v>
      </c>
      <c r="H1387" s="16" t="s">
        <v>16818</v>
      </c>
    </row>
    <row r="1388" spans="1:8" ht="33.75" x14ac:dyDescent="0.3">
      <c r="A1388" s="13" t="s">
        <v>16819</v>
      </c>
      <c r="B1388" s="14" t="s">
        <v>13007</v>
      </c>
      <c r="C1388" s="15" t="s">
        <v>16820</v>
      </c>
      <c r="D1388" s="15" t="s">
        <v>16821</v>
      </c>
      <c r="E1388" s="15" t="s">
        <v>16822</v>
      </c>
      <c r="F1388" s="15" t="s">
        <v>16823</v>
      </c>
      <c r="G1388" s="15" t="s">
        <v>16824</v>
      </c>
      <c r="H1388" s="16" t="s">
        <v>16825</v>
      </c>
    </row>
    <row r="1389" spans="1:8" ht="22.5" x14ac:dyDescent="0.3">
      <c r="A1389" s="13">
        <v>32323</v>
      </c>
      <c r="B1389" s="14" t="s">
        <v>16826</v>
      </c>
      <c r="C1389" s="15"/>
      <c r="D1389" s="15"/>
      <c r="E1389" s="15"/>
      <c r="F1389" s="15"/>
      <c r="G1389" s="15"/>
      <c r="H1389" s="16"/>
    </row>
    <row r="1390" spans="1:8" ht="67.5" x14ac:dyDescent="0.3">
      <c r="A1390" s="13" t="s">
        <v>16827</v>
      </c>
      <c r="B1390" s="14" t="s">
        <v>12999</v>
      </c>
      <c r="C1390" s="15" t="s">
        <v>16828</v>
      </c>
      <c r="D1390" s="15" t="s">
        <v>16829</v>
      </c>
      <c r="E1390" s="15" t="s">
        <v>16830</v>
      </c>
      <c r="F1390" s="15"/>
      <c r="G1390" s="15" t="s">
        <v>16831</v>
      </c>
      <c r="H1390" s="16" t="s">
        <v>16832</v>
      </c>
    </row>
    <row r="1391" spans="1:8" ht="33.75" x14ac:dyDescent="0.3">
      <c r="A1391" s="13" t="s">
        <v>16833</v>
      </c>
      <c r="B1391" s="14" t="s">
        <v>13007</v>
      </c>
      <c r="C1391" s="15" t="s">
        <v>16834</v>
      </c>
      <c r="D1391" s="15"/>
      <c r="E1391" s="15" t="s">
        <v>16835</v>
      </c>
      <c r="F1391" s="15" t="s">
        <v>16836</v>
      </c>
      <c r="G1391" s="15" t="s">
        <v>16837</v>
      </c>
      <c r="H1391" s="16" t="s">
        <v>16838</v>
      </c>
    </row>
    <row r="1392" spans="1:8" x14ac:dyDescent="0.3">
      <c r="A1392" s="13">
        <v>32324</v>
      </c>
      <c r="B1392" s="14" t="s">
        <v>16839</v>
      </c>
      <c r="C1392" s="15"/>
      <c r="D1392" s="15"/>
      <c r="E1392" s="15"/>
      <c r="F1392" s="15"/>
      <c r="G1392" s="15"/>
      <c r="H1392" s="16"/>
    </row>
    <row r="1393" spans="1:8" ht="22.5" x14ac:dyDescent="0.3">
      <c r="A1393" s="13" t="s">
        <v>16840</v>
      </c>
      <c r="B1393" s="14" t="s">
        <v>12999</v>
      </c>
      <c r="C1393" s="15" t="s">
        <v>16841</v>
      </c>
      <c r="D1393" s="15"/>
      <c r="E1393" s="15" t="s">
        <v>16842</v>
      </c>
      <c r="F1393" s="15" t="s">
        <v>16843</v>
      </c>
      <c r="G1393" s="15" t="s">
        <v>16844</v>
      </c>
      <c r="H1393" s="16" t="s">
        <v>16844</v>
      </c>
    </row>
    <row r="1394" spans="1:8" ht="33.75" x14ac:dyDescent="0.3">
      <c r="A1394" s="13" t="s">
        <v>16845</v>
      </c>
      <c r="B1394" s="14" t="s">
        <v>13007</v>
      </c>
      <c r="C1394" s="15" t="s">
        <v>16846</v>
      </c>
      <c r="D1394" s="15"/>
      <c r="E1394" s="15" t="s">
        <v>12180</v>
      </c>
      <c r="F1394" s="15" t="s">
        <v>16847</v>
      </c>
      <c r="G1394" s="15" t="s">
        <v>12180</v>
      </c>
      <c r="H1394" s="16" t="s">
        <v>12180</v>
      </c>
    </row>
    <row r="1395" spans="1:8" x14ac:dyDescent="0.3">
      <c r="A1395" s="13">
        <v>32325</v>
      </c>
      <c r="B1395" s="14" t="s">
        <v>16848</v>
      </c>
      <c r="C1395" s="15"/>
      <c r="D1395" s="15"/>
      <c r="E1395" s="15"/>
      <c r="F1395" s="15"/>
      <c r="G1395" s="15"/>
      <c r="H1395" s="16"/>
    </row>
    <row r="1396" spans="1:8" ht="45" x14ac:dyDescent="0.3">
      <c r="A1396" s="13" t="s">
        <v>16849</v>
      </c>
      <c r="B1396" s="14" t="s">
        <v>12999</v>
      </c>
      <c r="C1396" s="15" t="s">
        <v>16850</v>
      </c>
      <c r="D1396" s="15" t="s">
        <v>16851</v>
      </c>
      <c r="E1396" s="15" t="s">
        <v>16852</v>
      </c>
      <c r="F1396" s="15" t="s">
        <v>16853</v>
      </c>
      <c r="G1396" s="15" t="s">
        <v>16854</v>
      </c>
      <c r="H1396" s="16" t="s">
        <v>16855</v>
      </c>
    </row>
    <row r="1397" spans="1:8" ht="33.75" x14ac:dyDescent="0.3">
      <c r="A1397" s="13" t="s">
        <v>16856</v>
      </c>
      <c r="B1397" s="14" t="s">
        <v>13007</v>
      </c>
      <c r="C1397" s="15" t="s">
        <v>16857</v>
      </c>
      <c r="D1397" s="15" t="s">
        <v>16858</v>
      </c>
      <c r="E1397" s="15" t="s">
        <v>16859</v>
      </c>
      <c r="F1397" s="15" t="s">
        <v>16860</v>
      </c>
      <c r="G1397" s="15" t="s">
        <v>16861</v>
      </c>
      <c r="H1397" s="16" t="s">
        <v>16862</v>
      </c>
    </row>
    <row r="1398" spans="1:8" x14ac:dyDescent="0.3">
      <c r="A1398" s="13">
        <v>32326</v>
      </c>
      <c r="B1398" s="14" t="s">
        <v>16863</v>
      </c>
      <c r="C1398" s="15"/>
      <c r="D1398" s="15"/>
      <c r="E1398" s="15"/>
      <c r="F1398" s="15"/>
      <c r="G1398" s="15"/>
      <c r="H1398" s="16"/>
    </row>
    <row r="1399" spans="1:8" ht="22.5" x14ac:dyDescent="0.3">
      <c r="A1399" s="13" t="s">
        <v>16864</v>
      </c>
      <c r="B1399" s="14" t="s">
        <v>12999</v>
      </c>
      <c r="C1399" s="15" t="s">
        <v>16865</v>
      </c>
      <c r="D1399" s="15" t="s">
        <v>16866</v>
      </c>
      <c r="E1399" s="15" t="s">
        <v>16867</v>
      </c>
      <c r="F1399" s="15" t="s">
        <v>16868</v>
      </c>
      <c r="G1399" s="15" t="s">
        <v>16869</v>
      </c>
      <c r="H1399" s="16" t="s">
        <v>16870</v>
      </c>
    </row>
    <row r="1400" spans="1:8" ht="33.75" x14ac:dyDescent="0.3">
      <c r="A1400" s="13" t="s">
        <v>16871</v>
      </c>
      <c r="B1400" s="14" t="s">
        <v>13007</v>
      </c>
      <c r="C1400" s="15"/>
      <c r="D1400" s="15" t="s">
        <v>16872</v>
      </c>
      <c r="E1400" s="15" t="s">
        <v>16873</v>
      </c>
      <c r="F1400" s="15" t="s">
        <v>16874</v>
      </c>
      <c r="G1400" s="15" t="s">
        <v>16875</v>
      </c>
      <c r="H1400" s="16" t="s">
        <v>16876</v>
      </c>
    </row>
    <row r="1401" spans="1:8" x14ac:dyDescent="0.3">
      <c r="A1401" s="13">
        <v>32327</v>
      </c>
      <c r="B1401" s="14" t="s">
        <v>16877</v>
      </c>
      <c r="C1401" s="15"/>
      <c r="D1401" s="15"/>
      <c r="E1401" s="15"/>
      <c r="F1401" s="15"/>
      <c r="G1401" s="15"/>
      <c r="H1401" s="16"/>
    </row>
    <row r="1402" spans="1:8" ht="78.75" x14ac:dyDescent="0.3">
      <c r="A1402" s="13" t="s">
        <v>16878</v>
      </c>
      <c r="B1402" s="14" t="s">
        <v>12999</v>
      </c>
      <c r="C1402" s="15" t="s">
        <v>16879</v>
      </c>
      <c r="D1402" s="15" t="s">
        <v>16880</v>
      </c>
      <c r="E1402" s="15" t="s">
        <v>16881</v>
      </c>
      <c r="F1402" s="15" t="s">
        <v>16882</v>
      </c>
      <c r="G1402" s="15" t="s">
        <v>16883</v>
      </c>
      <c r="H1402" s="16" t="s">
        <v>16883</v>
      </c>
    </row>
    <row r="1403" spans="1:8" ht="78.75" x14ac:dyDescent="0.3">
      <c r="A1403" s="13" t="s">
        <v>16884</v>
      </c>
      <c r="B1403" s="14" t="s">
        <v>13007</v>
      </c>
      <c r="C1403" s="15" t="s">
        <v>16885</v>
      </c>
      <c r="D1403" s="15" t="s">
        <v>16886</v>
      </c>
      <c r="E1403" s="15" t="s">
        <v>16887</v>
      </c>
      <c r="F1403" s="15" t="s">
        <v>16888</v>
      </c>
      <c r="G1403" s="15" t="s">
        <v>16889</v>
      </c>
      <c r="H1403" s="16" t="s">
        <v>16890</v>
      </c>
    </row>
    <row r="1404" spans="1:8" x14ac:dyDescent="0.3">
      <c r="A1404" s="13">
        <v>32328</v>
      </c>
      <c r="B1404" s="14" t="s">
        <v>16891</v>
      </c>
      <c r="C1404" s="15"/>
      <c r="D1404" s="15"/>
      <c r="E1404" s="15"/>
      <c r="F1404" s="15"/>
      <c r="G1404" s="15"/>
      <c r="H1404" s="16"/>
    </row>
    <row r="1405" spans="1:8" ht="56.25" x14ac:dyDescent="0.3">
      <c r="A1405" s="13" t="s">
        <v>16892</v>
      </c>
      <c r="B1405" s="14" t="s">
        <v>12999</v>
      </c>
      <c r="C1405" s="15" t="s">
        <v>16893</v>
      </c>
      <c r="D1405" s="15" t="s">
        <v>16894</v>
      </c>
      <c r="E1405" s="15" t="s">
        <v>16895</v>
      </c>
      <c r="F1405" s="15" t="s">
        <v>16896</v>
      </c>
      <c r="G1405" s="15" t="s">
        <v>16897</v>
      </c>
      <c r="H1405" s="16" t="s">
        <v>16898</v>
      </c>
    </row>
    <row r="1406" spans="1:8" ht="33.75" x14ac:dyDescent="0.3">
      <c r="A1406" s="13" t="s">
        <v>16899</v>
      </c>
      <c r="B1406" s="14" t="s">
        <v>13007</v>
      </c>
      <c r="C1406" s="15" t="s">
        <v>16900</v>
      </c>
      <c r="D1406" s="15" t="s">
        <v>16901</v>
      </c>
      <c r="E1406" s="15" t="s">
        <v>16902</v>
      </c>
      <c r="F1406" s="15" t="s">
        <v>16903</v>
      </c>
      <c r="G1406" s="15" t="s">
        <v>16904</v>
      </c>
      <c r="H1406" s="16" t="s">
        <v>16905</v>
      </c>
    </row>
    <row r="1407" spans="1:8" ht="22.5" x14ac:dyDescent="0.3">
      <c r="A1407" s="13">
        <v>32329</v>
      </c>
      <c r="B1407" s="14" t="s">
        <v>16906</v>
      </c>
      <c r="C1407" s="15"/>
      <c r="D1407" s="15"/>
      <c r="E1407" s="15"/>
      <c r="F1407" s="15"/>
      <c r="G1407" s="15"/>
      <c r="H1407" s="16"/>
    </row>
    <row r="1408" spans="1:8" ht="22.5" x14ac:dyDescent="0.3">
      <c r="A1408" s="13" t="s">
        <v>16907</v>
      </c>
      <c r="B1408" s="14" t="s">
        <v>12999</v>
      </c>
      <c r="C1408" s="15" t="s">
        <v>16908</v>
      </c>
      <c r="D1408" s="15" t="s">
        <v>16909</v>
      </c>
      <c r="E1408" s="15" t="s">
        <v>16910</v>
      </c>
      <c r="F1408" s="15" t="s">
        <v>16911</v>
      </c>
      <c r="G1408" s="15" t="s">
        <v>16912</v>
      </c>
      <c r="H1408" s="16" t="s">
        <v>16913</v>
      </c>
    </row>
    <row r="1409" spans="1:8" ht="33.75" x14ac:dyDescent="0.3">
      <c r="A1409" s="13" t="s">
        <v>16914</v>
      </c>
      <c r="B1409" s="14" t="s">
        <v>13007</v>
      </c>
      <c r="C1409" s="15" t="s">
        <v>16915</v>
      </c>
      <c r="D1409" s="15" t="s">
        <v>16916</v>
      </c>
      <c r="E1409" s="15" t="s">
        <v>1585</v>
      </c>
      <c r="F1409" s="15" t="s">
        <v>1585</v>
      </c>
      <c r="G1409" s="15" t="s">
        <v>16917</v>
      </c>
      <c r="H1409" s="16" t="s">
        <v>16918</v>
      </c>
    </row>
    <row r="1410" spans="1:8" x14ac:dyDescent="0.3">
      <c r="A1410" s="13">
        <v>32330</v>
      </c>
      <c r="B1410" s="14" t="s">
        <v>16919</v>
      </c>
      <c r="C1410" s="15"/>
      <c r="D1410" s="15"/>
      <c r="E1410" s="15"/>
      <c r="F1410" s="15"/>
      <c r="G1410" s="15"/>
      <c r="H1410" s="16"/>
    </row>
    <row r="1411" spans="1:8" ht="33.75" x14ac:dyDescent="0.3">
      <c r="A1411" s="13" t="s">
        <v>16920</v>
      </c>
      <c r="B1411" s="14" t="s">
        <v>12999</v>
      </c>
      <c r="C1411" s="15" t="s">
        <v>16921</v>
      </c>
      <c r="D1411" s="15" t="s">
        <v>16922</v>
      </c>
      <c r="E1411" s="15" t="s">
        <v>16923</v>
      </c>
      <c r="F1411" s="15" t="s">
        <v>16924</v>
      </c>
      <c r="G1411" s="15" t="s">
        <v>2308</v>
      </c>
      <c r="H1411" s="16" t="s">
        <v>2308</v>
      </c>
    </row>
    <row r="1412" spans="1:8" ht="33.75" x14ac:dyDescent="0.3">
      <c r="A1412" s="13" t="s">
        <v>16925</v>
      </c>
      <c r="B1412" s="14" t="s">
        <v>13007</v>
      </c>
      <c r="C1412" s="15" t="s">
        <v>16926</v>
      </c>
      <c r="D1412" s="15"/>
      <c r="E1412" s="15" t="s">
        <v>2313</v>
      </c>
      <c r="F1412" s="15" t="s">
        <v>16927</v>
      </c>
      <c r="G1412" s="15" t="s">
        <v>16928</v>
      </c>
      <c r="H1412" s="16" t="s">
        <v>16929</v>
      </c>
    </row>
    <row r="1413" spans="1:8" x14ac:dyDescent="0.3">
      <c r="A1413" s="13">
        <v>32331</v>
      </c>
      <c r="B1413" s="14" t="s">
        <v>16930</v>
      </c>
      <c r="C1413" s="15"/>
      <c r="D1413" s="15"/>
      <c r="E1413" s="15"/>
      <c r="F1413" s="15"/>
      <c r="G1413" s="15"/>
      <c r="H1413" s="16"/>
    </row>
    <row r="1414" spans="1:8" ht="90" x14ac:dyDescent="0.3">
      <c r="A1414" s="13" t="s">
        <v>16931</v>
      </c>
      <c r="B1414" s="14" t="s">
        <v>12999</v>
      </c>
      <c r="C1414" s="15" t="s">
        <v>16932</v>
      </c>
      <c r="D1414" s="15" t="s">
        <v>16933</v>
      </c>
      <c r="E1414" s="15" t="s">
        <v>16934</v>
      </c>
      <c r="F1414" s="15" t="s">
        <v>16935</v>
      </c>
      <c r="G1414" s="15" t="s">
        <v>16936</v>
      </c>
      <c r="H1414" s="16" t="s">
        <v>16937</v>
      </c>
    </row>
    <row r="1415" spans="1:8" ht="33.75" x14ac:dyDescent="0.3">
      <c r="A1415" s="13" t="s">
        <v>16938</v>
      </c>
      <c r="B1415" s="14" t="s">
        <v>13007</v>
      </c>
      <c r="C1415" s="15" t="s">
        <v>16939</v>
      </c>
      <c r="D1415" s="15" t="s">
        <v>16940</v>
      </c>
      <c r="E1415" s="15" t="s">
        <v>16941</v>
      </c>
      <c r="F1415" s="15" t="s">
        <v>16942</v>
      </c>
      <c r="G1415" s="15" t="s">
        <v>16943</v>
      </c>
      <c r="H1415" s="16" t="s">
        <v>16942</v>
      </c>
    </row>
    <row r="1416" spans="1:8" x14ac:dyDescent="0.3">
      <c r="A1416" s="13">
        <v>32332</v>
      </c>
      <c r="B1416" s="14" t="s">
        <v>16944</v>
      </c>
      <c r="C1416" s="15"/>
      <c r="D1416" s="15"/>
      <c r="E1416" s="15"/>
      <c r="F1416" s="15"/>
      <c r="G1416" s="15"/>
      <c r="H1416" s="16"/>
    </row>
    <row r="1417" spans="1:8" ht="22.5" x14ac:dyDescent="0.3">
      <c r="A1417" s="13" t="s">
        <v>16945</v>
      </c>
      <c r="B1417" s="14" t="s">
        <v>19714</v>
      </c>
      <c r="C1417" s="15" t="s">
        <v>16946</v>
      </c>
      <c r="D1417" s="15" t="s">
        <v>16947</v>
      </c>
      <c r="E1417" s="15" t="s">
        <v>16948</v>
      </c>
      <c r="F1417" s="15" t="s">
        <v>16949</v>
      </c>
      <c r="G1417" s="15" t="s">
        <v>16947</v>
      </c>
      <c r="H1417" s="16" t="s">
        <v>16947</v>
      </c>
    </row>
    <row r="1418" spans="1:8" x14ac:dyDescent="0.3">
      <c r="A1418" s="13" t="s">
        <v>16950</v>
      </c>
      <c r="B1418" s="14" t="s">
        <v>19716</v>
      </c>
      <c r="C1418" s="15" t="s">
        <v>16951</v>
      </c>
      <c r="D1418" s="15"/>
      <c r="E1418" s="15" t="s">
        <v>16952</v>
      </c>
      <c r="F1418" s="15" t="s">
        <v>16953</v>
      </c>
      <c r="G1418" s="15" t="s">
        <v>16954</v>
      </c>
      <c r="H1418" s="16" t="s">
        <v>16955</v>
      </c>
    </row>
    <row r="1419" spans="1:8" ht="22.5" x14ac:dyDescent="0.3">
      <c r="A1419" s="13" t="s">
        <v>16956</v>
      </c>
      <c r="B1419" s="14" t="s">
        <v>19721</v>
      </c>
      <c r="C1419" s="15" t="s">
        <v>16957</v>
      </c>
      <c r="D1419" s="15" t="s">
        <v>16958</v>
      </c>
      <c r="E1419" s="15" t="s">
        <v>16959</v>
      </c>
      <c r="F1419" s="15"/>
      <c r="G1419" s="15" t="s">
        <v>16960</v>
      </c>
      <c r="H1419" s="16" t="s">
        <v>16961</v>
      </c>
    </row>
    <row r="1420" spans="1:8" x14ac:dyDescent="0.3">
      <c r="A1420" s="13" t="s">
        <v>16962</v>
      </c>
      <c r="B1420" s="14" t="s">
        <v>19722</v>
      </c>
      <c r="C1420" s="15" t="s">
        <v>16963</v>
      </c>
      <c r="D1420" s="15"/>
      <c r="E1420" s="15" t="s">
        <v>16964</v>
      </c>
      <c r="F1420" s="15" t="s">
        <v>16965</v>
      </c>
      <c r="G1420" s="15" t="s">
        <v>16966</v>
      </c>
      <c r="H1420" s="16" t="s">
        <v>16967</v>
      </c>
    </row>
    <row r="1421" spans="1:8" ht="33.75" x14ac:dyDescent="0.3">
      <c r="A1421" s="13" t="s">
        <v>16968</v>
      </c>
      <c r="B1421" s="14" t="s">
        <v>19723</v>
      </c>
      <c r="C1421" s="15" t="s">
        <v>16969</v>
      </c>
      <c r="D1421" s="15" t="s">
        <v>16970</v>
      </c>
      <c r="E1421" s="15" t="s">
        <v>16971</v>
      </c>
      <c r="F1421" s="15"/>
      <c r="G1421" s="15" t="s">
        <v>16972</v>
      </c>
      <c r="H1421" s="16" t="s">
        <v>16973</v>
      </c>
    </row>
    <row r="1422" spans="1:8" x14ac:dyDescent="0.3">
      <c r="A1422" s="13">
        <v>32333</v>
      </c>
      <c r="B1422" s="14" t="s">
        <v>16974</v>
      </c>
      <c r="C1422" s="15"/>
      <c r="D1422" s="15"/>
      <c r="E1422" s="15"/>
      <c r="F1422" s="15"/>
      <c r="G1422" s="15"/>
      <c r="H1422" s="16"/>
    </row>
    <row r="1423" spans="1:8" ht="45" x14ac:dyDescent="0.3">
      <c r="A1423" s="13" t="s">
        <v>16975</v>
      </c>
      <c r="B1423" s="14" t="s">
        <v>19714</v>
      </c>
      <c r="C1423" s="15" t="s">
        <v>16976</v>
      </c>
      <c r="D1423" s="15" t="s">
        <v>16977</v>
      </c>
      <c r="E1423" s="15" t="s">
        <v>16978</v>
      </c>
      <c r="F1423" s="15" t="s">
        <v>16979</v>
      </c>
      <c r="G1423" s="15" t="s">
        <v>16980</v>
      </c>
      <c r="H1423" s="16" t="s">
        <v>16981</v>
      </c>
    </row>
    <row r="1424" spans="1:8" x14ac:dyDescent="0.3">
      <c r="A1424" s="13" t="s">
        <v>16982</v>
      </c>
      <c r="B1424" s="14" t="s">
        <v>19716</v>
      </c>
      <c r="C1424" s="15" t="s">
        <v>16983</v>
      </c>
      <c r="D1424" s="15"/>
      <c r="E1424" s="15" t="s">
        <v>16984</v>
      </c>
      <c r="F1424" s="15"/>
      <c r="G1424" s="15" t="s">
        <v>16985</v>
      </c>
      <c r="H1424" s="16" t="s">
        <v>16986</v>
      </c>
    </row>
    <row r="1425" spans="1:8" ht="33.75" x14ac:dyDescent="0.3">
      <c r="A1425" s="13" t="s">
        <v>16987</v>
      </c>
      <c r="B1425" s="14" t="s">
        <v>19721</v>
      </c>
      <c r="C1425" s="15" t="s">
        <v>16988</v>
      </c>
      <c r="D1425" s="15" t="s">
        <v>16989</v>
      </c>
      <c r="E1425" s="15" t="s">
        <v>16990</v>
      </c>
      <c r="F1425" s="15"/>
      <c r="G1425" s="15" t="s">
        <v>16991</v>
      </c>
      <c r="H1425" s="16" t="s">
        <v>16992</v>
      </c>
    </row>
    <row r="1426" spans="1:8" ht="45" x14ac:dyDescent="0.3">
      <c r="A1426" s="13" t="s">
        <v>16993</v>
      </c>
      <c r="B1426" s="14" t="s">
        <v>19722</v>
      </c>
      <c r="C1426" s="15" t="s">
        <v>16994</v>
      </c>
      <c r="D1426" s="15" t="s">
        <v>16995</v>
      </c>
      <c r="E1426" s="15" t="s">
        <v>16996</v>
      </c>
      <c r="F1426" s="15"/>
      <c r="G1426" s="15" t="s">
        <v>16997</v>
      </c>
      <c r="H1426" s="16" t="s">
        <v>16998</v>
      </c>
    </row>
    <row r="1427" spans="1:8" x14ac:dyDescent="0.3">
      <c r="A1427" s="13" t="s">
        <v>16999</v>
      </c>
      <c r="B1427" s="14" t="s">
        <v>19723</v>
      </c>
      <c r="C1427" s="15" t="s">
        <v>17000</v>
      </c>
      <c r="D1427" s="15"/>
      <c r="E1427" s="15" t="s">
        <v>17001</v>
      </c>
      <c r="F1427" s="15"/>
      <c r="G1427" s="15" t="s">
        <v>17002</v>
      </c>
      <c r="H1427" s="16" t="s">
        <v>17002</v>
      </c>
    </row>
    <row r="1428" spans="1:8" x14ac:dyDescent="0.3">
      <c r="A1428" s="13">
        <v>32334</v>
      </c>
      <c r="B1428" s="14" t="s">
        <v>17003</v>
      </c>
      <c r="C1428" s="15"/>
      <c r="D1428" s="15"/>
      <c r="E1428" s="15"/>
      <c r="F1428" s="15"/>
      <c r="G1428" s="15"/>
      <c r="H1428" s="16"/>
    </row>
    <row r="1429" spans="1:8" ht="22.5" x14ac:dyDescent="0.3">
      <c r="A1429" s="13" t="s">
        <v>17004</v>
      </c>
      <c r="B1429" s="14" t="s">
        <v>19714</v>
      </c>
      <c r="C1429" s="15" t="s">
        <v>17005</v>
      </c>
      <c r="D1429" s="15" t="s">
        <v>17006</v>
      </c>
      <c r="E1429" s="15" t="s">
        <v>17007</v>
      </c>
      <c r="F1429" s="15" t="s">
        <v>17008</v>
      </c>
      <c r="G1429" s="15" t="s">
        <v>17009</v>
      </c>
      <c r="H1429" s="16" t="s">
        <v>17010</v>
      </c>
    </row>
    <row r="1430" spans="1:8" ht="33.75" x14ac:dyDescent="0.3">
      <c r="A1430" s="13" t="s">
        <v>17011</v>
      </c>
      <c r="B1430" s="14" t="s">
        <v>19716</v>
      </c>
      <c r="C1430" s="15" t="s">
        <v>17012</v>
      </c>
      <c r="D1430" s="15"/>
      <c r="E1430" s="15" t="s">
        <v>17013</v>
      </c>
      <c r="F1430" s="15" t="s">
        <v>17014</v>
      </c>
      <c r="G1430" s="15" t="s">
        <v>17015</v>
      </c>
      <c r="H1430" s="16" t="s">
        <v>17016</v>
      </c>
    </row>
    <row r="1431" spans="1:8" ht="22.5" x14ac:dyDescent="0.3">
      <c r="A1431" s="13" t="s">
        <v>17017</v>
      </c>
      <c r="B1431" s="14" t="s">
        <v>19721</v>
      </c>
      <c r="C1431" s="15" t="s">
        <v>17018</v>
      </c>
      <c r="D1431" s="15"/>
      <c r="E1431" s="15" t="s">
        <v>17019</v>
      </c>
      <c r="F1431" s="15" t="s">
        <v>17020</v>
      </c>
      <c r="G1431" s="15" t="s">
        <v>17021</v>
      </c>
      <c r="H1431" s="16" t="s">
        <v>17022</v>
      </c>
    </row>
    <row r="1432" spans="1:8" ht="22.5" x14ac:dyDescent="0.3">
      <c r="A1432" s="13" t="s">
        <v>17023</v>
      </c>
      <c r="B1432" s="14" t="s">
        <v>19722</v>
      </c>
      <c r="C1432" s="15" t="s">
        <v>17024</v>
      </c>
      <c r="D1432" s="15" t="s">
        <v>17025</v>
      </c>
      <c r="E1432" s="15" t="s">
        <v>17026</v>
      </c>
      <c r="F1432" s="15" t="s">
        <v>17025</v>
      </c>
      <c r="G1432" s="15" t="s">
        <v>17027</v>
      </c>
      <c r="H1432" s="16" t="s">
        <v>17028</v>
      </c>
    </row>
    <row r="1433" spans="1:8" ht="45" x14ac:dyDescent="0.3">
      <c r="A1433" s="13" t="s">
        <v>17029</v>
      </c>
      <c r="B1433" s="14" t="s">
        <v>19723</v>
      </c>
      <c r="C1433" s="15" t="s">
        <v>17030</v>
      </c>
      <c r="D1433" s="15" t="s">
        <v>17031</v>
      </c>
      <c r="E1433" s="15" t="s">
        <v>17032</v>
      </c>
      <c r="F1433" s="15"/>
      <c r="G1433" s="15" t="s">
        <v>17033</v>
      </c>
      <c r="H1433" s="16" t="s">
        <v>17034</v>
      </c>
    </row>
    <row r="1434" spans="1:8" x14ac:dyDescent="0.3">
      <c r="A1434" s="13">
        <v>32335</v>
      </c>
      <c r="B1434" s="14" t="s">
        <v>17035</v>
      </c>
      <c r="C1434" s="15"/>
      <c r="D1434" s="15"/>
      <c r="E1434" s="15"/>
      <c r="F1434" s="15"/>
      <c r="G1434" s="15"/>
      <c r="H1434" s="16"/>
    </row>
    <row r="1435" spans="1:8" ht="45" x14ac:dyDescent="0.3">
      <c r="A1435" s="13" t="s">
        <v>17036</v>
      </c>
      <c r="B1435" s="14" t="s">
        <v>19714</v>
      </c>
      <c r="C1435" s="15" t="s">
        <v>17037</v>
      </c>
      <c r="D1435" s="15" t="s">
        <v>17038</v>
      </c>
      <c r="E1435" s="15" t="s">
        <v>17039</v>
      </c>
      <c r="F1435" s="15" t="s">
        <v>17040</v>
      </c>
      <c r="G1435" s="15" t="s">
        <v>17041</v>
      </c>
      <c r="H1435" s="16" t="s">
        <v>17042</v>
      </c>
    </row>
    <row r="1436" spans="1:8" x14ac:dyDescent="0.3">
      <c r="A1436" s="13" t="s">
        <v>17043</v>
      </c>
      <c r="B1436" s="14" t="s">
        <v>19716</v>
      </c>
      <c r="C1436" s="15" t="s">
        <v>17044</v>
      </c>
      <c r="D1436" s="15"/>
      <c r="E1436" s="15" t="s">
        <v>17045</v>
      </c>
      <c r="F1436" s="15"/>
      <c r="G1436" s="15" t="s">
        <v>17046</v>
      </c>
      <c r="H1436" s="16" t="s">
        <v>17046</v>
      </c>
    </row>
    <row r="1437" spans="1:8" x14ac:dyDescent="0.3">
      <c r="A1437" s="13" t="s">
        <v>17047</v>
      </c>
      <c r="B1437" s="14" t="s">
        <v>19721</v>
      </c>
      <c r="C1437" s="15" t="s">
        <v>17048</v>
      </c>
      <c r="D1437" s="15" t="s">
        <v>17049</v>
      </c>
      <c r="E1437" s="15" t="s">
        <v>17050</v>
      </c>
      <c r="F1437" s="15" t="s">
        <v>17049</v>
      </c>
      <c r="G1437" s="15" t="s">
        <v>17049</v>
      </c>
      <c r="H1437" s="16" t="s">
        <v>17051</v>
      </c>
    </row>
    <row r="1438" spans="1:8" x14ac:dyDescent="0.3">
      <c r="A1438" s="13" t="s">
        <v>17052</v>
      </c>
      <c r="B1438" s="14" t="s">
        <v>19722</v>
      </c>
      <c r="C1438" s="15" t="s">
        <v>17053</v>
      </c>
      <c r="D1438" s="15"/>
      <c r="E1438" s="15"/>
      <c r="F1438" s="15"/>
      <c r="G1438" s="15" t="s">
        <v>17054</v>
      </c>
      <c r="H1438" s="16" t="s">
        <v>17055</v>
      </c>
    </row>
    <row r="1439" spans="1:8" x14ac:dyDescent="0.3">
      <c r="A1439" s="13" t="s">
        <v>17056</v>
      </c>
      <c r="B1439" s="14" t="s">
        <v>19723</v>
      </c>
      <c r="C1439" s="15" t="s">
        <v>17057</v>
      </c>
      <c r="D1439" s="15" t="s">
        <v>9851</v>
      </c>
      <c r="E1439" s="15" t="s">
        <v>17058</v>
      </c>
      <c r="F1439" s="15"/>
      <c r="G1439" s="15" t="s">
        <v>17059</v>
      </c>
      <c r="H1439" s="16" t="s">
        <v>17060</v>
      </c>
    </row>
    <row r="1440" spans="1:8" x14ac:dyDescent="0.3">
      <c r="A1440" s="13">
        <v>32336</v>
      </c>
      <c r="B1440" s="14" t="s">
        <v>17061</v>
      </c>
      <c r="C1440" s="15"/>
      <c r="D1440" s="15"/>
      <c r="E1440" s="15"/>
      <c r="F1440" s="15"/>
      <c r="G1440" s="15"/>
      <c r="H1440" s="16"/>
    </row>
    <row r="1441" spans="1:8" ht="33.75" x14ac:dyDescent="0.3">
      <c r="A1441" s="13" t="s">
        <v>17062</v>
      </c>
      <c r="B1441" s="14" t="s">
        <v>19714</v>
      </c>
      <c r="C1441" s="15" t="s">
        <v>17063</v>
      </c>
      <c r="D1441" s="15" t="s">
        <v>17064</v>
      </c>
      <c r="E1441" s="15" t="s">
        <v>17065</v>
      </c>
      <c r="F1441" s="15" t="s">
        <v>17066</v>
      </c>
      <c r="G1441" s="15" t="s">
        <v>17066</v>
      </c>
      <c r="H1441" s="16" t="s">
        <v>17066</v>
      </c>
    </row>
    <row r="1442" spans="1:8" ht="33.75" x14ac:dyDescent="0.3">
      <c r="A1442" s="13" t="s">
        <v>17067</v>
      </c>
      <c r="B1442" s="14" t="s">
        <v>19716</v>
      </c>
      <c r="C1442" s="15" t="s">
        <v>17068</v>
      </c>
      <c r="D1442" s="15"/>
      <c r="E1442" s="15" t="s">
        <v>17069</v>
      </c>
      <c r="F1442" s="15"/>
      <c r="G1442" s="15" t="s">
        <v>17070</v>
      </c>
      <c r="H1442" s="16" t="s">
        <v>17071</v>
      </c>
    </row>
    <row r="1443" spans="1:8" ht="22.5" x14ac:dyDescent="0.3">
      <c r="A1443" s="13" t="s">
        <v>17072</v>
      </c>
      <c r="B1443" s="14" t="s">
        <v>19721</v>
      </c>
      <c r="C1443" s="15" t="s">
        <v>17073</v>
      </c>
      <c r="D1443" s="15" t="s">
        <v>17074</v>
      </c>
      <c r="E1443" s="15" t="s">
        <v>17075</v>
      </c>
      <c r="F1443" s="15"/>
      <c r="G1443" s="15" t="s">
        <v>17076</v>
      </c>
      <c r="H1443" s="16" t="s">
        <v>17077</v>
      </c>
    </row>
    <row r="1444" spans="1:8" ht="67.5" x14ac:dyDescent="0.3">
      <c r="A1444" s="13" t="s">
        <v>17078</v>
      </c>
      <c r="B1444" s="14" t="s">
        <v>19722</v>
      </c>
      <c r="C1444" s="15" t="s">
        <v>17079</v>
      </c>
      <c r="D1444" s="15" t="s">
        <v>17080</v>
      </c>
      <c r="E1444" s="15"/>
      <c r="F1444" s="15" t="s">
        <v>17081</v>
      </c>
      <c r="G1444" s="15" t="s">
        <v>17082</v>
      </c>
      <c r="H1444" s="16" t="s">
        <v>17083</v>
      </c>
    </row>
    <row r="1445" spans="1:8" x14ac:dyDescent="0.3">
      <c r="A1445" s="13" t="s">
        <v>17084</v>
      </c>
      <c r="B1445" s="14" t="s">
        <v>19723</v>
      </c>
      <c r="C1445" s="15" t="s">
        <v>17085</v>
      </c>
      <c r="D1445" s="15"/>
      <c r="E1445" s="15"/>
      <c r="F1445" s="15"/>
      <c r="G1445" s="15" t="s">
        <v>17086</v>
      </c>
      <c r="H1445" s="16" t="s">
        <v>17087</v>
      </c>
    </row>
    <row r="1446" spans="1:8" x14ac:dyDescent="0.3">
      <c r="A1446" s="13">
        <v>32337</v>
      </c>
      <c r="B1446" s="14" t="s">
        <v>17088</v>
      </c>
      <c r="C1446" s="15"/>
      <c r="D1446" s="15"/>
      <c r="E1446" s="15"/>
      <c r="F1446" s="15"/>
      <c r="G1446" s="15"/>
      <c r="H1446" s="16"/>
    </row>
    <row r="1447" spans="1:8" x14ac:dyDescent="0.3">
      <c r="A1447" s="13" t="s">
        <v>17089</v>
      </c>
      <c r="B1447" s="14" t="s">
        <v>19714</v>
      </c>
      <c r="C1447" s="15" t="s">
        <v>17090</v>
      </c>
      <c r="D1447" s="15" t="s">
        <v>17091</v>
      </c>
      <c r="E1447" s="15" t="s">
        <v>17092</v>
      </c>
      <c r="F1447" s="15"/>
      <c r="G1447" s="15" t="s">
        <v>17093</v>
      </c>
      <c r="H1447" s="16" t="s">
        <v>17094</v>
      </c>
    </row>
    <row r="1448" spans="1:8" ht="45" x14ac:dyDescent="0.3">
      <c r="A1448" s="13" t="s">
        <v>17095</v>
      </c>
      <c r="B1448" s="14" t="s">
        <v>19716</v>
      </c>
      <c r="C1448" s="15" t="s">
        <v>17096</v>
      </c>
      <c r="D1448" s="15" t="s">
        <v>17097</v>
      </c>
      <c r="E1448" s="15" t="s">
        <v>17098</v>
      </c>
      <c r="F1448" s="15" t="s">
        <v>17099</v>
      </c>
      <c r="G1448" s="15" t="s">
        <v>17100</v>
      </c>
      <c r="H1448" s="16" t="s">
        <v>17098</v>
      </c>
    </row>
    <row r="1449" spans="1:8" ht="22.5" x14ac:dyDescent="0.3">
      <c r="A1449" s="13" t="s">
        <v>17101</v>
      </c>
      <c r="B1449" s="14" t="s">
        <v>19721</v>
      </c>
      <c r="C1449" s="15" t="s">
        <v>17102</v>
      </c>
      <c r="D1449" s="15" t="s">
        <v>17103</v>
      </c>
      <c r="E1449" s="15" t="s">
        <v>17104</v>
      </c>
      <c r="F1449" s="15" t="s">
        <v>17105</v>
      </c>
      <c r="G1449" s="15" t="s">
        <v>17106</v>
      </c>
      <c r="H1449" s="16" t="s">
        <v>17105</v>
      </c>
    </row>
    <row r="1450" spans="1:8" ht="22.5" x14ac:dyDescent="0.3">
      <c r="A1450" s="13" t="s">
        <v>17107</v>
      </c>
      <c r="B1450" s="14" t="s">
        <v>19722</v>
      </c>
      <c r="C1450" s="15" t="s">
        <v>17108</v>
      </c>
      <c r="D1450" s="15"/>
      <c r="E1450" s="15" t="s">
        <v>17109</v>
      </c>
      <c r="F1450" s="15"/>
      <c r="G1450" s="15" t="s">
        <v>17110</v>
      </c>
      <c r="H1450" s="16" t="s">
        <v>17111</v>
      </c>
    </row>
    <row r="1451" spans="1:8" x14ac:dyDescent="0.3">
      <c r="A1451" s="13" t="s">
        <v>17112</v>
      </c>
      <c r="B1451" s="14" t="s">
        <v>19723</v>
      </c>
      <c r="C1451" s="15" t="s">
        <v>17113</v>
      </c>
      <c r="D1451" s="15"/>
      <c r="E1451" s="15" t="s">
        <v>17114</v>
      </c>
      <c r="F1451" s="15"/>
      <c r="G1451" s="15" t="s">
        <v>17115</v>
      </c>
      <c r="H1451" s="16" t="s">
        <v>17116</v>
      </c>
    </row>
    <row r="1452" spans="1:8" x14ac:dyDescent="0.3">
      <c r="A1452" s="13">
        <v>32338</v>
      </c>
      <c r="B1452" s="14" t="s">
        <v>17117</v>
      </c>
      <c r="C1452" s="15"/>
      <c r="D1452" s="15"/>
      <c r="E1452" s="15"/>
      <c r="F1452" s="15"/>
      <c r="G1452" s="15"/>
      <c r="H1452" s="16"/>
    </row>
    <row r="1453" spans="1:8" x14ac:dyDescent="0.3">
      <c r="A1453" s="13" t="s">
        <v>17118</v>
      </c>
      <c r="B1453" s="14" t="s">
        <v>19714</v>
      </c>
      <c r="C1453" s="15" t="s">
        <v>17119</v>
      </c>
      <c r="D1453" s="15" t="s">
        <v>17120</v>
      </c>
      <c r="E1453" s="15" t="s">
        <v>17121</v>
      </c>
      <c r="F1453" s="15" t="s">
        <v>17122</v>
      </c>
      <c r="G1453" s="15" t="s">
        <v>17123</v>
      </c>
      <c r="H1453" s="16" t="s">
        <v>17122</v>
      </c>
    </row>
    <row r="1454" spans="1:8" ht="22.5" x14ac:dyDescent="0.3">
      <c r="A1454" s="13" t="s">
        <v>17124</v>
      </c>
      <c r="B1454" s="14" t="s">
        <v>19716</v>
      </c>
      <c r="C1454" s="15" t="s">
        <v>17125</v>
      </c>
      <c r="D1454" s="15"/>
      <c r="E1454" s="15" t="s">
        <v>17126</v>
      </c>
      <c r="F1454" s="15"/>
      <c r="G1454" s="15" t="s">
        <v>17127</v>
      </c>
      <c r="H1454" s="16" t="s">
        <v>17128</v>
      </c>
    </row>
    <row r="1455" spans="1:8" ht="22.5" x14ac:dyDescent="0.3">
      <c r="A1455" s="13" t="s">
        <v>17129</v>
      </c>
      <c r="B1455" s="14" t="s">
        <v>19721</v>
      </c>
      <c r="C1455" s="15" t="s">
        <v>17130</v>
      </c>
      <c r="D1455" s="15" t="s">
        <v>17131</v>
      </c>
      <c r="E1455" s="15" t="s">
        <v>17132</v>
      </c>
      <c r="F1455" s="15" t="s">
        <v>17133</v>
      </c>
      <c r="G1455" s="15" t="s">
        <v>17134</v>
      </c>
      <c r="H1455" s="16" t="s">
        <v>17135</v>
      </c>
    </row>
    <row r="1456" spans="1:8" x14ac:dyDescent="0.3">
      <c r="A1456" s="13" t="s">
        <v>17136</v>
      </c>
      <c r="B1456" s="14" t="s">
        <v>19722</v>
      </c>
      <c r="C1456" s="15" t="s">
        <v>17137</v>
      </c>
      <c r="D1456" s="15"/>
      <c r="E1456" s="15" t="s">
        <v>17138</v>
      </c>
      <c r="F1456" s="15"/>
      <c r="G1456" s="15" t="s">
        <v>17139</v>
      </c>
      <c r="H1456" s="16" t="s">
        <v>17140</v>
      </c>
    </row>
    <row r="1457" spans="1:8" ht="33.75" x14ac:dyDescent="0.3">
      <c r="A1457" s="13" t="s">
        <v>17141</v>
      </c>
      <c r="B1457" s="14" t="s">
        <v>19723</v>
      </c>
      <c r="C1457" s="15" t="s">
        <v>17142</v>
      </c>
      <c r="D1457" s="15"/>
      <c r="E1457" s="15" t="s">
        <v>17143</v>
      </c>
      <c r="F1457" s="15"/>
      <c r="G1457" s="15" t="s">
        <v>17144</v>
      </c>
      <c r="H1457" s="16" t="s">
        <v>17145</v>
      </c>
    </row>
    <row r="1458" spans="1:8" x14ac:dyDescent="0.3">
      <c r="A1458" s="13">
        <v>32339</v>
      </c>
      <c r="B1458" s="14" t="s">
        <v>17146</v>
      </c>
      <c r="C1458" s="15"/>
      <c r="D1458" s="15"/>
      <c r="E1458" s="15"/>
      <c r="F1458" s="15"/>
      <c r="G1458" s="15"/>
      <c r="H1458" s="16"/>
    </row>
    <row r="1459" spans="1:8" ht="45" x14ac:dyDescent="0.3">
      <c r="A1459" s="13" t="s">
        <v>17147</v>
      </c>
      <c r="B1459" s="14" t="s">
        <v>19714</v>
      </c>
      <c r="C1459" s="15" t="s">
        <v>17148</v>
      </c>
      <c r="D1459" s="15" t="s">
        <v>17149</v>
      </c>
      <c r="E1459" s="15" t="s">
        <v>17150</v>
      </c>
      <c r="F1459" s="15" t="s">
        <v>17151</v>
      </c>
      <c r="G1459" s="15"/>
      <c r="H1459" s="16" t="s">
        <v>17150</v>
      </c>
    </row>
    <row r="1460" spans="1:8" x14ac:dyDescent="0.3">
      <c r="A1460" s="13" t="s">
        <v>17152</v>
      </c>
      <c r="B1460" s="14" t="s">
        <v>19716</v>
      </c>
      <c r="C1460" s="15" t="s">
        <v>17153</v>
      </c>
      <c r="D1460" s="15"/>
      <c r="E1460" s="15" t="s">
        <v>17154</v>
      </c>
      <c r="F1460" s="15"/>
      <c r="G1460" s="15"/>
      <c r="H1460" s="16"/>
    </row>
    <row r="1461" spans="1:8" ht="45" x14ac:dyDescent="0.3">
      <c r="A1461" s="13" t="s">
        <v>17155</v>
      </c>
      <c r="B1461" s="14" t="s">
        <v>19721</v>
      </c>
      <c r="C1461" s="15" t="s">
        <v>17156</v>
      </c>
      <c r="D1461" s="15" t="s">
        <v>17157</v>
      </c>
      <c r="E1461" s="15" t="s">
        <v>17158</v>
      </c>
      <c r="F1461" s="15" t="s">
        <v>17159</v>
      </c>
      <c r="G1461" s="15"/>
      <c r="H1461" s="16" t="s">
        <v>17160</v>
      </c>
    </row>
    <row r="1462" spans="1:8" ht="22.5" x14ac:dyDescent="0.3">
      <c r="A1462" s="13" t="s">
        <v>17161</v>
      </c>
      <c r="B1462" s="14" t="s">
        <v>19722</v>
      </c>
      <c r="C1462" s="15" t="s">
        <v>17162</v>
      </c>
      <c r="D1462" s="15"/>
      <c r="E1462" s="15" t="s">
        <v>17163</v>
      </c>
      <c r="F1462" s="15"/>
      <c r="G1462" s="15" t="s">
        <v>17164</v>
      </c>
      <c r="H1462" s="16" t="s">
        <v>17165</v>
      </c>
    </row>
    <row r="1463" spans="1:8" x14ac:dyDescent="0.3">
      <c r="A1463" s="13" t="s">
        <v>17166</v>
      </c>
      <c r="B1463" s="14" t="s">
        <v>19723</v>
      </c>
      <c r="C1463" s="15" t="s">
        <v>17167</v>
      </c>
      <c r="D1463" s="15"/>
      <c r="E1463" s="15" t="s">
        <v>17168</v>
      </c>
      <c r="F1463" s="15" t="s">
        <v>17169</v>
      </c>
      <c r="G1463" s="15"/>
      <c r="H1463" s="16" t="s">
        <v>17170</v>
      </c>
    </row>
    <row r="1464" spans="1:8" x14ac:dyDescent="0.3">
      <c r="A1464" s="13">
        <v>32340</v>
      </c>
      <c r="B1464" s="14" t="s">
        <v>17171</v>
      </c>
      <c r="C1464" s="15"/>
      <c r="D1464" s="15"/>
      <c r="E1464" s="15"/>
      <c r="F1464" s="15"/>
      <c r="G1464" s="15"/>
      <c r="H1464" s="16"/>
    </row>
    <row r="1465" spans="1:8" ht="22.5" x14ac:dyDescent="0.3">
      <c r="A1465" s="13" t="s">
        <v>17172</v>
      </c>
      <c r="B1465" s="14" t="s">
        <v>19714</v>
      </c>
      <c r="C1465" s="15" t="s">
        <v>17173</v>
      </c>
      <c r="D1465" s="15"/>
      <c r="E1465" s="15" t="s">
        <v>17174</v>
      </c>
      <c r="F1465" s="15" t="s">
        <v>17175</v>
      </c>
      <c r="G1465" s="15" t="s">
        <v>17176</v>
      </c>
      <c r="H1465" s="16" t="s">
        <v>17177</v>
      </c>
    </row>
    <row r="1466" spans="1:8" x14ac:dyDescent="0.3">
      <c r="A1466" s="13" t="s">
        <v>17178</v>
      </c>
      <c r="B1466" s="14" t="s">
        <v>19716</v>
      </c>
      <c r="C1466" s="15" t="s">
        <v>17179</v>
      </c>
      <c r="D1466" s="15" t="s">
        <v>17180</v>
      </c>
      <c r="E1466" s="15" t="s">
        <v>17181</v>
      </c>
      <c r="F1466" s="15" t="s">
        <v>17182</v>
      </c>
      <c r="G1466" s="15" t="s">
        <v>17183</v>
      </c>
      <c r="H1466" s="16" t="s">
        <v>17184</v>
      </c>
    </row>
    <row r="1467" spans="1:8" x14ac:dyDescent="0.3">
      <c r="A1467" s="13" t="s">
        <v>17185</v>
      </c>
      <c r="B1467" s="14" t="s">
        <v>19721</v>
      </c>
      <c r="C1467" s="15" t="s">
        <v>17186</v>
      </c>
      <c r="D1467" s="15"/>
      <c r="E1467" s="15"/>
      <c r="F1467" s="15"/>
      <c r="G1467" s="15" t="s">
        <v>17187</v>
      </c>
      <c r="H1467" s="16" t="s">
        <v>17188</v>
      </c>
    </row>
    <row r="1468" spans="1:8" x14ac:dyDescent="0.3">
      <c r="A1468" s="13" t="s">
        <v>17189</v>
      </c>
      <c r="B1468" s="14" t="s">
        <v>19722</v>
      </c>
      <c r="C1468" s="15" t="s">
        <v>17190</v>
      </c>
      <c r="D1468" s="15"/>
      <c r="E1468" s="15"/>
      <c r="F1468" s="15"/>
      <c r="G1468" s="15"/>
      <c r="H1468" s="16" t="s">
        <v>17191</v>
      </c>
    </row>
    <row r="1469" spans="1:8" x14ac:dyDescent="0.3">
      <c r="A1469" s="13" t="s">
        <v>17192</v>
      </c>
      <c r="B1469" s="14" t="s">
        <v>19723</v>
      </c>
      <c r="C1469" s="15" t="s">
        <v>17193</v>
      </c>
      <c r="D1469" s="15" t="s">
        <v>17194</v>
      </c>
      <c r="E1469" s="15"/>
      <c r="F1469" s="15"/>
      <c r="G1469" s="15" t="s">
        <v>17195</v>
      </c>
      <c r="H1469" s="16" t="s">
        <v>17196</v>
      </c>
    </row>
    <row r="1470" spans="1:8" x14ac:dyDescent="0.3">
      <c r="A1470" s="13">
        <v>32341</v>
      </c>
      <c r="B1470" s="14" t="s">
        <v>17197</v>
      </c>
      <c r="C1470" s="15"/>
      <c r="D1470" s="15"/>
      <c r="E1470" s="15"/>
      <c r="F1470" s="15"/>
      <c r="G1470" s="15"/>
      <c r="H1470" s="16"/>
    </row>
    <row r="1471" spans="1:8" ht="22.5" x14ac:dyDescent="0.3">
      <c r="A1471" s="13" t="s">
        <v>17198</v>
      </c>
      <c r="B1471" s="14" t="s">
        <v>19714</v>
      </c>
      <c r="C1471" s="15" t="s">
        <v>17199</v>
      </c>
      <c r="D1471" s="15" t="s">
        <v>17200</v>
      </c>
      <c r="E1471" s="15" t="s">
        <v>17201</v>
      </c>
      <c r="F1471" s="15" t="s">
        <v>17202</v>
      </c>
      <c r="G1471" s="15" t="s">
        <v>17203</v>
      </c>
      <c r="H1471" s="16" t="s">
        <v>17204</v>
      </c>
    </row>
    <row r="1472" spans="1:8" x14ac:dyDescent="0.3">
      <c r="A1472" s="13" t="s">
        <v>17205</v>
      </c>
      <c r="B1472" s="14" t="s">
        <v>19716</v>
      </c>
      <c r="C1472" s="15" t="s">
        <v>17206</v>
      </c>
      <c r="D1472" s="15"/>
      <c r="E1472" s="15"/>
      <c r="F1472" s="15"/>
      <c r="G1472" s="15" t="s">
        <v>17207</v>
      </c>
      <c r="H1472" s="16" t="s">
        <v>17208</v>
      </c>
    </row>
    <row r="1473" spans="1:8" ht="22.5" x14ac:dyDescent="0.3">
      <c r="A1473" s="13" t="s">
        <v>17209</v>
      </c>
      <c r="B1473" s="14" t="s">
        <v>19721</v>
      </c>
      <c r="C1473" s="15" t="s">
        <v>17210</v>
      </c>
      <c r="D1473" s="15" t="s">
        <v>17211</v>
      </c>
      <c r="E1473" s="15" t="s">
        <v>17212</v>
      </c>
      <c r="F1473" s="15" t="s">
        <v>17213</v>
      </c>
      <c r="G1473" s="15" t="s">
        <v>17214</v>
      </c>
      <c r="H1473" s="16" t="s">
        <v>17215</v>
      </c>
    </row>
    <row r="1474" spans="1:8" x14ac:dyDescent="0.3">
      <c r="A1474" s="13" t="s">
        <v>17216</v>
      </c>
      <c r="B1474" s="14" t="s">
        <v>19722</v>
      </c>
      <c r="C1474" s="15" t="s">
        <v>17217</v>
      </c>
      <c r="D1474" s="15"/>
      <c r="E1474" s="15" t="s">
        <v>17218</v>
      </c>
      <c r="F1474" s="15"/>
      <c r="G1474" s="15" t="s">
        <v>17219</v>
      </c>
      <c r="H1474" s="16" t="s">
        <v>17220</v>
      </c>
    </row>
    <row r="1475" spans="1:8" x14ac:dyDescent="0.3">
      <c r="A1475" s="13" t="s">
        <v>17221</v>
      </c>
      <c r="B1475" s="14" t="s">
        <v>19723</v>
      </c>
      <c r="C1475" s="15" t="s">
        <v>17222</v>
      </c>
      <c r="D1475" s="15" t="s">
        <v>17223</v>
      </c>
      <c r="E1475" s="15" t="s">
        <v>17224</v>
      </c>
      <c r="F1475" s="15" t="s">
        <v>17223</v>
      </c>
      <c r="G1475" s="15" t="s">
        <v>17225</v>
      </c>
      <c r="H1475" s="16" t="s">
        <v>17226</v>
      </c>
    </row>
    <row r="1476" spans="1:8" x14ac:dyDescent="0.3">
      <c r="A1476" s="13">
        <v>32342</v>
      </c>
      <c r="B1476" s="14" t="s">
        <v>17227</v>
      </c>
      <c r="C1476" s="15"/>
      <c r="D1476" s="15"/>
      <c r="E1476" s="15"/>
      <c r="F1476" s="15"/>
      <c r="G1476" s="15"/>
      <c r="H1476" s="16"/>
    </row>
    <row r="1477" spans="1:8" ht="33.75" x14ac:dyDescent="0.3">
      <c r="A1477" s="13" t="s">
        <v>17228</v>
      </c>
      <c r="B1477" s="14" t="s">
        <v>19714</v>
      </c>
      <c r="C1477" s="15" t="s">
        <v>17229</v>
      </c>
      <c r="D1477" s="15" t="s">
        <v>17230</v>
      </c>
      <c r="E1477" s="15" t="s">
        <v>17231</v>
      </c>
      <c r="F1477" s="15" t="s">
        <v>17232</v>
      </c>
      <c r="G1477" s="15" t="s">
        <v>17231</v>
      </c>
      <c r="H1477" s="16" t="s">
        <v>17233</v>
      </c>
    </row>
    <row r="1478" spans="1:8" ht="22.5" x14ac:dyDescent="0.3">
      <c r="A1478" s="13" t="s">
        <v>17234</v>
      </c>
      <c r="B1478" s="14" t="s">
        <v>19716</v>
      </c>
      <c r="C1478" s="15" t="s">
        <v>17235</v>
      </c>
      <c r="D1478" s="15"/>
      <c r="E1478" s="15" t="s">
        <v>17236</v>
      </c>
      <c r="F1478" s="15" t="s">
        <v>17237</v>
      </c>
      <c r="G1478" s="15" t="s">
        <v>17238</v>
      </c>
      <c r="H1478" s="16" t="s">
        <v>17239</v>
      </c>
    </row>
    <row r="1479" spans="1:8" ht="45" x14ac:dyDescent="0.3">
      <c r="A1479" s="13" t="s">
        <v>17240</v>
      </c>
      <c r="B1479" s="14" t="s">
        <v>19721</v>
      </c>
      <c r="C1479" s="15" t="s">
        <v>17241</v>
      </c>
      <c r="D1479" s="15" t="s">
        <v>17242</v>
      </c>
      <c r="E1479" s="15" t="s">
        <v>17243</v>
      </c>
      <c r="F1479" s="15" t="s">
        <v>17244</v>
      </c>
      <c r="G1479" s="15" t="s">
        <v>17245</v>
      </c>
      <c r="H1479" s="16" t="s">
        <v>17245</v>
      </c>
    </row>
    <row r="1480" spans="1:8" ht="22.5" x14ac:dyDescent="0.3">
      <c r="A1480" s="13" t="s">
        <v>17246</v>
      </c>
      <c r="B1480" s="14" t="s">
        <v>19722</v>
      </c>
      <c r="C1480" s="15" t="s">
        <v>17247</v>
      </c>
      <c r="D1480" s="15" t="s">
        <v>17248</v>
      </c>
      <c r="E1480" s="15" t="s">
        <v>17249</v>
      </c>
      <c r="F1480" s="15" t="s">
        <v>17250</v>
      </c>
      <c r="G1480" s="15" t="s">
        <v>17251</v>
      </c>
      <c r="H1480" s="16" t="s">
        <v>17252</v>
      </c>
    </row>
    <row r="1481" spans="1:8" ht="33.75" x14ac:dyDescent="0.3">
      <c r="A1481" s="13" t="s">
        <v>17253</v>
      </c>
      <c r="B1481" s="14" t="s">
        <v>19723</v>
      </c>
      <c r="C1481" s="15" t="s">
        <v>17254</v>
      </c>
      <c r="D1481" s="15" t="s">
        <v>17255</v>
      </c>
      <c r="E1481" s="15" t="s">
        <v>17256</v>
      </c>
      <c r="F1481" s="15"/>
      <c r="G1481" s="15" t="s">
        <v>17257</v>
      </c>
      <c r="H1481" s="16" t="s">
        <v>17258</v>
      </c>
    </row>
    <row r="1482" spans="1:8" x14ac:dyDescent="0.3">
      <c r="A1482" s="13">
        <v>32343</v>
      </c>
      <c r="B1482" s="14" t="s">
        <v>17259</v>
      </c>
      <c r="C1482" s="15"/>
      <c r="D1482" s="15"/>
      <c r="E1482" s="15"/>
      <c r="F1482" s="15"/>
      <c r="G1482" s="15"/>
      <c r="H1482" s="16"/>
    </row>
    <row r="1483" spans="1:8" ht="22.5" x14ac:dyDescent="0.3">
      <c r="A1483" s="13" t="s">
        <v>17260</v>
      </c>
      <c r="B1483" s="14" t="s">
        <v>19714</v>
      </c>
      <c r="C1483" s="15" t="s">
        <v>17261</v>
      </c>
      <c r="D1483" s="15" t="s">
        <v>17262</v>
      </c>
      <c r="E1483" s="15" t="s">
        <v>17263</v>
      </c>
      <c r="F1483" s="15" t="s">
        <v>17264</v>
      </c>
      <c r="G1483" s="15" t="s">
        <v>17265</v>
      </c>
      <c r="H1483" s="16" t="s">
        <v>17266</v>
      </c>
    </row>
    <row r="1484" spans="1:8" ht="22.5" x14ac:dyDescent="0.3">
      <c r="A1484" s="13" t="s">
        <v>17267</v>
      </c>
      <c r="B1484" s="14" t="s">
        <v>19716</v>
      </c>
      <c r="C1484" s="15" t="s">
        <v>17268</v>
      </c>
      <c r="D1484" s="15"/>
      <c r="E1484" s="15" t="s">
        <v>17269</v>
      </c>
      <c r="F1484" s="15"/>
      <c r="G1484" s="15" t="s">
        <v>17270</v>
      </c>
      <c r="H1484" s="16" t="s">
        <v>17271</v>
      </c>
    </row>
    <row r="1485" spans="1:8" ht="33.75" x14ac:dyDescent="0.3">
      <c r="A1485" s="13" t="s">
        <v>17272</v>
      </c>
      <c r="B1485" s="14" t="s">
        <v>19721</v>
      </c>
      <c r="C1485" s="15" t="s">
        <v>17273</v>
      </c>
      <c r="D1485" s="15" t="s">
        <v>17274</v>
      </c>
      <c r="E1485" s="15" t="s">
        <v>17275</v>
      </c>
      <c r="F1485" s="15"/>
      <c r="G1485" s="15" t="s">
        <v>17276</v>
      </c>
      <c r="H1485" s="16" t="s">
        <v>17277</v>
      </c>
    </row>
    <row r="1486" spans="1:8" ht="22.5" x14ac:dyDescent="0.3">
      <c r="A1486" s="13" t="s">
        <v>17278</v>
      </c>
      <c r="B1486" s="14" t="s">
        <v>19722</v>
      </c>
      <c r="C1486" s="15" t="s">
        <v>17279</v>
      </c>
      <c r="D1486" s="15" t="s">
        <v>17280</v>
      </c>
      <c r="E1486" s="15" t="s">
        <v>17281</v>
      </c>
      <c r="F1486" s="15"/>
      <c r="G1486" s="15" t="s">
        <v>17282</v>
      </c>
      <c r="H1486" s="16" t="s">
        <v>17282</v>
      </c>
    </row>
    <row r="1487" spans="1:8" ht="33.75" x14ac:dyDescent="0.3">
      <c r="A1487" s="13" t="s">
        <v>17283</v>
      </c>
      <c r="B1487" s="14" t="s">
        <v>19723</v>
      </c>
      <c r="C1487" s="15" t="s">
        <v>17284</v>
      </c>
      <c r="D1487" s="15" t="s">
        <v>17285</v>
      </c>
      <c r="E1487" s="15" t="s">
        <v>17286</v>
      </c>
      <c r="F1487" s="15"/>
      <c r="G1487" s="15" t="s">
        <v>17287</v>
      </c>
      <c r="H1487" s="16" t="s">
        <v>17287</v>
      </c>
    </row>
    <row r="1488" spans="1:8" x14ac:dyDescent="0.3">
      <c r="A1488" s="13">
        <v>32344</v>
      </c>
      <c r="B1488" s="14" t="s">
        <v>17288</v>
      </c>
      <c r="C1488" s="15"/>
      <c r="D1488" s="15"/>
      <c r="E1488" s="15"/>
      <c r="F1488" s="15"/>
      <c r="G1488" s="15"/>
      <c r="H1488" s="16"/>
    </row>
    <row r="1489" spans="1:8" ht="22.5" x14ac:dyDescent="0.3">
      <c r="A1489" s="13" t="s">
        <v>17289</v>
      </c>
      <c r="B1489" s="14" t="s">
        <v>19714</v>
      </c>
      <c r="C1489" s="15" t="s">
        <v>17290</v>
      </c>
      <c r="D1489" s="15" t="s">
        <v>17291</v>
      </c>
      <c r="E1489" s="15" t="s">
        <v>17292</v>
      </c>
      <c r="F1489" s="15"/>
      <c r="G1489" s="15" t="s">
        <v>17293</v>
      </c>
      <c r="H1489" s="16" t="s">
        <v>17294</v>
      </c>
    </row>
    <row r="1490" spans="1:8" ht="22.5" x14ac:dyDescent="0.3">
      <c r="A1490" s="13" t="s">
        <v>17295</v>
      </c>
      <c r="B1490" s="14" t="s">
        <v>19716</v>
      </c>
      <c r="C1490" s="15" t="s">
        <v>17296</v>
      </c>
      <c r="D1490" s="15" t="s">
        <v>17297</v>
      </c>
      <c r="E1490" s="15" t="s">
        <v>17298</v>
      </c>
      <c r="F1490" s="15"/>
      <c r="G1490" s="15" t="s">
        <v>17299</v>
      </c>
      <c r="H1490" s="16" t="s">
        <v>17300</v>
      </c>
    </row>
    <row r="1491" spans="1:8" x14ac:dyDescent="0.3">
      <c r="A1491" s="13" t="s">
        <v>17301</v>
      </c>
      <c r="B1491" s="14" t="s">
        <v>19721</v>
      </c>
      <c r="C1491" s="15"/>
      <c r="D1491" s="15"/>
      <c r="E1491" s="15"/>
      <c r="F1491" s="15"/>
      <c r="G1491" s="15"/>
      <c r="H1491" s="16"/>
    </row>
    <row r="1492" spans="1:8" x14ac:dyDescent="0.3">
      <c r="A1492" s="13" t="s">
        <v>17302</v>
      </c>
      <c r="B1492" s="14" t="s">
        <v>19722</v>
      </c>
      <c r="C1492" s="15"/>
      <c r="D1492" s="15"/>
      <c r="E1492" s="15"/>
      <c r="F1492" s="15"/>
      <c r="G1492" s="15" t="s">
        <v>17303</v>
      </c>
      <c r="H1492" s="16"/>
    </row>
    <row r="1493" spans="1:8" ht="22.5" x14ac:dyDescent="0.3">
      <c r="A1493" s="13" t="s">
        <v>17304</v>
      </c>
      <c r="B1493" s="14" t="s">
        <v>19723</v>
      </c>
      <c r="C1493" s="15" t="s">
        <v>17305</v>
      </c>
      <c r="D1493" s="15"/>
      <c r="E1493" s="15" t="s">
        <v>17306</v>
      </c>
      <c r="F1493" s="15"/>
      <c r="G1493" s="15" t="s">
        <v>17307</v>
      </c>
      <c r="H1493" s="16" t="s">
        <v>17308</v>
      </c>
    </row>
    <row r="1494" spans="1:8" x14ac:dyDescent="0.3">
      <c r="A1494" s="13">
        <v>32345</v>
      </c>
      <c r="B1494" s="14" t="s">
        <v>17309</v>
      </c>
      <c r="C1494" s="15"/>
      <c r="D1494" s="15"/>
      <c r="E1494" s="15"/>
      <c r="F1494" s="15"/>
      <c r="G1494" s="15"/>
      <c r="H1494" s="16"/>
    </row>
    <row r="1495" spans="1:8" ht="45" x14ac:dyDescent="0.3">
      <c r="A1495" s="13" t="s">
        <v>17310</v>
      </c>
      <c r="B1495" s="14" t="s">
        <v>19714</v>
      </c>
      <c r="C1495" s="15" t="s">
        <v>17311</v>
      </c>
      <c r="D1495" s="15" t="s">
        <v>17312</v>
      </c>
      <c r="E1495" s="15" t="s">
        <v>17313</v>
      </c>
      <c r="F1495" s="15" t="s">
        <v>17314</v>
      </c>
      <c r="G1495" s="15" t="s">
        <v>17315</v>
      </c>
      <c r="H1495" s="16" t="s">
        <v>17316</v>
      </c>
    </row>
    <row r="1496" spans="1:8" ht="22.5" x14ac:dyDescent="0.3">
      <c r="A1496" s="13" t="s">
        <v>17317</v>
      </c>
      <c r="B1496" s="14" t="s">
        <v>19716</v>
      </c>
      <c r="C1496" s="15" t="s">
        <v>17318</v>
      </c>
      <c r="D1496" s="15" t="s">
        <v>17319</v>
      </c>
      <c r="E1496" s="15" t="s">
        <v>17320</v>
      </c>
      <c r="F1496" s="15" t="s">
        <v>17321</v>
      </c>
      <c r="G1496" s="15" t="s">
        <v>17322</v>
      </c>
      <c r="H1496" s="16" t="s">
        <v>17323</v>
      </c>
    </row>
    <row r="1497" spans="1:8" ht="33.75" x14ac:dyDescent="0.3">
      <c r="A1497" s="13" t="s">
        <v>17324</v>
      </c>
      <c r="B1497" s="14" t="s">
        <v>19721</v>
      </c>
      <c r="C1497" s="15" t="s">
        <v>17325</v>
      </c>
      <c r="D1497" s="15" t="s">
        <v>17326</v>
      </c>
      <c r="E1497" s="15" t="s">
        <v>17327</v>
      </c>
      <c r="F1497" s="15" t="s">
        <v>17328</v>
      </c>
      <c r="G1497" s="15" t="s">
        <v>17329</v>
      </c>
      <c r="H1497" s="16" t="s">
        <v>17330</v>
      </c>
    </row>
    <row r="1498" spans="1:8" ht="67.5" x14ac:dyDescent="0.3">
      <c r="A1498" s="13" t="s">
        <v>17331</v>
      </c>
      <c r="B1498" s="14" t="s">
        <v>19722</v>
      </c>
      <c r="C1498" s="15" t="s">
        <v>17332</v>
      </c>
      <c r="D1498" s="15" t="s">
        <v>17333</v>
      </c>
      <c r="E1498" s="15" t="s">
        <v>17334</v>
      </c>
      <c r="F1498" s="15" t="s">
        <v>17335</v>
      </c>
      <c r="G1498" s="15" t="s">
        <v>17336</v>
      </c>
      <c r="H1498" s="16" t="s">
        <v>17337</v>
      </c>
    </row>
    <row r="1499" spans="1:8" ht="56.25" x14ac:dyDescent="0.3">
      <c r="A1499" s="13" t="s">
        <v>17338</v>
      </c>
      <c r="B1499" s="14" t="s">
        <v>19723</v>
      </c>
      <c r="C1499" s="15" t="s">
        <v>17339</v>
      </c>
      <c r="D1499" s="15" t="s">
        <v>17340</v>
      </c>
      <c r="E1499" s="15" t="s">
        <v>17341</v>
      </c>
      <c r="F1499" s="15" t="s">
        <v>17342</v>
      </c>
      <c r="G1499" s="15" t="s">
        <v>17343</v>
      </c>
      <c r="H1499" s="16" t="s">
        <v>17344</v>
      </c>
    </row>
    <row r="1500" spans="1:8" x14ac:dyDescent="0.3">
      <c r="A1500" s="13">
        <v>32346</v>
      </c>
      <c r="B1500" s="14" t="s">
        <v>17345</v>
      </c>
      <c r="C1500" s="15"/>
      <c r="D1500" s="15"/>
      <c r="E1500" s="15"/>
      <c r="F1500" s="15"/>
      <c r="G1500" s="15" t="s">
        <v>2983</v>
      </c>
      <c r="H1500" s="16"/>
    </row>
    <row r="1501" spans="1:8" ht="45" x14ac:dyDescent="0.3">
      <c r="A1501" s="13" t="s">
        <v>17346</v>
      </c>
      <c r="B1501" s="14" t="s">
        <v>19714</v>
      </c>
      <c r="C1501" s="15" t="s">
        <v>17347</v>
      </c>
      <c r="D1501" s="15" t="s">
        <v>17348</v>
      </c>
      <c r="E1501" s="15" t="s">
        <v>17349</v>
      </c>
      <c r="F1501" s="15" t="s">
        <v>17350</v>
      </c>
      <c r="G1501" s="15" t="s">
        <v>17351</v>
      </c>
      <c r="H1501" s="16" t="s">
        <v>17352</v>
      </c>
    </row>
    <row r="1502" spans="1:8" ht="22.5" x14ac:dyDescent="0.3">
      <c r="A1502" s="13" t="s">
        <v>17353</v>
      </c>
      <c r="B1502" s="14" t="s">
        <v>19716</v>
      </c>
      <c r="C1502" s="15" t="s">
        <v>17354</v>
      </c>
      <c r="D1502" s="15"/>
      <c r="E1502" s="15" t="s">
        <v>17355</v>
      </c>
      <c r="F1502" s="15"/>
      <c r="G1502" s="15" t="s">
        <v>17356</v>
      </c>
      <c r="H1502" s="16" t="s">
        <v>17357</v>
      </c>
    </row>
    <row r="1503" spans="1:8" ht="33.75" x14ac:dyDescent="0.3">
      <c r="A1503" s="13" t="s">
        <v>17358</v>
      </c>
      <c r="B1503" s="14" t="s">
        <v>19721</v>
      </c>
      <c r="C1503" s="15" t="s">
        <v>17359</v>
      </c>
      <c r="D1503" s="15"/>
      <c r="E1503" s="15" t="s">
        <v>17360</v>
      </c>
      <c r="F1503" s="15"/>
      <c r="G1503" s="15" t="s">
        <v>17361</v>
      </c>
      <c r="H1503" s="16" t="s">
        <v>17362</v>
      </c>
    </row>
    <row r="1504" spans="1:8" ht="33.75" x14ac:dyDescent="0.3">
      <c r="A1504" s="13" t="s">
        <v>17363</v>
      </c>
      <c r="B1504" s="14" t="s">
        <v>19722</v>
      </c>
      <c r="C1504" s="15" t="s">
        <v>17364</v>
      </c>
      <c r="D1504" s="15"/>
      <c r="E1504" s="15"/>
      <c r="F1504" s="15"/>
      <c r="G1504" s="15"/>
      <c r="H1504" s="16"/>
    </row>
    <row r="1505" spans="1:8" ht="45" x14ac:dyDescent="0.3">
      <c r="A1505" s="13" t="s">
        <v>17365</v>
      </c>
      <c r="B1505" s="14" t="s">
        <v>19723</v>
      </c>
      <c r="C1505" s="15" t="s">
        <v>17366</v>
      </c>
      <c r="D1505" s="15" t="s">
        <v>17367</v>
      </c>
      <c r="E1505" s="15" t="s">
        <v>17368</v>
      </c>
      <c r="F1505" s="15" t="s">
        <v>17369</v>
      </c>
      <c r="G1505" s="15" t="s">
        <v>17370</v>
      </c>
      <c r="H1505" s="16" t="s">
        <v>17371</v>
      </c>
    </row>
    <row r="1506" spans="1:8" x14ac:dyDescent="0.3">
      <c r="A1506" s="13">
        <v>32347</v>
      </c>
      <c r="B1506" s="14" t="s">
        <v>17372</v>
      </c>
      <c r="C1506" s="15"/>
      <c r="D1506" s="15"/>
      <c r="E1506" s="15"/>
      <c r="F1506" s="15"/>
      <c r="G1506" s="15"/>
      <c r="H1506" s="16"/>
    </row>
    <row r="1507" spans="1:8" ht="45" x14ac:dyDescent="0.3">
      <c r="A1507" s="13" t="s">
        <v>17373</v>
      </c>
      <c r="B1507" s="14" t="s">
        <v>19714</v>
      </c>
      <c r="C1507" s="15" t="s">
        <v>17374</v>
      </c>
      <c r="D1507" s="15" t="s">
        <v>17375</v>
      </c>
      <c r="E1507" s="15" t="s">
        <v>17376</v>
      </c>
      <c r="F1507" s="15" t="s">
        <v>17377</v>
      </c>
      <c r="G1507" s="15" t="s">
        <v>17378</v>
      </c>
      <c r="H1507" s="16" t="s">
        <v>17379</v>
      </c>
    </row>
    <row r="1508" spans="1:8" ht="22.5" x14ac:dyDescent="0.3">
      <c r="A1508" s="13" t="s">
        <v>17380</v>
      </c>
      <c r="B1508" s="14" t="s">
        <v>19716</v>
      </c>
      <c r="C1508" s="15" t="s">
        <v>17381</v>
      </c>
      <c r="D1508" s="15"/>
      <c r="E1508" s="15" t="s">
        <v>17382</v>
      </c>
      <c r="F1508" s="15" t="s">
        <v>17383</v>
      </c>
      <c r="G1508" s="15" t="s">
        <v>17384</v>
      </c>
      <c r="H1508" s="16" t="s">
        <v>17385</v>
      </c>
    </row>
    <row r="1509" spans="1:8" ht="22.5" x14ac:dyDescent="0.3">
      <c r="A1509" s="13" t="s">
        <v>17386</v>
      </c>
      <c r="B1509" s="14" t="s">
        <v>19721</v>
      </c>
      <c r="C1509" s="15" t="s">
        <v>17387</v>
      </c>
      <c r="D1509" s="15"/>
      <c r="E1509" s="15"/>
      <c r="F1509" s="15"/>
      <c r="G1509" s="15" t="s">
        <v>17388</v>
      </c>
      <c r="H1509" s="16" t="s">
        <v>17389</v>
      </c>
    </row>
    <row r="1510" spans="1:8" ht="22.5" x14ac:dyDescent="0.3">
      <c r="A1510" s="13" t="s">
        <v>17390</v>
      </c>
      <c r="B1510" s="14" t="s">
        <v>19722</v>
      </c>
      <c r="C1510" s="15" t="s">
        <v>17391</v>
      </c>
      <c r="D1510" s="15"/>
      <c r="E1510" s="15"/>
      <c r="F1510" s="15"/>
      <c r="G1510" s="15"/>
      <c r="H1510" s="16"/>
    </row>
    <row r="1511" spans="1:8" x14ac:dyDescent="0.3">
      <c r="A1511" s="13" t="s">
        <v>17392</v>
      </c>
      <c r="B1511" s="14" t="s">
        <v>19723</v>
      </c>
      <c r="C1511" s="15" t="s">
        <v>17393</v>
      </c>
      <c r="D1511" s="15" t="s">
        <v>17394</v>
      </c>
      <c r="E1511" s="15"/>
      <c r="F1511" s="15" t="s">
        <v>17395</v>
      </c>
      <c r="G1511" s="15" t="s">
        <v>17396</v>
      </c>
      <c r="H1511" s="16" t="s">
        <v>17397</v>
      </c>
    </row>
    <row r="1512" spans="1:8" x14ac:dyDescent="0.3">
      <c r="A1512" s="13">
        <v>32348</v>
      </c>
      <c r="B1512" s="14" t="s">
        <v>17398</v>
      </c>
      <c r="C1512" s="15"/>
      <c r="D1512" s="15"/>
      <c r="E1512" s="15"/>
      <c r="F1512" s="15"/>
      <c r="G1512" s="15"/>
      <c r="H1512" s="16"/>
    </row>
    <row r="1513" spans="1:8" ht="22.5" x14ac:dyDescent="0.3">
      <c r="A1513" s="13" t="s">
        <v>17399</v>
      </c>
      <c r="B1513" s="14" t="s">
        <v>19714</v>
      </c>
      <c r="C1513" s="15" t="s">
        <v>17400</v>
      </c>
      <c r="D1513" s="15" t="s">
        <v>17401</v>
      </c>
      <c r="E1513" s="15" t="s">
        <v>17402</v>
      </c>
      <c r="F1513" s="15" t="s">
        <v>17402</v>
      </c>
      <c r="G1513" s="15" t="s">
        <v>17402</v>
      </c>
      <c r="H1513" s="16" t="s">
        <v>17403</v>
      </c>
    </row>
    <row r="1514" spans="1:8" ht="22.5" x14ac:dyDescent="0.3">
      <c r="A1514" s="13" t="s">
        <v>17404</v>
      </c>
      <c r="B1514" s="14" t="s">
        <v>19716</v>
      </c>
      <c r="C1514" s="15" t="s">
        <v>17405</v>
      </c>
      <c r="D1514" s="15" t="s">
        <v>17406</v>
      </c>
      <c r="E1514" s="15" t="s">
        <v>17407</v>
      </c>
      <c r="F1514" s="15" t="s">
        <v>17408</v>
      </c>
      <c r="G1514" s="15" t="s">
        <v>17409</v>
      </c>
      <c r="H1514" s="16" t="s">
        <v>17410</v>
      </c>
    </row>
    <row r="1515" spans="1:8" x14ac:dyDescent="0.3">
      <c r="A1515" s="13" t="s">
        <v>17411</v>
      </c>
      <c r="B1515" s="14" t="s">
        <v>19721</v>
      </c>
      <c r="C1515" s="15" t="s">
        <v>17412</v>
      </c>
      <c r="D1515" s="15"/>
      <c r="E1515" s="15"/>
      <c r="F1515" s="15"/>
      <c r="G1515" s="15"/>
      <c r="H1515" s="16"/>
    </row>
    <row r="1516" spans="1:8" x14ac:dyDescent="0.3">
      <c r="A1516" s="13" t="s">
        <v>17413</v>
      </c>
      <c r="B1516" s="14" t="s">
        <v>19722</v>
      </c>
      <c r="C1516" s="15" t="s">
        <v>17414</v>
      </c>
      <c r="D1516" s="15"/>
      <c r="E1516" s="15"/>
      <c r="F1516" s="15"/>
      <c r="G1516" s="15" t="s">
        <v>17415</v>
      </c>
      <c r="H1516" s="16" t="s">
        <v>17416</v>
      </c>
    </row>
    <row r="1517" spans="1:8" x14ac:dyDescent="0.3">
      <c r="A1517" s="13" t="s">
        <v>17417</v>
      </c>
      <c r="B1517" s="14" t="s">
        <v>19723</v>
      </c>
      <c r="C1517" s="15" t="s">
        <v>17418</v>
      </c>
      <c r="D1517" s="15"/>
      <c r="E1517" s="15" t="s">
        <v>17419</v>
      </c>
      <c r="F1517" s="15"/>
      <c r="G1517" s="15" t="s">
        <v>17419</v>
      </c>
      <c r="H1517" s="16" t="s">
        <v>17420</v>
      </c>
    </row>
    <row r="1518" spans="1:8" x14ac:dyDescent="0.3">
      <c r="A1518" s="13">
        <v>32349</v>
      </c>
      <c r="B1518" s="14" t="s">
        <v>17421</v>
      </c>
      <c r="C1518" s="15"/>
      <c r="D1518" s="15"/>
      <c r="E1518" s="15"/>
      <c r="F1518" s="15"/>
      <c r="G1518" s="15"/>
      <c r="H1518" s="16"/>
    </row>
    <row r="1519" spans="1:8" ht="33.75" x14ac:dyDescent="0.3">
      <c r="A1519" s="13" t="s">
        <v>17422</v>
      </c>
      <c r="B1519" s="14" t="s">
        <v>19714</v>
      </c>
      <c r="C1519" s="15" t="s">
        <v>17423</v>
      </c>
      <c r="D1519" s="15" t="s">
        <v>17424</v>
      </c>
      <c r="E1519" s="15" t="s">
        <v>17425</v>
      </c>
      <c r="F1519" s="15" t="s">
        <v>17426</v>
      </c>
      <c r="G1519" s="15" t="s">
        <v>17427</v>
      </c>
      <c r="H1519" s="16" t="s">
        <v>17427</v>
      </c>
    </row>
    <row r="1520" spans="1:8" x14ac:dyDescent="0.3">
      <c r="A1520" s="13" t="s">
        <v>17428</v>
      </c>
      <c r="B1520" s="14" t="s">
        <v>19716</v>
      </c>
      <c r="C1520" s="15" t="s">
        <v>17429</v>
      </c>
      <c r="D1520" s="15"/>
      <c r="E1520" s="15" t="s">
        <v>17430</v>
      </c>
      <c r="F1520" s="15" t="s">
        <v>17431</v>
      </c>
      <c r="G1520" s="15" t="s">
        <v>17430</v>
      </c>
      <c r="H1520" s="16" t="s">
        <v>17432</v>
      </c>
    </row>
    <row r="1521" spans="1:8" ht="22.5" x14ac:dyDescent="0.3">
      <c r="A1521" s="13" t="s">
        <v>17433</v>
      </c>
      <c r="B1521" s="14" t="s">
        <v>19721</v>
      </c>
      <c r="C1521" s="15" t="s">
        <v>17434</v>
      </c>
      <c r="D1521" s="15"/>
      <c r="E1521" s="15"/>
      <c r="F1521" s="15"/>
      <c r="G1521" s="15" t="s">
        <v>17435</v>
      </c>
      <c r="H1521" s="16" t="s">
        <v>17436</v>
      </c>
    </row>
    <row r="1522" spans="1:8" x14ac:dyDescent="0.3">
      <c r="A1522" s="13" t="s">
        <v>17437</v>
      </c>
      <c r="B1522" s="14" t="s">
        <v>19722</v>
      </c>
      <c r="C1522" s="15" t="s">
        <v>17438</v>
      </c>
      <c r="D1522" s="15"/>
      <c r="E1522" s="15" t="s">
        <v>17439</v>
      </c>
      <c r="F1522" s="15"/>
      <c r="G1522" s="15" t="s">
        <v>17440</v>
      </c>
      <c r="H1522" s="16" t="s">
        <v>17441</v>
      </c>
    </row>
    <row r="1523" spans="1:8" x14ac:dyDescent="0.3">
      <c r="A1523" s="13" t="s">
        <v>17442</v>
      </c>
      <c r="B1523" s="14" t="s">
        <v>19723</v>
      </c>
      <c r="C1523" s="15" t="s">
        <v>17443</v>
      </c>
      <c r="D1523" s="15"/>
      <c r="E1523" s="15" t="s">
        <v>17444</v>
      </c>
      <c r="F1523" s="15"/>
      <c r="G1523" s="15" t="s">
        <v>17445</v>
      </c>
      <c r="H1523" s="16" t="s">
        <v>17446</v>
      </c>
    </row>
    <row r="1524" spans="1:8" x14ac:dyDescent="0.3">
      <c r="A1524" s="13">
        <v>32350</v>
      </c>
      <c r="B1524" s="14" t="s">
        <v>17447</v>
      </c>
      <c r="C1524" s="15"/>
      <c r="D1524" s="15"/>
      <c r="E1524" s="15"/>
      <c r="F1524" s="15"/>
      <c r="G1524" s="15"/>
      <c r="H1524" s="16"/>
    </row>
    <row r="1525" spans="1:8" ht="45" x14ac:dyDescent="0.3">
      <c r="A1525" s="13" t="s">
        <v>17448</v>
      </c>
      <c r="B1525" s="14" t="s">
        <v>19714</v>
      </c>
      <c r="C1525" s="15" t="s">
        <v>17449</v>
      </c>
      <c r="D1525" s="15" t="s">
        <v>17450</v>
      </c>
      <c r="E1525" s="15" t="s">
        <v>17451</v>
      </c>
      <c r="F1525" s="15"/>
      <c r="G1525" s="15" t="s">
        <v>17452</v>
      </c>
      <c r="H1525" s="16" t="s">
        <v>17451</v>
      </c>
    </row>
    <row r="1526" spans="1:8" ht="45" x14ac:dyDescent="0.3">
      <c r="A1526" s="13" t="s">
        <v>17453</v>
      </c>
      <c r="B1526" s="14" t="s">
        <v>19716</v>
      </c>
      <c r="C1526" s="15" t="s">
        <v>17454</v>
      </c>
      <c r="D1526" s="15" t="s">
        <v>17455</v>
      </c>
      <c r="E1526" s="15" t="s">
        <v>17456</v>
      </c>
      <c r="F1526" s="15" t="s">
        <v>17457</v>
      </c>
      <c r="G1526" s="15" t="s">
        <v>17458</v>
      </c>
      <c r="H1526" s="16" t="s">
        <v>17459</v>
      </c>
    </row>
    <row r="1527" spans="1:8" ht="22.5" x14ac:dyDescent="0.3">
      <c r="A1527" s="13" t="s">
        <v>17460</v>
      </c>
      <c r="B1527" s="14" t="s">
        <v>19721</v>
      </c>
      <c r="C1527" s="15" t="s">
        <v>17461</v>
      </c>
      <c r="D1527" s="15"/>
      <c r="E1527" s="15" t="s">
        <v>17462</v>
      </c>
      <c r="F1527" s="15"/>
      <c r="G1527" s="15" t="s">
        <v>17463</v>
      </c>
      <c r="H1527" s="16" t="s">
        <v>17464</v>
      </c>
    </row>
    <row r="1528" spans="1:8" ht="22.5" x14ac:dyDescent="0.3">
      <c r="A1528" s="13" t="s">
        <v>17465</v>
      </c>
      <c r="B1528" s="14" t="s">
        <v>19722</v>
      </c>
      <c r="C1528" s="15" t="s">
        <v>17466</v>
      </c>
      <c r="D1528" s="15"/>
      <c r="E1528" s="15" t="s">
        <v>17467</v>
      </c>
      <c r="F1528" s="15"/>
      <c r="G1528" s="15" t="s">
        <v>17468</v>
      </c>
      <c r="H1528" s="16" t="s">
        <v>17469</v>
      </c>
    </row>
    <row r="1529" spans="1:8" ht="22.5" x14ac:dyDescent="0.3">
      <c r="A1529" s="13" t="s">
        <v>17470</v>
      </c>
      <c r="B1529" s="14" t="s">
        <v>19723</v>
      </c>
      <c r="C1529" s="15" t="s">
        <v>17471</v>
      </c>
      <c r="D1529" s="15" t="s">
        <v>17472</v>
      </c>
      <c r="E1529" s="15" t="s">
        <v>17473</v>
      </c>
      <c r="F1529" s="15" t="s">
        <v>17474</v>
      </c>
      <c r="G1529" s="15" t="s">
        <v>17475</v>
      </c>
      <c r="H1529" s="16" t="s">
        <v>17475</v>
      </c>
    </row>
    <row r="1530" spans="1:8" x14ac:dyDescent="0.3">
      <c r="A1530" s="13">
        <v>32351</v>
      </c>
      <c r="B1530" s="14" t="s">
        <v>17476</v>
      </c>
      <c r="C1530" s="15"/>
      <c r="D1530" s="15"/>
      <c r="E1530" s="15"/>
      <c r="F1530" s="15"/>
      <c r="G1530" s="15"/>
      <c r="H1530" s="16"/>
    </row>
    <row r="1531" spans="1:8" x14ac:dyDescent="0.3">
      <c r="A1531" s="13" t="s">
        <v>17477</v>
      </c>
      <c r="B1531" s="14" t="s">
        <v>19714</v>
      </c>
      <c r="C1531" s="15" t="s">
        <v>17478</v>
      </c>
      <c r="D1531" s="15" t="s">
        <v>17479</v>
      </c>
      <c r="E1531" s="15" t="s">
        <v>17480</v>
      </c>
      <c r="F1531" s="15" t="s">
        <v>17480</v>
      </c>
      <c r="G1531" s="15" t="s">
        <v>17480</v>
      </c>
      <c r="H1531" s="16" t="s">
        <v>17481</v>
      </c>
    </row>
    <row r="1532" spans="1:8" ht="22.5" x14ac:dyDescent="0.3">
      <c r="A1532" s="13" t="s">
        <v>17482</v>
      </c>
      <c r="B1532" s="14" t="s">
        <v>19716</v>
      </c>
      <c r="C1532" s="15" t="s">
        <v>17483</v>
      </c>
      <c r="D1532" s="15" t="s">
        <v>17484</v>
      </c>
      <c r="E1532" s="15" t="s">
        <v>17485</v>
      </c>
      <c r="F1532" s="15" t="s">
        <v>17486</v>
      </c>
      <c r="G1532" s="15" t="s">
        <v>17487</v>
      </c>
      <c r="H1532" s="16" t="s">
        <v>17488</v>
      </c>
    </row>
    <row r="1533" spans="1:8" ht="22.5" x14ac:dyDescent="0.3">
      <c r="A1533" s="13" t="s">
        <v>17489</v>
      </c>
      <c r="B1533" s="14" t="s">
        <v>19721</v>
      </c>
      <c r="C1533" s="15" t="s">
        <v>17490</v>
      </c>
      <c r="D1533" s="15"/>
      <c r="E1533" s="15" t="s">
        <v>17491</v>
      </c>
      <c r="F1533" s="15"/>
      <c r="G1533" s="15" t="s">
        <v>17492</v>
      </c>
      <c r="H1533" s="16" t="s">
        <v>17493</v>
      </c>
    </row>
    <row r="1534" spans="1:8" x14ac:dyDescent="0.3">
      <c r="A1534" s="13" t="s">
        <v>17494</v>
      </c>
      <c r="B1534" s="14" t="s">
        <v>19722</v>
      </c>
      <c r="C1534" s="15" t="s">
        <v>17495</v>
      </c>
      <c r="D1534" s="15" t="s">
        <v>536</v>
      </c>
      <c r="E1534" s="15" t="s">
        <v>17496</v>
      </c>
      <c r="F1534" s="15" t="s">
        <v>17497</v>
      </c>
      <c r="G1534" s="15" t="s">
        <v>17498</v>
      </c>
      <c r="H1534" s="16" t="s">
        <v>17497</v>
      </c>
    </row>
    <row r="1535" spans="1:8" x14ac:dyDescent="0.3">
      <c r="A1535" s="13" t="s">
        <v>17499</v>
      </c>
      <c r="B1535" s="14" t="s">
        <v>19723</v>
      </c>
      <c r="C1535" s="15" t="s">
        <v>17500</v>
      </c>
      <c r="D1535" s="15"/>
      <c r="E1535" s="15" t="s">
        <v>17501</v>
      </c>
      <c r="F1535" s="15" t="s">
        <v>17501</v>
      </c>
      <c r="G1535" s="15" t="s">
        <v>17502</v>
      </c>
      <c r="H1535" s="16" t="s">
        <v>17501</v>
      </c>
    </row>
    <row r="1536" spans="1:8" x14ac:dyDescent="0.3">
      <c r="A1536" s="13">
        <v>32352</v>
      </c>
      <c r="B1536" s="14" t="s">
        <v>17503</v>
      </c>
      <c r="C1536" s="15"/>
      <c r="D1536" s="15"/>
      <c r="E1536" s="15"/>
      <c r="F1536" s="15"/>
      <c r="G1536" s="15"/>
      <c r="H1536" s="16"/>
    </row>
    <row r="1537" spans="1:8" ht="22.5" x14ac:dyDescent="0.3">
      <c r="A1537" s="13" t="s">
        <v>17504</v>
      </c>
      <c r="B1537" s="14" t="s">
        <v>19714</v>
      </c>
      <c r="C1537" s="15" t="s">
        <v>17505</v>
      </c>
      <c r="D1537" s="15" t="s">
        <v>17506</v>
      </c>
      <c r="E1537" s="15" t="s">
        <v>17507</v>
      </c>
      <c r="F1537" s="15" t="s">
        <v>17508</v>
      </c>
      <c r="G1537" s="15" t="s">
        <v>17508</v>
      </c>
      <c r="H1537" s="16" t="s">
        <v>17509</v>
      </c>
    </row>
    <row r="1538" spans="1:8" ht="22.5" x14ac:dyDescent="0.3">
      <c r="A1538" s="13" t="s">
        <v>17510</v>
      </c>
      <c r="B1538" s="14" t="s">
        <v>19716</v>
      </c>
      <c r="C1538" s="15" t="s">
        <v>17511</v>
      </c>
      <c r="D1538" s="15" t="s">
        <v>17512</v>
      </c>
      <c r="E1538" s="15" t="s">
        <v>17513</v>
      </c>
      <c r="F1538" s="15" t="s">
        <v>17514</v>
      </c>
      <c r="G1538" s="15" t="s">
        <v>17515</v>
      </c>
      <c r="H1538" s="16" t="s">
        <v>17516</v>
      </c>
    </row>
    <row r="1539" spans="1:8" x14ac:dyDescent="0.3">
      <c r="A1539" s="13" t="s">
        <v>17517</v>
      </c>
      <c r="B1539" s="14" t="s">
        <v>19721</v>
      </c>
      <c r="C1539" s="15" t="s">
        <v>17518</v>
      </c>
      <c r="D1539" s="15"/>
      <c r="E1539" s="15"/>
      <c r="F1539" s="15"/>
      <c r="G1539" s="15" t="s">
        <v>17519</v>
      </c>
      <c r="H1539" s="16" t="s">
        <v>17520</v>
      </c>
    </row>
    <row r="1540" spans="1:8" ht="22.5" x14ac:dyDescent="0.3">
      <c r="A1540" s="13" t="s">
        <v>17521</v>
      </c>
      <c r="B1540" s="14" t="s">
        <v>19722</v>
      </c>
      <c r="C1540" s="15" t="s">
        <v>17522</v>
      </c>
      <c r="D1540" s="15" t="s">
        <v>17523</v>
      </c>
      <c r="E1540" s="15"/>
      <c r="F1540" s="15"/>
      <c r="G1540" s="15"/>
      <c r="H1540" s="16" t="s">
        <v>17524</v>
      </c>
    </row>
    <row r="1541" spans="1:8" x14ac:dyDescent="0.3">
      <c r="A1541" s="13" t="s">
        <v>17525</v>
      </c>
      <c r="B1541" s="14" t="s">
        <v>19723</v>
      </c>
      <c r="C1541" s="15" t="s">
        <v>17526</v>
      </c>
      <c r="D1541" s="15" t="s">
        <v>17527</v>
      </c>
      <c r="E1541" s="15" t="s">
        <v>17528</v>
      </c>
      <c r="F1541" s="15" t="s">
        <v>17529</v>
      </c>
      <c r="G1541" s="15" t="s">
        <v>17530</v>
      </c>
      <c r="H1541" s="16" t="s">
        <v>17531</v>
      </c>
    </row>
    <row r="1542" spans="1:8" x14ac:dyDescent="0.3">
      <c r="A1542" s="13">
        <v>32353</v>
      </c>
      <c r="B1542" s="14" t="s">
        <v>17532</v>
      </c>
      <c r="C1542" s="15"/>
      <c r="D1542" s="15"/>
      <c r="E1542" s="15"/>
      <c r="F1542" s="15"/>
      <c r="G1542" s="15"/>
      <c r="H1542" s="16"/>
    </row>
    <row r="1543" spans="1:8" ht="33.75" x14ac:dyDescent="0.3">
      <c r="A1543" s="13" t="s">
        <v>17533</v>
      </c>
      <c r="B1543" s="14" t="s">
        <v>19714</v>
      </c>
      <c r="C1543" s="15" t="s">
        <v>17534</v>
      </c>
      <c r="D1543" s="15" t="s">
        <v>17535</v>
      </c>
      <c r="E1543" s="15" t="s">
        <v>17536</v>
      </c>
      <c r="F1543" s="15" t="s">
        <v>17536</v>
      </c>
      <c r="G1543" s="15" t="s">
        <v>17536</v>
      </c>
      <c r="H1543" s="16" t="s">
        <v>17536</v>
      </c>
    </row>
    <row r="1544" spans="1:8" ht="33.75" x14ac:dyDescent="0.3">
      <c r="A1544" s="13" t="s">
        <v>17537</v>
      </c>
      <c r="B1544" s="14" t="s">
        <v>19716</v>
      </c>
      <c r="C1544" s="15" t="s">
        <v>17538</v>
      </c>
      <c r="D1544" s="15"/>
      <c r="E1544" s="15" t="s">
        <v>17539</v>
      </c>
      <c r="F1544" s="15" t="s">
        <v>17540</v>
      </c>
      <c r="G1544" s="15" t="s">
        <v>17541</v>
      </c>
      <c r="H1544" s="16" t="s">
        <v>17542</v>
      </c>
    </row>
    <row r="1545" spans="1:8" ht="22.5" x14ac:dyDescent="0.3">
      <c r="A1545" s="13" t="s">
        <v>17543</v>
      </c>
      <c r="B1545" s="14" t="s">
        <v>19721</v>
      </c>
      <c r="C1545" s="15" t="s">
        <v>17544</v>
      </c>
      <c r="D1545" s="15"/>
      <c r="E1545" s="15" t="s">
        <v>17545</v>
      </c>
      <c r="F1545" s="15"/>
      <c r="G1545" s="15" t="s">
        <v>17546</v>
      </c>
      <c r="H1545" s="16" t="s">
        <v>17547</v>
      </c>
    </row>
    <row r="1546" spans="1:8" ht="22.5" x14ac:dyDescent="0.3">
      <c r="A1546" s="13" t="s">
        <v>17548</v>
      </c>
      <c r="B1546" s="14" t="s">
        <v>19722</v>
      </c>
      <c r="C1546" s="15" t="s">
        <v>17549</v>
      </c>
      <c r="D1546" s="15" t="s">
        <v>17550</v>
      </c>
      <c r="E1546" s="15" t="s">
        <v>17551</v>
      </c>
      <c r="F1546" s="15" t="s">
        <v>17552</v>
      </c>
      <c r="G1546" s="15" t="s">
        <v>17552</v>
      </c>
      <c r="H1546" s="16" t="s">
        <v>17552</v>
      </c>
    </row>
    <row r="1547" spans="1:8" x14ac:dyDescent="0.3">
      <c r="A1547" s="13" t="s">
        <v>17553</v>
      </c>
      <c r="B1547" s="14" t="s">
        <v>19723</v>
      </c>
      <c r="C1547" s="15" t="s">
        <v>17554</v>
      </c>
      <c r="D1547" s="15"/>
      <c r="E1547" s="15" t="s">
        <v>17555</v>
      </c>
      <c r="F1547" s="15"/>
      <c r="G1547" s="15" t="s">
        <v>17556</v>
      </c>
      <c r="H1547" s="16" t="s">
        <v>17555</v>
      </c>
    </row>
    <row r="1548" spans="1:8" x14ac:dyDescent="0.3">
      <c r="A1548" s="13">
        <v>32354</v>
      </c>
      <c r="B1548" s="14" t="s">
        <v>17557</v>
      </c>
      <c r="C1548" s="15"/>
      <c r="D1548" s="15"/>
      <c r="E1548" s="15"/>
      <c r="F1548" s="15"/>
      <c r="G1548" s="15"/>
      <c r="H1548" s="16"/>
    </row>
    <row r="1549" spans="1:8" ht="45" x14ac:dyDescent="0.3">
      <c r="A1549" s="13" t="s">
        <v>17558</v>
      </c>
      <c r="B1549" s="14" t="s">
        <v>19714</v>
      </c>
      <c r="C1549" s="15" t="s">
        <v>17559</v>
      </c>
      <c r="D1549" s="15" t="s">
        <v>17560</v>
      </c>
      <c r="E1549" s="15" t="s">
        <v>17561</v>
      </c>
      <c r="F1549" s="15" t="s">
        <v>17562</v>
      </c>
      <c r="G1549" s="15" t="s">
        <v>17563</v>
      </c>
      <c r="H1549" s="16" t="s">
        <v>17564</v>
      </c>
    </row>
    <row r="1550" spans="1:8" ht="33.75" x14ac:dyDescent="0.3">
      <c r="A1550" s="13" t="s">
        <v>17565</v>
      </c>
      <c r="B1550" s="14" t="s">
        <v>19716</v>
      </c>
      <c r="C1550" s="15" t="s">
        <v>17566</v>
      </c>
      <c r="D1550" s="15" t="s">
        <v>4709</v>
      </c>
      <c r="E1550" s="15" t="s">
        <v>17567</v>
      </c>
      <c r="F1550" s="15"/>
      <c r="G1550" s="15" t="s">
        <v>17567</v>
      </c>
      <c r="H1550" s="16" t="s">
        <v>17567</v>
      </c>
    </row>
    <row r="1551" spans="1:8" ht="22.5" x14ac:dyDescent="0.3">
      <c r="A1551" s="13" t="s">
        <v>17568</v>
      </c>
      <c r="B1551" s="14" t="s">
        <v>19721</v>
      </c>
      <c r="C1551" s="15" t="s">
        <v>17569</v>
      </c>
      <c r="D1551" s="15"/>
      <c r="E1551" s="15" t="s">
        <v>17188</v>
      </c>
      <c r="F1551" s="15"/>
      <c r="G1551" s="15" t="s">
        <v>17570</v>
      </c>
      <c r="H1551" s="16" t="s">
        <v>17571</v>
      </c>
    </row>
    <row r="1552" spans="1:8" ht="33.75" x14ac:dyDescent="0.3">
      <c r="A1552" s="13" t="s">
        <v>17572</v>
      </c>
      <c r="B1552" s="14" t="s">
        <v>19722</v>
      </c>
      <c r="C1552" s="15" t="s">
        <v>17573</v>
      </c>
      <c r="D1552" s="15" t="s">
        <v>17574</v>
      </c>
      <c r="E1552" s="15"/>
      <c r="F1552" s="15" t="s">
        <v>17575</v>
      </c>
      <c r="G1552" s="15" t="s">
        <v>17576</v>
      </c>
      <c r="H1552" s="16" t="s">
        <v>17577</v>
      </c>
    </row>
    <row r="1553" spans="1:8" ht="33.75" x14ac:dyDescent="0.3">
      <c r="A1553" s="13" t="s">
        <v>17578</v>
      </c>
      <c r="B1553" s="14" t="s">
        <v>19723</v>
      </c>
      <c r="C1553" s="15" t="s">
        <v>17579</v>
      </c>
      <c r="D1553" s="15" t="s">
        <v>17580</v>
      </c>
      <c r="E1553" s="15" t="s">
        <v>17581</v>
      </c>
      <c r="F1553" s="15" t="s">
        <v>17169</v>
      </c>
      <c r="G1553" s="15" t="s">
        <v>17582</v>
      </c>
      <c r="H1553" s="16" t="s">
        <v>17583</v>
      </c>
    </row>
    <row r="1554" spans="1:8" x14ac:dyDescent="0.3">
      <c r="A1554" s="13">
        <v>32355</v>
      </c>
      <c r="B1554" s="14" t="s">
        <v>17584</v>
      </c>
      <c r="C1554" s="15"/>
      <c r="D1554" s="15"/>
      <c r="E1554" s="15"/>
      <c r="F1554" s="15"/>
      <c r="G1554" s="15"/>
      <c r="H1554" s="16"/>
    </row>
    <row r="1555" spans="1:8" ht="22.5" x14ac:dyDescent="0.3">
      <c r="A1555" s="13" t="s">
        <v>17585</v>
      </c>
      <c r="B1555" s="14" t="s">
        <v>19714</v>
      </c>
      <c r="C1555" s="15" t="s">
        <v>17586</v>
      </c>
      <c r="D1555" s="15" t="s">
        <v>17587</v>
      </c>
      <c r="E1555" s="15" t="s">
        <v>17588</v>
      </c>
      <c r="F1555" s="15" t="s">
        <v>17589</v>
      </c>
      <c r="G1555" s="15" t="s">
        <v>17590</v>
      </c>
      <c r="H1555" s="16" t="s">
        <v>17591</v>
      </c>
    </row>
    <row r="1556" spans="1:8" x14ac:dyDescent="0.3">
      <c r="A1556" s="13" t="s">
        <v>17592</v>
      </c>
      <c r="B1556" s="14" t="s">
        <v>19716</v>
      </c>
      <c r="C1556" s="15" t="s">
        <v>17593</v>
      </c>
      <c r="D1556" s="15"/>
      <c r="E1556" s="15" t="s">
        <v>17594</v>
      </c>
      <c r="F1556" s="15"/>
      <c r="G1556" s="15" t="s">
        <v>17595</v>
      </c>
      <c r="H1556" s="16" t="s">
        <v>17596</v>
      </c>
    </row>
    <row r="1557" spans="1:8" ht="22.5" x14ac:dyDescent="0.3">
      <c r="A1557" s="13" t="s">
        <v>17597</v>
      </c>
      <c r="B1557" s="14" t="s">
        <v>19721</v>
      </c>
      <c r="C1557" s="15" t="s">
        <v>17598</v>
      </c>
      <c r="D1557" s="15"/>
      <c r="E1557" s="15" t="s">
        <v>17599</v>
      </c>
      <c r="F1557" s="15"/>
      <c r="G1557" s="15" t="s">
        <v>17600</v>
      </c>
      <c r="H1557" s="16" t="s">
        <v>17601</v>
      </c>
    </row>
    <row r="1558" spans="1:8" ht="22.5" x14ac:dyDescent="0.3">
      <c r="A1558" s="13" t="s">
        <v>17602</v>
      </c>
      <c r="B1558" s="14" t="s">
        <v>19722</v>
      </c>
      <c r="C1558" s="15" t="s">
        <v>17603</v>
      </c>
      <c r="D1558" s="15"/>
      <c r="E1558" s="15" t="s">
        <v>17604</v>
      </c>
      <c r="F1558" s="15" t="s">
        <v>17605</v>
      </c>
      <c r="G1558" s="15" t="s">
        <v>17606</v>
      </c>
      <c r="H1558" s="16" t="s">
        <v>17607</v>
      </c>
    </row>
    <row r="1559" spans="1:8" x14ac:dyDescent="0.3">
      <c r="A1559" s="13" t="s">
        <v>17608</v>
      </c>
      <c r="B1559" s="14" t="s">
        <v>19723</v>
      </c>
      <c r="C1559" s="15" t="s">
        <v>17609</v>
      </c>
      <c r="D1559" s="15" t="s">
        <v>17587</v>
      </c>
      <c r="E1559" s="15" t="s">
        <v>17610</v>
      </c>
      <c r="F1559" s="15" t="s">
        <v>17611</v>
      </c>
      <c r="G1559" s="15" t="s">
        <v>17611</v>
      </c>
      <c r="H1559" s="16" t="s">
        <v>17611</v>
      </c>
    </row>
    <row r="1560" spans="1:8" x14ac:dyDescent="0.3">
      <c r="A1560" s="13">
        <v>32356</v>
      </c>
      <c r="B1560" s="14" t="s">
        <v>17612</v>
      </c>
      <c r="C1560" s="15"/>
      <c r="D1560" s="15"/>
      <c r="E1560" s="15"/>
      <c r="F1560" s="15"/>
      <c r="G1560" s="15"/>
      <c r="H1560" s="16"/>
    </row>
    <row r="1561" spans="1:8" ht="22.5" x14ac:dyDescent="0.3">
      <c r="A1561" s="13" t="s">
        <v>17613</v>
      </c>
      <c r="B1561" s="14" t="s">
        <v>19714</v>
      </c>
      <c r="C1561" s="15" t="s">
        <v>17614</v>
      </c>
      <c r="D1561" s="15" t="s">
        <v>17615</v>
      </c>
      <c r="E1561" s="15" t="s">
        <v>17616</v>
      </c>
      <c r="F1561" s="15" t="s">
        <v>17617</v>
      </c>
      <c r="G1561" s="15" t="s">
        <v>17616</v>
      </c>
      <c r="H1561" s="16" t="s">
        <v>17618</v>
      </c>
    </row>
    <row r="1562" spans="1:8" ht="45" x14ac:dyDescent="0.3">
      <c r="A1562" s="13" t="s">
        <v>17619</v>
      </c>
      <c r="B1562" s="14" t="s">
        <v>19716</v>
      </c>
      <c r="C1562" s="15" t="s">
        <v>17620</v>
      </c>
      <c r="D1562" s="15"/>
      <c r="E1562" s="15" t="s">
        <v>17621</v>
      </c>
      <c r="F1562" s="15" t="s">
        <v>17622</v>
      </c>
      <c r="G1562" s="15" t="s">
        <v>17623</v>
      </c>
      <c r="H1562" s="16" t="s">
        <v>17623</v>
      </c>
    </row>
    <row r="1563" spans="1:8" x14ac:dyDescent="0.3">
      <c r="A1563" s="13" t="s">
        <v>17624</v>
      </c>
      <c r="B1563" s="14" t="s">
        <v>19721</v>
      </c>
      <c r="C1563" s="15" t="s">
        <v>17625</v>
      </c>
      <c r="D1563" s="15"/>
      <c r="E1563" s="15" t="s">
        <v>17626</v>
      </c>
      <c r="F1563" s="15"/>
      <c r="G1563" s="15" t="s">
        <v>17626</v>
      </c>
      <c r="H1563" s="16" t="s">
        <v>17626</v>
      </c>
    </row>
    <row r="1564" spans="1:8" ht="33.75" x14ac:dyDescent="0.3">
      <c r="A1564" s="13" t="s">
        <v>17627</v>
      </c>
      <c r="B1564" s="14" t="s">
        <v>19722</v>
      </c>
      <c r="C1564" s="15" t="s">
        <v>17628</v>
      </c>
      <c r="D1564" s="15"/>
      <c r="E1564" s="15" t="s">
        <v>17629</v>
      </c>
      <c r="F1564" s="15"/>
      <c r="G1564" s="15" t="s">
        <v>17630</v>
      </c>
      <c r="H1564" s="16" t="s">
        <v>17631</v>
      </c>
    </row>
    <row r="1565" spans="1:8" x14ac:dyDescent="0.3">
      <c r="A1565" s="13" t="s">
        <v>17632</v>
      </c>
      <c r="B1565" s="14" t="s">
        <v>19723</v>
      </c>
      <c r="C1565" s="15" t="s">
        <v>17633</v>
      </c>
      <c r="D1565" s="15" t="s">
        <v>17634</v>
      </c>
      <c r="E1565" s="15" t="s">
        <v>17635</v>
      </c>
      <c r="F1565" s="15" t="s">
        <v>17635</v>
      </c>
      <c r="G1565" s="15" t="s">
        <v>17636</v>
      </c>
      <c r="H1565" s="16" t="s">
        <v>17637</v>
      </c>
    </row>
    <row r="1566" spans="1:8" x14ac:dyDescent="0.3">
      <c r="A1566" s="13">
        <v>32357</v>
      </c>
      <c r="B1566" s="14" t="s">
        <v>17638</v>
      </c>
      <c r="C1566" s="15"/>
      <c r="D1566" s="15"/>
      <c r="E1566" s="15"/>
      <c r="F1566" s="15"/>
      <c r="G1566" s="15"/>
      <c r="H1566" s="16"/>
    </row>
    <row r="1567" spans="1:8" ht="33.75" x14ac:dyDescent="0.3">
      <c r="A1567" s="13" t="s">
        <v>17639</v>
      </c>
      <c r="B1567" s="14" t="s">
        <v>19714</v>
      </c>
      <c r="C1567" s="15" t="s">
        <v>17640</v>
      </c>
      <c r="D1567" s="15" t="s">
        <v>17641</v>
      </c>
      <c r="E1567" s="15" t="s">
        <v>17642</v>
      </c>
      <c r="F1567" s="15" t="s">
        <v>17643</v>
      </c>
      <c r="G1567" s="15" t="s">
        <v>17644</v>
      </c>
      <c r="H1567" s="16" t="s">
        <v>17645</v>
      </c>
    </row>
    <row r="1568" spans="1:8" ht="33.75" x14ac:dyDescent="0.3">
      <c r="A1568" s="13" t="s">
        <v>17646</v>
      </c>
      <c r="B1568" s="14" t="s">
        <v>19716</v>
      </c>
      <c r="C1568" s="15" t="s">
        <v>17647</v>
      </c>
      <c r="D1568" s="15" t="s">
        <v>17648</v>
      </c>
      <c r="E1568" s="15" t="s">
        <v>17649</v>
      </c>
      <c r="F1568" s="15" t="s">
        <v>17650</v>
      </c>
      <c r="G1568" s="15" t="s">
        <v>17651</v>
      </c>
      <c r="H1568" s="16" t="s">
        <v>17652</v>
      </c>
    </row>
    <row r="1569" spans="1:8" ht="22.5" x14ac:dyDescent="0.3">
      <c r="A1569" s="13" t="s">
        <v>17653</v>
      </c>
      <c r="B1569" s="14" t="s">
        <v>19721</v>
      </c>
      <c r="C1569" s="15" t="s">
        <v>17654</v>
      </c>
      <c r="D1569" s="15"/>
      <c r="E1569" s="15" t="s">
        <v>17655</v>
      </c>
      <c r="F1569" s="15"/>
      <c r="G1569" s="15" t="s">
        <v>17656</v>
      </c>
      <c r="H1569" s="16" t="s">
        <v>17657</v>
      </c>
    </row>
    <row r="1570" spans="1:8" x14ac:dyDescent="0.3">
      <c r="A1570" s="13" t="s">
        <v>17658</v>
      </c>
      <c r="B1570" s="14" t="s">
        <v>19722</v>
      </c>
      <c r="C1570" s="15" t="s">
        <v>17659</v>
      </c>
      <c r="D1570" s="15"/>
      <c r="E1570" s="15" t="s">
        <v>17660</v>
      </c>
      <c r="F1570" s="15"/>
      <c r="G1570" s="15" t="s">
        <v>17660</v>
      </c>
      <c r="H1570" s="16"/>
    </row>
    <row r="1571" spans="1:8" x14ac:dyDescent="0.3">
      <c r="A1571" s="13" t="s">
        <v>17661</v>
      </c>
      <c r="B1571" s="14" t="s">
        <v>19723</v>
      </c>
      <c r="C1571" s="15" t="s">
        <v>17662</v>
      </c>
      <c r="D1571" s="15" t="s">
        <v>17663</v>
      </c>
      <c r="E1571" s="15"/>
      <c r="F1571" s="15" t="s">
        <v>17664</v>
      </c>
      <c r="G1571" s="15" t="s">
        <v>17665</v>
      </c>
      <c r="H1571" s="16" t="s">
        <v>17666</v>
      </c>
    </row>
    <row r="1572" spans="1:8" x14ac:dyDescent="0.3">
      <c r="A1572" s="13">
        <v>32358</v>
      </c>
      <c r="B1572" s="14" t="s">
        <v>17667</v>
      </c>
      <c r="C1572" s="15"/>
      <c r="D1572" s="15"/>
      <c r="E1572" s="15"/>
      <c r="F1572" s="15"/>
      <c r="G1572" s="15"/>
      <c r="H1572" s="16"/>
    </row>
    <row r="1573" spans="1:8" ht="22.5" x14ac:dyDescent="0.3">
      <c r="A1573" s="13" t="s">
        <v>17668</v>
      </c>
      <c r="B1573" s="14" t="s">
        <v>19714</v>
      </c>
      <c r="C1573" s="15" t="s">
        <v>17669</v>
      </c>
      <c r="D1573" s="15" t="s">
        <v>17670</v>
      </c>
      <c r="E1573" s="15" t="s">
        <v>17671</v>
      </c>
      <c r="F1573" s="15" t="s">
        <v>17671</v>
      </c>
      <c r="G1573" s="15" t="s">
        <v>17671</v>
      </c>
      <c r="H1573" s="16" t="s">
        <v>17672</v>
      </c>
    </row>
    <row r="1574" spans="1:8" x14ac:dyDescent="0.3">
      <c r="A1574" s="13" t="s">
        <v>17673</v>
      </c>
      <c r="B1574" s="14" t="s">
        <v>19716</v>
      </c>
      <c r="C1574" s="15" t="s">
        <v>17674</v>
      </c>
      <c r="D1574" s="15" t="s">
        <v>17675</v>
      </c>
      <c r="E1574" s="15" t="s">
        <v>17676</v>
      </c>
      <c r="F1574" s="15" t="s">
        <v>17677</v>
      </c>
      <c r="G1574" s="15" t="s">
        <v>17678</v>
      </c>
      <c r="H1574" s="16" t="s">
        <v>17679</v>
      </c>
    </row>
    <row r="1575" spans="1:8" ht="33.75" x14ac:dyDescent="0.3">
      <c r="A1575" s="13" t="s">
        <v>17680</v>
      </c>
      <c r="B1575" s="14" t="s">
        <v>19721</v>
      </c>
      <c r="C1575" s="15" t="s">
        <v>17681</v>
      </c>
      <c r="D1575" s="15"/>
      <c r="E1575" s="15" t="s">
        <v>17682</v>
      </c>
      <c r="F1575" s="15"/>
      <c r="G1575" s="15" t="s">
        <v>17683</v>
      </c>
      <c r="H1575" s="16" t="s">
        <v>17684</v>
      </c>
    </row>
    <row r="1576" spans="1:8" ht="22.5" x14ac:dyDescent="0.3">
      <c r="A1576" s="13" t="s">
        <v>17685</v>
      </c>
      <c r="B1576" s="14" t="s">
        <v>19722</v>
      </c>
      <c r="C1576" s="15" t="s">
        <v>17686</v>
      </c>
      <c r="D1576" s="15"/>
      <c r="E1576" s="15" t="s">
        <v>17687</v>
      </c>
      <c r="F1576" s="15" t="s">
        <v>17688</v>
      </c>
      <c r="G1576" s="15" t="s">
        <v>17689</v>
      </c>
      <c r="H1576" s="16" t="s">
        <v>17690</v>
      </c>
    </row>
    <row r="1577" spans="1:8" ht="22.5" x14ac:dyDescent="0.3">
      <c r="A1577" s="13" t="s">
        <v>17691</v>
      </c>
      <c r="B1577" s="14" t="s">
        <v>19723</v>
      </c>
      <c r="C1577" s="15" t="s">
        <v>17692</v>
      </c>
      <c r="D1577" s="15" t="s">
        <v>17693</v>
      </c>
      <c r="E1577" s="15" t="s">
        <v>17694</v>
      </c>
      <c r="F1577" s="15" t="s">
        <v>1476</v>
      </c>
      <c r="G1577" s="15" t="s">
        <v>17694</v>
      </c>
      <c r="H1577" s="16" t="s">
        <v>17695</v>
      </c>
    </row>
    <row r="1578" spans="1:8" x14ac:dyDescent="0.3">
      <c r="A1578" s="13">
        <v>32359</v>
      </c>
      <c r="B1578" s="14" t="s">
        <v>17696</v>
      </c>
      <c r="C1578" s="15"/>
      <c r="D1578" s="15"/>
      <c r="E1578" s="15"/>
      <c r="F1578" s="15"/>
      <c r="G1578" s="15"/>
      <c r="H1578" s="16"/>
    </row>
    <row r="1579" spans="1:8" x14ac:dyDescent="0.3">
      <c r="A1579" s="13" t="s">
        <v>17697</v>
      </c>
      <c r="B1579" s="14" t="s">
        <v>19714</v>
      </c>
      <c r="C1579" s="15" t="s">
        <v>17698</v>
      </c>
      <c r="D1579" s="15" t="s">
        <v>17699</v>
      </c>
      <c r="E1579" s="15" t="s">
        <v>17700</v>
      </c>
      <c r="F1579" s="15" t="s">
        <v>17701</v>
      </c>
      <c r="G1579" s="15" t="s">
        <v>17701</v>
      </c>
      <c r="H1579" s="16" t="s">
        <v>17702</v>
      </c>
    </row>
    <row r="1580" spans="1:8" x14ac:dyDescent="0.3">
      <c r="A1580" s="13" t="s">
        <v>17703</v>
      </c>
      <c r="B1580" s="14" t="s">
        <v>19716</v>
      </c>
      <c r="C1580" s="15" t="s">
        <v>17704</v>
      </c>
      <c r="D1580" s="15"/>
      <c r="E1580" s="15" t="s">
        <v>17705</v>
      </c>
      <c r="F1580" s="15" t="s">
        <v>17706</v>
      </c>
      <c r="G1580" s="15" t="s">
        <v>17707</v>
      </c>
      <c r="H1580" s="16" t="s">
        <v>17708</v>
      </c>
    </row>
    <row r="1581" spans="1:8" ht="33.75" x14ac:dyDescent="0.3">
      <c r="A1581" s="13" t="s">
        <v>17709</v>
      </c>
      <c r="B1581" s="14" t="s">
        <v>19721</v>
      </c>
      <c r="C1581" s="15" t="s">
        <v>17710</v>
      </c>
      <c r="D1581" s="15" t="s">
        <v>17711</v>
      </c>
      <c r="E1581" s="15" t="s">
        <v>17712</v>
      </c>
      <c r="F1581" s="15" t="s">
        <v>17713</v>
      </c>
      <c r="G1581" s="15" t="s">
        <v>17714</v>
      </c>
      <c r="H1581" s="16" t="s">
        <v>17715</v>
      </c>
    </row>
    <row r="1582" spans="1:8" ht="33.75" x14ac:dyDescent="0.3">
      <c r="A1582" s="13" t="s">
        <v>17716</v>
      </c>
      <c r="B1582" s="14" t="s">
        <v>19722</v>
      </c>
      <c r="C1582" s="15" t="s">
        <v>17717</v>
      </c>
      <c r="D1582" s="15" t="s">
        <v>17718</v>
      </c>
      <c r="E1582" s="15" t="s">
        <v>17719</v>
      </c>
      <c r="F1582" s="15"/>
      <c r="G1582" s="15" t="s">
        <v>17720</v>
      </c>
      <c r="H1582" s="16" t="s">
        <v>17721</v>
      </c>
    </row>
    <row r="1583" spans="1:8" ht="22.5" x14ac:dyDescent="0.3">
      <c r="A1583" s="13" t="s">
        <v>17722</v>
      </c>
      <c r="B1583" s="14" t="s">
        <v>19723</v>
      </c>
      <c r="C1583" s="15" t="s">
        <v>17723</v>
      </c>
      <c r="D1583" s="15" t="s">
        <v>17699</v>
      </c>
      <c r="E1583" s="15" t="s">
        <v>17724</v>
      </c>
      <c r="F1583" s="15" t="s">
        <v>17725</v>
      </c>
      <c r="G1583" s="15" t="s">
        <v>17726</v>
      </c>
      <c r="H1583" s="16" t="s">
        <v>17727</v>
      </c>
    </row>
    <row r="1584" spans="1:8" x14ac:dyDescent="0.3">
      <c r="A1584" s="13">
        <v>32360</v>
      </c>
      <c r="B1584" s="14" t="s">
        <v>17728</v>
      </c>
      <c r="C1584" s="15"/>
      <c r="D1584" s="15"/>
      <c r="E1584" s="15"/>
      <c r="F1584" s="15"/>
      <c r="G1584" s="15"/>
      <c r="H1584" s="16"/>
    </row>
    <row r="1585" spans="1:8" ht="33.75" x14ac:dyDescent="0.3">
      <c r="A1585" s="13" t="s">
        <v>17729</v>
      </c>
      <c r="B1585" s="14" t="s">
        <v>19714</v>
      </c>
      <c r="C1585" s="15" t="s">
        <v>17730</v>
      </c>
      <c r="D1585" s="15" t="s">
        <v>17731</v>
      </c>
      <c r="E1585" s="15" t="s">
        <v>17732</v>
      </c>
      <c r="F1585" s="15" t="s">
        <v>17733</v>
      </c>
      <c r="G1585" s="15" t="s">
        <v>17734</v>
      </c>
      <c r="H1585" s="16" t="s">
        <v>17735</v>
      </c>
    </row>
    <row r="1586" spans="1:8" ht="56.25" x14ac:dyDescent="0.3">
      <c r="A1586" s="13" t="s">
        <v>17736</v>
      </c>
      <c r="B1586" s="14" t="s">
        <v>19716</v>
      </c>
      <c r="C1586" s="15" t="s">
        <v>17737</v>
      </c>
      <c r="D1586" s="15" t="s">
        <v>17738</v>
      </c>
      <c r="E1586" s="15" t="s">
        <v>17739</v>
      </c>
      <c r="F1586" s="15" t="s">
        <v>17740</v>
      </c>
      <c r="G1586" s="15" t="s">
        <v>17741</v>
      </c>
      <c r="H1586" s="16" t="s">
        <v>17742</v>
      </c>
    </row>
    <row r="1587" spans="1:8" x14ac:dyDescent="0.3">
      <c r="A1587" s="13" t="s">
        <v>17743</v>
      </c>
      <c r="B1587" s="14" t="s">
        <v>19721</v>
      </c>
      <c r="C1587" s="15" t="s">
        <v>17744</v>
      </c>
      <c r="D1587" s="15"/>
      <c r="E1587" s="15"/>
      <c r="F1587" s="15"/>
      <c r="G1587" s="15"/>
      <c r="H1587" s="16"/>
    </row>
    <row r="1588" spans="1:8" ht="33.75" x14ac:dyDescent="0.3">
      <c r="A1588" s="13" t="s">
        <v>17745</v>
      </c>
      <c r="B1588" s="14" t="s">
        <v>19722</v>
      </c>
      <c r="C1588" s="15" t="s">
        <v>17746</v>
      </c>
      <c r="D1588" s="15" t="s">
        <v>17747</v>
      </c>
      <c r="E1588" s="15" t="s">
        <v>17748</v>
      </c>
      <c r="F1588" s="15"/>
      <c r="G1588" s="15" t="s">
        <v>17749</v>
      </c>
      <c r="H1588" s="16" t="s">
        <v>17750</v>
      </c>
    </row>
    <row r="1589" spans="1:8" ht="45" x14ac:dyDescent="0.3">
      <c r="A1589" s="13" t="s">
        <v>17751</v>
      </c>
      <c r="B1589" s="14" t="s">
        <v>19723</v>
      </c>
      <c r="C1589" s="15" t="s">
        <v>17752</v>
      </c>
      <c r="D1589" s="15"/>
      <c r="E1589" s="15" t="s">
        <v>17753</v>
      </c>
      <c r="F1589" s="15" t="s">
        <v>17754</v>
      </c>
      <c r="G1589" s="15" t="s">
        <v>17755</v>
      </c>
      <c r="H1589" s="16" t="s">
        <v>17756</v>
      </c>
    </row>
    <row r="1590" spans="1:8" x14ac:dyDescent="0.3">
      <c r="A1590" s="13">
        <v>32361</v>
      </c>
      <c r="B1590" s="14" t="s">
        <v>17757</v>
      </c>
      <c r="C1590" s="15"/>
      <c r="D1590" s="15"/>
      <c r="E1590" s="15"/>
      <c r="F1590" s="15"/>
      <c r="G1590" s="15"/>
      <c r="H1590" s="16"/>
    </row>
    <row r="1591" spans="1:8" ht="33.75" x14ac:dyDescent="0.3">
      <c r="A1591" s="13" t="s">
        <v>17758</v>
      </c>
      <c r="B1591" s="14" t="s">
        <v>19714</v>
      </c>
      <c r="C1591" s="15" t="s">
        <v>17759</v>
      </c>
      <c r="D1591" s="15" t="s">
        <v>17760</v>
      </c>
      <c r="E1591" s="15" t="s">
        <v>17761</v>
      </c>
      <c r="F1591" s="15" t="s">
        <v>17762</v>
      </c>
      <c r="G1591" s="15" t="s">
        <v>17763</v>
      </c>
      <c r="H1591" s="16" t="s">
        <v>17764</v>
      </c>
    </row>
    <row r="1592" spans="1:8" ht="33.75" x14ac:dyDescent="0.3">
      <c r="A1592" s="13" t="s">
        <v>17765</v>
      </c>
      <c r="B1592" s="14" t="s">
        <v>19716</v>
      </c>
      <c r="C1592" s="15" t="s">
        <v>17766</v>
      </c>
      <c r="D1592" s="15" t="s">
        <v>17767</v>
      </c>
      <c r="E1592" s="15" t="s">
        <v>17768</v>
      </c>
      <c r="F1592" s="15" t="s">
        <v>17769</v>
      </c>
      <c r="G1592" s="15" t="s">
        <v>17770</v>
      </c>
      <c r="H1592" s="16" t="s">
        <v>17771</v>
      </c>
    </row>
    <row r="1593" spans="1:8" ht="22.5" x14ac:dyDescent="0.3">
      <c r="A1593" s="13" t="s">
        <v>17772</v>
      </c>
      <c r="B1593" s="14" t="s">
        <v>19721</v>
      </c>
      <c r="C1593" s="15" t="s">
        <v>17773</v>
      </c>
      <c r="D1593" s="15"/>
      <c r="E1593" s="15" t="s">
        <v>17774</v>
      </c>
      <c r="F1593" s="15"/>
      <c r="G1593" s="15" t="s">
        <v>17775</v>
      </c>
      <c r="H1593" s="16" t="s">
        <v>17776</v>
      </c>
    </row>
    <row r="1594" spans="1:8" ht="22.5" x14ac:dyDescent="0.3">
      <c r="A1594" s="13" t="s">
        <v>17777</v>
      </c>
      <c r="B1594" s="14" t="s">
        <v>19722</v>
      </c>
      <c r="C1594" s="15" t="s">
        <v>17778</v>
      </c>
      <c r="D1594" s="15"/>
      <c r="E1594" s="15" t="s">
        <v>17779</v>
      </c>
      <c r="F1594" s="15" t="s">
        <v>17780</v>
      </c>
      <c r="G1594" s="15" t="s">
        <v>17781</v>
      </c>
      <c r="H1594" s="16" t="s">
        <v>17782</v>
      </c>
    </row>
    <row r="1595" spans="1:8" ht="22.5" x14ac:dyDescent="0.3">
      <c r="A1595" s="13" t="s">
        <v>17783</v>
      </c>
      <c r="B1595" s="14" t="s">
        <v>19723</v>
      </c>
      <c r="C1595" s="15" t="s">
        <v>17784</v>
      </c>
      <c r="D1595" s="15"/>
      <c r="E1595" s="15" t="s">
        <v>17785</v>
      </c>
      <c r="F1595" s="15" t="s">
        <v>17786</v>
      </c>
      <c r="G1595" s="15" t="s">
        <v>17787</v>
      </c>
      <c r="H1595" s="16" t="s">
        <v>17787</v>
      </c>
    </row>
    <row r="1596" spans="1:8" x14ac:dyDescent="0.3">
      <c r="A1596" s="13">
        <v>32362</v>
      </c>
      <c r="B1596" s="14" t="s">
        <v>17788</v>
      </c>
      <c r="C1596" s="15"/>
      <c r="D1596" s="15"/>
      <c r="E1596" s="15"/>
      <c r="F1596" s="15"/>
      <c r="G1596" s="15"/>
      <c r="H1596" s="16"/>
    </row>
    <row r="1597" spans="1:8" ht="33.75" x14ac:dyDescent="0.3">
      <c r="A1597" s="13" t="s">
        <v>17789</v>
      </c>
      <c r="B1597" s="14" t="s">
        <v>19714</v>
      </c>
      <c r="C1597" s="15" t="s">
        <v>17790</v>
      </c>
      <c r="D1597" s="15"/>
      <c r="E1597" s="15" t="s">
        <v>17791</v>
      </c>
      <c r="F1597" s="15" t="s">
        <v>17792</v>
      </c>
      <c r="G1597" s="15" t="s">
        <v>17793</v>
      </c>
      <c r="H1597" s="16" t="s">
        <v>17794</v>
      </c>
    </row>
    <row r="1598" spans="1:8" x14ac:dyDescent="0.3">
      <c r="A1598" s="13" t="s">
        <v>17795</v>
      </c>
      <c r="B1598" s="14" t="s">
        <v>19716</v>
      </c>
      <c r="C1598" s="15" t="s">
        <v>17796</v>
      </c>
      <c r="D1598" s="15"/>
      <c r="E1598" s="15"/>
      <c r="F1598" s="15"/>
      <c r="G1598" s="15" t="s">
        <v>17797</v>
      </c>
      <c r="H1598" s="16" t="s">
        <v>17798</v>
      </c>
    </row>
    <row r="1599" spans="1:8" x14ac:dyDescent="0.3">
      <c r="A1599" s="13" t="s">
        <v>17799</v>
      </c>
      <c r="B1599" s="14" t="s">
        <v>19721</v>
      </c>
      <c r="C1599" s="15" t="s">
        <v>17800</v>
      </c>
      <c r="D1599" s="15" t="s">
        <v>17801</v>
      </c>
      <c r="E1599" s="15" t="s">
        <v>17802</v>
      </c>
      <c r="F1599" s="15" t="s">
        <v>17803</v>
      </c>
      <c r="G1599" s="15" t="s">
        <v>17804</v>
      </c>
      <c r="H1599" s="16" t="s">
        <v>17805</v>
      </c>
    </row>
    <row r="1600" spans="1:8" x14ac:dyDescent="0.3">
      <c r="A1600" s="13" t="s">
        <v>17806</v>
      </c>
      <c r="B1600" s="14" t="s">
        <v>19722</v>
      </c>
      <c r="C1600" s="15" t="s">
        <v>17807</v>
      </c>
      <c r="D1600" s="15"/>
      <c r="E1600" s="15" t="s">
        <v>17808</v>
      </c>
      <c r="F1600" s="15"/>
      <c r="G1600" s="15" t="s">
        <v>17809</v>
      </c>
      <c r="H1600" s="16" t="s">
        <v>17810</v>
      </c>
    </row>
    <row r="1601" spans="1:8" ht="12" thickBot="1" x14ac:dyDescent="0.35">
      <c r="A1601" s="17" t="s">
        <v>17811</v>
      </c>
      <c r="B1601" s="18" t="s">
        <v>19723</v>
      </c>
      <c r="C1601" s="19" t="s">
        <v>17812</v>
      </c>
      <c r="D1601" s="19"/>
      <c r="E1601" s="19"/>
      <c r="F1601" s="19"/>
      <c r="G1601" s="19"/>
      <c r="H1601" s="20" t="s">
        <v>17813</v>
      </c>
    </row>
  </sheetData>
  <mergeCells count="1">
    <mergeCell ref="A1:H1"/>
  </mergeCells>
  <phoneticPr fontId="18" type="noConversion"/>
  <printOptions horizontalCentered="1"/>
  <pageMargins left="1.1811023622047243" right="1.1811023622047243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selection activeCell="H2" sqref="A2:H2"/>
    </sheetView>
  </sheetViews>
  <sheetFormatPr defaultRowHeight="11.25" x14ac:dyDescent="0.3"/>
  <cols>
    <col min="1" max="1" width="7.625" style="6" customWidth="1"/>
    <col min="2" max="2" width="10.625" style="8" customWidth="1"/>
    <col min="3" max="8" width="14.625" style="6" customWidth="1"/>
    <col min="9" max="16384" width="9" style="6"/>
  </cols>
  <sheetData>
    <row r="1" spans="1:8" ht="17.25" thickBot="1" x14ac:dyDescent="0.35">
      <c r="A1" s="24" t="s">
        <v>19737</v>
      </c>
      <c r="B1" s="24"/>
      <c r="C1" s="24"/>
      <c r="D1" s="24"/>
      <c r="E1" s="24"/>
      <c r="F1" s="24"/>
      <c r="G1" s="24"/>
      <c r="H1" s="24"/>
    </row>
    <row r="2" spans="1:8" s="7" customFormat="1" ht="12" thickBot="1" x14ac:dyDescent="0.35">
      <c r="A2" s="27" t="s">
        <v>0</v>
      </c>
      <c r="B2" s="28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30" t="s">
        <v>7</v>
      </c>
    </row>
    <row r="3" spans="1:8" x14ac:dyDescent="0.3">
      <c r="A3" s="9">
        <v>40101</v>
      </c>
      <c r="B3" s="21" t="s">
        <v>17814</v>
      </c>
      <c r="C3" s="11"/>
      <c r="D3" s="11"/>
      <c r="E3" s="11" t="s">
        <v>17815</v>
      </c>
      <c r="F3" s="11"/>
      <c r="G3" s="11" t="s">
        <v>17816</v>
      </c>
      <c r="H3" s="12" t="s">
        <v>17814</v>
      </c>
    </row>
    <row r="4" spans="1:8" ht="33.75" x14ac:dyDescent="0.3">
      <c r="A4" s="13" t="s">
        <v>17817</v>
      </c>
      <c r="B4" s="22" t="s">
        <v>17818</v>
      </c>
      <c r="C4" s="15" t="s">
        <v>17819</v>
      </c>
      <c r="D4" s="15" t="s">
        <v>17820</v>
      </c>
      <c r="E4" s="15" t="s">
        <v>17821</v>
      </c>
      <c r="F4" s="15" t="s">
        <v>17822</v>
      </c>
      <c r="G4" s="15" t="s">
        <v>17823</v>
      </c>
      <c r="H4" s="16" t="s">
        <v>17824</v>
      </c>
    </row>
    <row r="5" spans="1:8" ht="45" x14ac:dyDescent="0.3">
      <c r="A5" s="13" t="s">
        <v>17825</v>
      </c>
      <c r="B5" s="22" t="s">
        <v>17818</v>
      </c>
      <c r="C5" s="15" t="s">
        <v>17826</v>
      </c>
      <c r="D5" s="15" t="s">
        <v>17827</v>
      </c>
      <c r="E5" s="15" t="s">
        <v>17828</v>
      </c>
      <c r="F5" s="15" t="s">
        <v>17829</v>
      </c>
      <c r="G5" s="15" t="s">
        <v>17830</v>
      </c>
      <c r="H5" s="16" t="s">
        <v>17831</v>
      </c>
    </row>
    <row r="6" spans="1:8" ht="67.5" x14ac:dyDescent="0.3">
      <c r="A6" s="13" t="s">
        <v>17832</v>
      </c>
      <c r="B6" s="22" t="s">
        <v>17833</v>
      </c>
      <c r="C6" s="15" t="s">
        <v>17834</v>
      </c>
      <c r="D6" s="15" t="s">
        <v>17835</v>
      </c>
      <c r="E6" s="15" t="s">
        <v>17836</v>
      </c>
      <c r="F6" s="15" t="s">
        <v>17837</v>
      </c>
      <c r="G6" s="15" t="s">
        <v>17838</v>
      </c>
      <c r="H6" s="16" t="s">
        <v>17839</v>
      </c>
    </row>
    <row r="7" spans="1:8" ht="78.75" x14ac:dyDescent="0.3">
      <c r="A7" s="13" t="s">
        <v>17840</v>
      </c>
      <c r="B7" s="22" t="s">
        <v>17841</v>
      </c>
      <c r="C7" s="15" t="s">
        <v>17842</v>
      </c>
      <c r="D7" s="15" t="s">
        <v>17843</v>
      </c>
      <c r="E7" s="15" t="s">
        <v>17844</v>
      </c>
      <c r="F7" s="15" t="s">
        <v>17845</v>
      </c>
      <c r="G7" s="15" t="s">
        <v>17846</v>
      </c>
      <c r="H7" s="16" t="s">
        <v>17847</v>
      </c>
    </row>
    <row r="8" spans="1:8" ht="56.25" x14ac:dyDescent="0.3">
      <c r="A8" s="13" t="s">
        <v>17848</v>
      </c>
      <c r="B8" s="22" t="s">
        <v>17849</v>
      </c>
      <c r="C8" s="15" t="s">
        <v>17850</v>
      </c>
      <c r="D8" s="15" t="s">
        <v>17851</v>
      </c>
      <c r="E8" s="15" t="s">
        <v>17852</v>
      </c>
      <c r="F8" s="15" t="s">
        <v>17853</v>
      </c>
      <c r="G8" s="15" t="s">
        <v>17854</v>
      </c>
      <c r="H8" s="16" t="s">
        <v>17855</v>
      </c>
    </row>
    <row r="9" spans="1:8" ht="78.75" x14ac:dyDescent="0.3">
      <c r="A9" s="13" t="s">
        <v>17856</v>
      </c>
      <c r="B9" s="22" t="s">
        <v>17857</v>
      </c>
      <c r="C9" s="15" t="s">
        <v>17858</v>
      </c>
      <c r="D9" s="15" t="s">
        <v>17859</v>
      </c>
      <c r="E9" s="15" t="s">
        <v>17860</v>
      </c>
      <c r="F9" s="15" t="s">
        <v>17861</v>
      </c>
      <c r="G9" s="15" t="s">
        <v>17860</v>
      </c>
      <c r="H9" s="16" t="s">
        <v>17861</v>
      </c>
    </row>
    <row r="10" spans="1:8" ht="101.25" x14ac:dyDescent="0.3">
      <c r="A10" s="13" t="s">
        <v>17862</v>
      </c>
      <c r="B10" s="22" t="s">
        <v>17863</v>
      </c>
      <c r="C10" s="15" t="s">
        <v>17864</v>
      </c>
      <c r="D10" s="15" t="s">
        <v>17865</v>
      </c>
      <c r="E10" s="15" t="s">
        <v>17866</v>
      </c>
      <c r="F10" s="15" t="s">
        <v>17867</v>
      </c>
      <c r="G10" s="15" t="s">
        <v>17868</v>
      </c>
      <c r="H10" s="16" t="s">
        <v>17869</v>
      </c>
    </row>
    <row r="11" spans="1:8" ht="45" x14ac:dyDescent="0.3">
      <c r="A11" s="13">
        <v>40102</v>
      </c>
      <c r="B11" s="22" t="s">
        <v>17870</v>
      </c>
      <c r="C11" s="15" t="s">
        <v>17871</v>
      </c>
      <c r="D11" s="15" t="s">
        <v>17872</v>
      </c>
      <c r="E11" s="15" t="s">
        <v>17873</v>
      </c>
      <c r="F11" s="15"/>
      <c r="G11" s="15" t="s">
        <v>17874</v>
      </c>
      <c r="H11" s="16" t="s">
        <v>17875</v>
      </c>
    </row>
    <row r="12" spans="1:8" ht="67.5" x14ac:dyDescent="0.3">
      <c r="A12" s="13" t="s">
        <v>17876</v>
      </c>
      <c r="B12" s="22" t="s">
        <v>17877</v>
      </c>
      <c r="C12" s="15" t="s">
        <v>17878</v>
      </c>
      <c r="D12" s="15" t="s">
        <v>17879</v>
      </c>
      <c r="E12" s="15" t="s">
        <v>17880</v>
      </c>
      <c r="F12" s="15" t="s">
        <v>17881</v>
      </c>
      <c r="G12" s="15" t="s">
        <v>17882</v>
      </c>
      <c r="H12" s="16" t="s">
        <v>17883</v>
      </c>
    </row>
    <row r="13" spans="1:8" ht="45" x14ac:dyDescent="0.3">
      <c r="A13" s="13" t="s">
        <v>17884</v>
      </c>
      <c r="B13" s="22" t="s">
        <v>17885</v>
      </c>
      <c r="C13" s="15" t="s">
        <v>17886</v>
      </c>
      <c r="D13" s="15" t="s">
        <v>17887</v>
      </c>
      <c r="E13" s="15" t="s">
        <v>17888</v>
      </c>
      <c r="F13" s="15" t="s">
        <v>17889</v>
      </c>
      <c r="G13" s="15" t="s">
        <v>17890</v>
      </c>
      <c r="H13" s="16" t="s">
        <v>17891</v>
      </c>
    </row>
    <row r="14" spans="1:8" ht="22.5" x14ac:dyDescent="0.3">
      <c r="A14" s="13" t="s">
        <v>17892</v>
      </c>
      <c r="B14" s="22" t="s">
        <v>17893</v>
      </c>
      <c r="C14" s="15" t="s">
        <v>17894</v>
      </c>
      <c r="D14" s="15" t="s">
        <v>17895</v>
      </c>
      <c r="E14" s="15" t="s">
        <v>17896</v>
      </c>
      <c r="F14" s="15" t="s">
        <v>17897</v>
      </c>
      <c r="G14" s="15" t="s">
        <v>17896</v>
      </c>
      <c r="H14" s="16" t="s">
        <v>17898</v>
      </c>
    </row>
    <row r="15" spans="1:8" ht="45" x14ac:dyDescent="0.3">
      <c r="A15" s="13" t="s">
        <v>17899</v>
      </c>
      <c r="B15" s="22" t="s">
        <v>17900</v>
      </c>
      <c r="C15" s="15" t="s">
        <v>17901</v>
      </c>
      <c r="D15" s="15" t="s">
        <v>17902</v>
      </c>
      <c r="E15" s="15" t="s">
        <v>17903</v>
      </c>
      <c r="F15" s="15" t="s">
        <v>17904</v>
      </c>
      <c r="G15" s="15" t="s">
        <v>17905</v>
      </c>
      <c r="H15" s="16" t="s">
        <v>17906</v>
      </c>
    </row>
    <row r="16" spans="1:8" ht="22.5" x14ac:dyDescent="0.3">
      <c r="A16" s="13" t="s">
        <v>17907</v>
      </c>
      <c r="B16" s="22" t="s">
        <v>17908</v>
      </c>
      <c r="C16" s="15" t="s">
        <v>17909</v>
      </c>
      <c r="D16" s="15" t="s">
        <v>17910</v>
      </c>
      <c r="E16" s="15" t="s">
        <v>17911</v>
      </c>
      <c r="F16" s="15" t="s">
        <v>17912</v>
      </c>
      <c r="G16" s="15" t="s">
        <v>17913</v>
      </c>
      <c r="H16" s="16" t="s">
        <v>17914</v>
      </c>
    </row>
    <row r="17" spans="1:8" x14ac:dyDescent="0.3">
      <c r="A17" s="13" t="s">
        <v>17915</v>
      </c>
      <c r="B17" s="22" t="s">
        <v>17916</v>
      </c>
      <c r="C17" s="15" t="s">
        <v>17917</v>
      </c>
      <c r="D17" s="15" t="s">
        <v>17918</v>
      </c>
      <c r="E17" s="15" t="s">
        <v>17919</v>
      </c>
      <c r="F17" s="15" t="s">
        <v>17920</v>
      </c>
      <c r="G17" s="15" t="s">
        <v>17919</v>
      </c>
      <c r="H17" s="16" t="s">
        <v>17921</v>
      </c>
    </row>
    <row r="18" spans="1:8" ht="22.5" x14ac:dyDescent="0.3">
      <c r="A18" s="13" t="s">
        <v>17922</v>
      </c>
      <c r="B18" s="22" t="s">
        <v>17923</v>
      </c>
      <c r="C18" s="15" t="s">
        <v>17924</v>
      </c>
      <c r="D18" s="15" t="s">
        <v>17925</v>
      </c>
      <c r="E18" s="15" t="s">
        <v>17926</v>
      </c>
      <c r="F18" s="15" t="s">
        <v>17927</v>
      </c>
      <c r="G18" s="15" t="s">
        <v>17928</v>
      </c>
      <c r="H18" s="16" t="s">
        <v>17929</v>
      </c>
    </row>
    <row r="19" spans="1:8" ht="45" x14ac:dyDescent="0.3">
      <c r="A19" s="13">
        <v>40103</v>
      </c>
      <c r="B19" s="22" t="s">
        <v>17930</v>
      </c>
      <c r="C19" s="15" t="s">
        <v>17931</v>
      </c>
      <c r="D19" s="15" t="s">
        <v>17932</v>
      </c>
      <c r="E19" s="15" t="s">
        <v>17933</v>
      </c>
      <c r="F19" s="15" t="s">
        <v>17934</v>
      </c>
      <c r="G19" s="15" t="s">
        <v>17935</v>
      </c>
      <c r="H19" s="16" t="s">
        <v>17936</v>
      </c>
    </row>
    <row r="20" spans="1:8" ht="90" x14ac:dyDescent="0.3">
      <c r="A20" s="13">
        <v>40104</v>
      </c>
      <c r="B20" s="22" t="s">
        <v>17937</v>
      </c>
      <c r="C20" s="15" t="s">
        <v>17938</v>
      </c>
      <c r="D20" s="15" t="s">
        <v>17939</v>
      </c>
      <c r="E20" s="15" t="s">
        <v>17940</v>
      </c>
      <c r="F20" s="15"/>
      <c r="G20" s="15" t="s">
        <v>17941</v>
      </c>
      <c r="H20" s="16" t="s">
        <v>17942</v>
      </c>
    </row>
    <row r="21" spans="1:8" ht="22.5" x14ac:dyDescent="0.3">
      <c r="A21" s="13">
        <v>40105</v>
      </c>
      <c r="B21" s="22" t="s">
        <v>17943</v>
      </c>
      <c r="C21" s="15" t="s">
        <v>17944</v>
      </c>
      <c r="D21" s="15" t="s">
        <v>17943</v>
      </c>
      <c r="E21" s="15"/>
      <c r="F21" s="15"/>
      <c r="G21" s="15" t="s">
        <v>17943</v>
      </c>
      <c r="H21" s="16" t="s">
        <v>17945</v>
      </c>
    </row>
    <row r="22" spans="1:8" ht="33.75" x14ac:dyDescent="0.3">
      <c r="A22" s="13" t="s">
        <v>17946</v>
      </c>
      <c r="B22" s="22" t="s">
        <v>17947</v>
      </c>
      <c r="C22" s="15" t="s">
        <v>17948</v>
      </c>
      <c r="D22" s="15" t="s">
        <v>17949</v>
      </c>
      <c r="E22" s="15" t="s">
        <v>17950</v>
      </c>
      <c r="F22" s="15" t="s">
        <v>17950</v>
      </c>
      <c r="G22" s="15" t="s">
        <v>17951</v>
      </c>
      <c r="H22" s="16" t="s">
        <v>17952</v>
      </c>
    </row>
    <row r="23" spans="1:8" ht="22.5" x14ac:dyDescent="0.3">
      <c r="A23" s="13" t="s">
        <v>17953</v>
      </c>
      <c r="B23" s="22" t="s">
        <v>17954</v>
      </c>
      <c r="C23" s="15" t="s">
        <v>17955</v>
      </c>
      <c r="D23" s="15" t="s">
        <v>17956</v>
      </c>
      <c r="E23" s="15" t="s">
        <v>17957</v>
      </c>
      <c r="F23" s="15" t="s">
        <v>17958</v>
      </c>
      <c r="G23" s="15" t="s">
        <v>17959</v>
      </c>
      <c r="H23" s="16" t="s">
        <v>17960</v>
      </c>
    </row>
    <row r="24" spans="1:8" ht="22.5" x14ac:dyDescent="0.3">
      <c r="A24" s="13" t="s">
        <v>17961</v>
      </c>
      <c r="B24" s="22" t="s">
        <v>17962</v>
      </c>
      <c r="C24" s="15" t="s">
        <v>17963</v>
      </c>
      <c r="D24" s="15" t="s">
        <v>17964</v>
      </c>
      <c r="E24" s="15" t="s">
        <v>17965</v>
      </c>
      <c r="F24" s="15" t="s">
        <v>17966</v>
      </c>
      <c r="G24" s="15" t="s">
        <v>17967</v>
      </c>
      <c r="H24" s="16" t="s">
        <v>17968</v>
      </c>
    </row>
    <row r="25" spans="1:8" ht="56.25" x14ac:dyDescent="0.3">
      <c r="A25" s="13" t="s">
        <v>17969</v>
      </c>
      <c r="B25" s="22" t="s">
        <v>17970</v>
      </c>
      <c r="C25" s="15" t="s">
        <v>17971</v>
      </c>
      <c r="D25" s="15" t="s">
        <v>17972</v>
      </c>
      <c r="E25" s="15" t="s">
        <v>17973</v>
      </c>
      <c r="F25" s="15" t="s">
        <v>17974</v>
      </c>
      <c r="G25" s="15" t="s">
        <v>17975</v>
      </c>
      <c r="H25" s="16" t="s">
        <v>17974</v>
      </c>
    </row>
    <row r="26" spans="1:8" ht="45" x14ac:dyDescent="0.3">
      <c r="A26" s="13" t="s">
        <v>17976</v>
      </c>
      <c r="B26" s="22" t="s">
        <v>17977</v>
      </c>
      <c r="C26" s="15"/>
      <c r="D26" s="15" t="s">
        <v>17978</v>
      </c>
      <c r="E26" s="15" t="s">
        <v>17979</v>
      </c>
      <c r="F26" s="15" t="s">
        <v>57</v>
      </c>
      <c r="G26" s="15" t="s">
        <v>17980</v>
      </c>
      <c r="H26" s="16" t="s">
        <v>17981</v>
      </c>
    </row>
    <row r="27" spans="1:8" ht="33.75" x14ac:dyDescent="0.3">
      <c r="A27" s="13" t="s">
        <v>17982</v>
      </c>
      <c r="B27" s="22" t="s">
        <v>17983</v>
      </c>
      <c r="C27" s="15" t="s">
        <v>17984</v>
      </c>
      <c r="D27" s="15" t="s">
        <v>17985</v>
      </c>
      <c r="E27" s="15" t="s">
        <v>17986</v>
      </c>
      <c r="F27" s="15" t="s">
        <v>17987</v>
      </c>
      <c r="G27" s="15" t="s">
        <v>17988</v>
      </c>
      <c r="H27" s="16" t="s">
        <v>17989</v>
      </c>
    </row>
    <row r="28" spans="1:8" ht="22.5" x14ac:dyDescent="0.3">
      <c r="A28" s="13" t="s">
        <v>17990</v>
      </c>
      <c r="B28" s="22" t="s">
        <v>17991</v>
      </c>
      <c r="C28" s="15" t="s">
        <v>17992</v>
      </c>
      <c r="D28" s="15"/>
      <c r="E28" s="15" t="s">
        <v>17993</v>
      </c>
      <c r="F28" s="15" t="s">
        <v>17994</v>
      </c>
      <c r="G28" s="15" t="s">
        <v>17995</v>
      </c>
      <c r="H28" s="16" t="s">
        <v>17996</v>
      </c>
    </row>
    <row r="29" spans="1:8" ht="56.25" x14ac:dyDescent="0.3">
      <c r="A29" s="13">
        <v>40106</v>
      </c>
      <c r="B29" s="22" t="s">
        <v>17997</v>
      </c>
      <c r="C29" s="15" t="s">
        <v>17998</v>
      </c>
      <c r="D29" s="15" t="s">
        <v>17999</v>
      </c>
      <c r="E29" s="15" t="s">
        <v>18000</v>
      </c>
      <c r="F29" s="15" t="s">
        <v>18001</v>
      </c>
      <c r="G29" s="15" t="s">
        <v>18002</v>
      </c>
      <c r="H29" s="16" t="s">
        <v>18003</v>
      </c>
    </row>
    <row r="30" spans="1:8" ht="112.5" x14ac:dyDescent="0.3">
      <c r="A30" s="13">
        <v>40107</v>
      </c>
      <c r="B30" s="22" t="s">
        <v>18004</v>
      </c>
      <c r="C30" s="15" t="s">
        <v>18005</v>
      </c>
      <c r="D30" s="15" t="s">
        <v>18006</v>
      </c>
      <c r="E30" s="15" t="s">
        <v>18004</v>
      </c>
      <c r="F30" s="15" t="s">
        <v>18007</v>
      </c>
      <c r="G30" s="15" t="s">
        <v>18008</v>
      </c>
      <c r="H30" s="16" t="s">
        <v>18009</v>
      </c>
    </row>
    <row r="31" spans="1:8" ht="135" x14ac:dyDescent="0.3">
      <c r="A31" s="13">
        <v>40108</v>
      </c>
      <c r="B31" s="22" t="s">
        <v>18010</v>
      </c>
      <c r="C31" s="15" t="s">
        <v>18011</v>
      </c>
      <c r="D31" s="15" t="s">
        <v>18012</v>
      </c>
      <c r="E31" s="15" t="s">
        <v>18013</v>
      </c>
      <c r="F31" s="15" t="s">
        <v>18014</v>
      </c>
      <c r="G31" s="15" t="s">
        <v>18015</v>
      </c>
      <c r="H31" s="16" t="s">
        <v>18016</v>
      </c>
    </row>
    <row r="32" spans="1:8" ht="33.75" x14ac:dyDescent="0.3">
      <c r="A32" s="13">
        <v>40109</v>
      </c>
      <c r="B32" s="22" t="s">
        <v>18017</v>
      </c>
      <c r="C32" s="15" t="s">
        <v>18018</v>
      </c>
      <c r="D32" s="15" t="s">
        <v>18019</v>
      </c>
      <c r="E32" s="15" t="s">
        <v>18020</v>
      </c>
      <c r="F32" s="15" t="s">
        <v>18021</v>
      </c>
      <c r="G32" s="15" t="s">
        <v>18022</v>
      </c>
      <c r="H32" s="16" t="s">
        <v>18023</v>
      </c>
    </row>
    <row r="33" spans="1:8" ht="33.75" x14ac:dyDescent="0.3">
      <c r="A33" s="13" t="s">
        <v>18024</v>
      </c>
      <c r="B33" s="22" t="s">
        <v>18025</v>
      </c>
      <c r="C33" s="15" t="s">
        <v>18026</v>
      </c>
      <c r="D33" s="15" t="s">
        <v>18027</v>
      </c>
      <c r="E33" s="15" t="s">
        <v>18028</v>
      </c>
      <c r="F33" s="15" t="s">
        <v>18029</v>
      </c>
      <c r="G33" s="15" t="s">
        <v>18030</v>
      </c>
      <c r="H33" s="16" t="s">
        <v>18031</v>
      </c>
    </row>
    <row r="34" spans="1:8" ht="56.25" x14ac:dyDescent="0.3">
      <c r="A34" s="13" t="s">
        <v>18032</v>
      </c>
      <c r="B34" s="22" t="s">
        <v>18033</v>
      </c>
      <c r="C34" s="15" t="s">
        <v>18034</v>
      </c>
      <c r="D34" s="15" t="s">
        <v>18035</v>
      </c>
      <c r="E34" s="15" t="s">
        <v>18036</v>
      </c>
      <c r="F34" s="15" t="s">
        <v>18037</v>
      </c>
      <c r="G34" s="15" t="s">
        <v>18038</v>
      </c>
      <c r="H34" s="16" t="s">
        <v>18039</v>
      </c>
    </row>
    <row r="35" spans="1:8" ht="45" x14ac:dyDescent="0.3">
      <c r="A35" s="13">
        <v>40110</v>
      </c>
      <c r="B35" s="22" t="s">
        <v>18040</v>
      </c>
      <c r="C35" s="15" t="s">
        <v>18041</v>
      </c>
      <c r="D35" s="15" t="s">
        <v>18042</v>
      </c>
      <c r="E35" s="15" t="s">
        <v>18043</v>
      </c>
      <c r="F35" s="15" t="s">
        <v>18044</v>
      </c>
      <c r="G35" s="15" t="s">
        <v>18045</v>
      </c>
      <c r="H35" s="16" t="s">
        <v>18046</v>
      </c>
    </row>
    <row r="36" spans="1:8" ht="22.5" x14ac:dyDescent="0.3">
      <c r="A36" s="13">
        <v>40111</v>
      </c>
      <c r="B36" s="22" t="s">
        <v>18004</v>
      </c>
      <c r="C36" s="15"/>
      <c r="D36" s="15" t="s">
        <v>18047</v>
      </c>
      <c r="E36" s="15" t="s">
        <v>57</v>
      </c>
      <c r="F36" s="15" t="s">
        <v>18048</v>
      </c>
      <c r="G36" s="15" t="s">
        <v>18049</v>
      </c>
      <c r="H36" s="16" t="s">
        <v>18050</v>
      </c>
    </row>
    <row r="37" spans="1:8" ht="67.5" x14ac:dyDescent="0.3">
      <c r="A37" s="13">
        <v>40112</v>
      </c>
      <c r="B37" s="22" t="s">
        <v>18051</v>
      </c>
      <c r="C37" s="15" t="s">
        <v>18052</v>
      </c>
      <c r="D37" s="15" t="s">
        <v>18053</v>
      </c>
      <c r="E37" s="15" t="s">
        <v>18054</v>
      </c>
      <c r="F37" s="15" t="s">
        <v>18055</v>
      </c>
      <c r="G37" s="15" t="s">
        <v>18056</v>
      </c>
      <c r="H37" s="16" t="s">
        <v>18057</v>
      </c>
    </row>
    <row r="38" spans="1:8" ht="33.75" x14ac:dyDescent="0.3">
      <c r="A38" s="13" t="s">
        <v>18058</v>
      </c>
      <c r="B38" s="22" t="s">
        <v>18059</v>
      </c>
      <c r="C38" s="15" t="s">
        <v>18060</v>
      </c>
      <c r="D38" s="15" t="s">
        <v>18061</v>
      </c>
      <c r="E38" s="15" t="s">
        <v>18062</v>
      </c>
      <c r="F38" s="15" t="s">
        <v>18063</v>
      </c>
      <c r="G38" s="15" t="s">
        <v>18064</v>
      </c>
      <c r="H38" s="16" t="s">
        <v>18065</v>
      </c>
    </row>
    <row r="39" spans="1:8" ht="78.75" x14ac:dyDescent="0.3">
      <c r="A39" s="13" t="s">
        <v>18066</v>
      </c>
      <c r="B39" s="22" t="s">
        <v>18067</v>
      </c>
      <c r="C39" s="15" t="s">
        <v>18068</v>
      </c>
      <c r="D39" s="15" t="s">
        <v>18069</v>
      </c>
      <c r="E39" s="15" t="s">
        <v>18070</v>
      </c>
      <c r="F39" s="15" t="s">
        <v>18071</v>
      </c>
      <c r="G39" s="15" t="s">
        <v>18072</v>
      </c>
      <c r="H39" s="16" t="s">
        <v>18073</v>
      </c>
    </row>
    <row r="40" spans="1:8" ht="33.75" x14ac:dyDescent="0.3">
      <c r="A40" s="13" t="s">
        <v>18074</v>
      </c>
      <c r="B40" s="22" t="s">
        <v>18075</v>
      </c>
      <c r="C40" s="15" t="s">
        <v>18076</v>
      </c>
      <c r="D40" s="15" t="s">
        <v>18077</v>
      </c>
      <c r="E40" s="15" t="s">
        <v>18078</v>
      </c>
      <c r="F40" s="15" t="s">
        <v>18079</v>
      </c>
      <c r="G40" s="15" t="s">
        <v>18080</v>
      </c>
      <c r="H40" s="16" t="s">
        <v>18081</v>
      </c>
    </row>
    <row r="41" spans="1:8" ht="45" x14ac:dyDescent="0.3">
      <c r="A41" s="13" t="s">
        <v>18082</v>
      </c>
      <c r="B41" s="22" t="s">
        <v>18083</v>
      </c>
      <c r="C41" s="15" t="s">
        <v>18084</v>
      </c>
      <c r="D41" s="15" t="s">
        <v>18085</v>
      </c>
      <c r="E41" s="15" t="s">
        <v>18086</v>
      </c>
      <c r="F41" s="15" t="s">
        <v>18087</v>
      </c>
      <c r="G41" s="15" t="s">
        <v>18088</v>
      </c>
      <c r="H41" s="16" t="s">
        <v>18089</v>
      </c>
    </row>
    <row r="42" spans="1:8" ht="22.5" x14ac:dyDescent="0.3">
      <c r="A42" s="13" t="s">
        <v>18090</v>
      </c>
      <c r="B42" s="22" t="s">
        <v>18091</v>
      </c>
      <c r="C42" s="15" t="s">
        <v>18092</v>
      </c>
      <c r="D42" s="15" t="s">
        <v>18093</v>
      </c>
      <c r="E42" s="15" t="s">
        <v>18094</v>
      </c>
      <c r="F42" s="15" t="s">
        <v>18095</v>
      </c>
      <c r="G42" s="15"/>
      <c r="H42" s="16" t="s">
        <v>18096</v>
      </c>
    </row>
    <row r="43" spans="1:8" ht="112.5" x14ac:dyDescent="0.3">
      <c r="A43" s="13">
        <v>40113</v>
      </c>
      <c r="B43" s="22" t="s">
        <v>18097</v>
      </c>
      <c r="C43" s="15" t="s">
        <v>18098</v>
      </c>
      <c r="D43" s="15" t="s">
        <v>18099</v>
      </c>
      <c r="E43" s="15" t="s">
        <v>18100</v>
      </c>
      <c r="F43" s="15" t="s">
        <v>18101</v>
      </c>
      <c r="G43" s="15" t="s">
        <v>18102</v>
      </c>
      <c r="H43" s="16" t="s">
        <v>18103</v>
      </c>
    </row>
    <row r="44" spans="1:8" ht="56.25" x14ac:dyDescent="0.3">
      <c r="A44" s="13" t="s">
        <v>18104</v>
      </c>
      <c r="B44" s="22" t="s">
        <v>18105</v>
      </c>
      <c r="C44" s="15" t="s">
        <v>18106</v>
      </c>
      <c r="D44" s="15" t="s">
        <v>18107</v>
      </c>
      <c r="E44" s="15" t="s">
        <v>18108</v>
      </c>
      <c r="F44" s="15" t="s">
        <v>18109</v>
      </c>
      <c r="G44" s="15" t="s">
        <v>18110</v>
      </c>
      <c r="H44" s="16" t="s">
        <v>18111</v>
      </c>
    </row>
    <row r="45" spans="1:8" ht="56.25" x14ac:dyDescent="0.3">
      <c r="A45" s="13" t="s">
        <v>18112</v>
      </c>
      <c r="B45" s="22" t="s">
        <v>18113</v>
      </c>
      <c r="C45" s="15" t="s">
        <v>18114</v>
      </c>
      <c r="D45" s="15" t="s">
        <v>18115</v>
      </c>
      <c r="E45" s="15" t="s">
        <v>18116</v>
      </c>
      <c r="F45" s="15" t="s">
        <v>18117</v>
      </c>
      <c r="G45" s="15" t="s">
        <v>18118</v>
      </c>
      <c r="H45" s="16" t="s">
        <v>18119</v>
      </c>
    </row>
    <row r="46" spans="1:8" ht="45" x14ac:dyDescent="0.3">
      <c r="A46" s="13" t="s">
        <v>18120</v>
      </c>
      <c r="B46" s="22" t="s">
        <v>18121</v>
      </c>
      <c r="C46" s="15" t="s">
        <v>18122</v>
      </c>
      <c r="D46" s="15" t="s">
        <v>18123</v>
      </c>
      <c r="E46" s="15" t="s">
        <v>18124</v>
      </c>
      <c r="F46" s="15" t="s">
        <v>18125</v>
      </c>
      <c r="G46" s="15" t="s">
        <v>18126</v>
      </c>
      <c r="H46" s="16" t="s">
        <v>18127</v>
      </c>
    </row>
    <row r="47" spans="1:8" ht="33.75" x14ac:dyDescent="0.3">
      <c r="A47" s="13" t="s">
        <v>18128</v>
      </c>
      <c r="B47" s="22" t="s">
        <v>18129</v>
      </c>
      <c r="C47" s="15" t="s">
        <v>18130</v>
      </c>
      <c r="D47" s="15" t="s">
        <v>57</v>
      </c>
      <c r="E47" s="15" t="s">
        <v>18131</v>
      </c>
      <c r="F47" s="15" t="s">
        <v>18132</v>
      </c>
      <c r="G47" s="15" t="s">
        <v>57</v>
      </c>
      <c r="H47" s="16" t="s">
        <v>18133</v>
      </c>
    </row>
    <row r="48" spans="1:8" ht="56.25" x14ac:dyDescent="0.3">
      <c r="A48" s="13">
        <v>40114</v>
      </c>
      <c r="B48" s="22" t="s">
        <v>18134</v>
      </c>
      <c r="C48" s="15" t="s">
        <v>18135</v>
      </c>
      <c r="D48" s="15" t="s">
        <v>18136</v>
      </c>
      <c r="E48" s="15" t="s">
        <v>18137</v>
      </c>
      <c r="F48" s="15" t="s">
        <v>18138</v>
      </c>
      <c r="G48" s="15" t="s">
        <v>18139</v>
      </c>
      <c r="H48" s="16" t="s">
        <v>18140</v>
      </c>
    </row>
    <row r="49" spans="1:8" ht="101.25" x14ac:dyDescent="0.3">
      <c r="A49" s="13">
        <v>40115</v>
      </c>
      <c r="B49" s="22" t="s">
        <v>18141</v>
      </c>
      <c r="C49" s="15" t="s">
        <v>18142</v>
      </c>
      <c r="D49" s="15" t="s">
        <v>18143</v>
      </c>
      <c r="E49" s="15" t="s">
        <v>18144</v>
      </c>
      <c r="F49" s="15" t="s">
        <v>18145</v>
      </c>
      <c r="G49" s="15" t="s">
        <v>18146</v>
      </c>
      <c r="H49" s="16" t="s">
        <v>18147</v>
      </c>
    </row>
    <row r="50" spans="1:8" ht="22.5" x14ac:dyDescent="0.3">
      <c r="A50" s="13">
        <v>40116</v>
      </c>
      <c r="B50" s="22" t="s">
        <v>18148</v>
      </c>
      <c r="C50" s="15" t="s">
        <v>18149</v>
      </c>
      <c r="D50" s="15" t="s">
        <v>18150</v>
      </c>
      <c r="E50" s="15" t="s">
        <v>18151</v>
      </c>
      <c r="F50" s="15" t="s">
        <v>18152</v>
      </c>
      <c r="G50" s="15" t="s">
        <v>18153</v>
      </c>
      <c r="H50" s="16" t="s">
        <v>18154</v>
      </c>
    </row>
    <row r="51" spans="1:8" ht="78.75" x14ac:dyDescent="0.3">
      <c r="A51" s="13">
        <v>40117</v>
      </c>
      <c r="B51" s="22" t="s">
        <v>18155</v>
      </c>
      <c r="C51" s="15" t="s">
        <v>18156</v>
      </c>
      <c r="D51" s="15" t="s">
        <v>18157</v>
      </c>
      <c r="E51" s="15" t="s">
        <v>18158</v>
      </c>
      <c r="F51" s="15" t="s">
        <v>18159</v>
      </c>
      <c r="G51" s="15" t="s">
        <v>18160</v>
      </c>
      <c r="H51" s="16" t="s">
        <v>18161</v>
      </c>
    </row>
    <row r="52" spans="1:8" ht="56.25" x14ac:dyDescent="0.3">
      <c r="A52" s="13">
        <v>40118</v>
      </c>
      <c r="B52" s="22" t="s">
        <v>18162</v>
      </c>
      <c r="C52" s="15" t="s">
        <v>18163</v>
      </c>
      <c r="D52" s="15" t="s">
        <v>18164</v>
      </c>
      <c r="E52" s="15" t="s">
        <v>18165</v>
      </c>
      <c r="F52" s="15" t="s">
        <v>18166</v>
      </c>
      <c r="G52" s="15" t="s">
        <v>18167</v>
      </c>
      <c r="H52" s="16" t="s">
        <v>18168</v>
      </c>
    </row>
    <row r="53" spans="1:8" ht="157.5" x14ac:dyDescent="0.3">
      <c r="A53" s="13">
        <v>40119</v>
      </c>
      <c r="B53" s="22" t="s">
        <v>18169</v>
      </c>
      <c r="C53" s="15" t="s">
        <v>18170</v>
      </c>
      <c r="D53" s="15" t="s">
        <v>18171</v>
      </c>
      <c r="E53" s="15" t="s">
        <v>18172</v>
      </c>
      <c r="F53" s="15" t="s">
        <v>18173</v>
      </c>
      <c r="G53" s="15" t="s">
        <v>18174</v>
      </c>
      <c r="H53" s="16" t="s">
        <v>18175</v>
      </c>
    </row>
    <row r="54" spans="1:8" ht="90" x14ac:dyDescent="0.3">
      <c r="A54" s="13">
        <v>40120</v>
      </c>
      <c r="B54" s="22" t="s">
        <v>18176</v>
      </c>
      <c r="C54" s="15" t="s">
        <v>18177</v>
      </c>
      <c r="D54" s="15" t="s">
        <v>18178</v>
      </c>
      <c r="E54" s="15" t="s">
        <v>18179</v>
      </c>
      <c r="F54" s="15" t="s">
        <v>18180</v>
      </c>
      <c r="G54" s="15" t="s">
        <v>18181</v>
      </c>
      <c r="H54" s="16" t="s">
        <v>18182</v>
      </c>
    </row>
    <row r="55" spans="1:8" ht="45" x14ac:dyDescent="0.3">
      <c r="A55" s="13">
        <v>40121</v>
      </c>
      <c r="B55" s="22" t="s">
        <v>18183</v>
      </c>
      <c r="C55" s="15" t="s">
        <v>18184</v>
      </c>
      <c r="D55" s="15" t="s">
        <v>18185</v>
      </c>
      <c r="E55" s="15" t="s">
        <v>18186</v>
      </c>
      <c r="F55" s="15" t="s">
        <v>18187</v>
      </c>
      <c r="G55" s="15" t="s">
        <v>18188</v>
      </c>
      <c r="H55" s="16" t="s">
        <v>18189</v>
      </c>
    </row>
    <row r="56" spans="1:8" ht="45" x14ac:dyDescent="0.3">
      <c r="A56" s="13">
        <v>40122</v>
      </c>
      <c r="B56" s="22" t="s">
        <v>18190</v>
      </c>
      <c r="C56" s="15" t="s">
        <v>18191</v>
      </c>
      <c r="D56" s="15" t="s">
        <v>18192</v>
      </c>
      <c r="E56" s="15" t="s">
        <v>18193</v>
      </c>
      <c r="F56" s="15" t="s">
        <v>18194</v>
      </c>
      <c r="G56" s="15" t="s">
        <v>18195</v>
      </c>
      <c r="H56" s="16" t="s">
        <v>18196</v>
      </c>
    </row>
    <row r="57" spans="1:8" ht="112.5" x14ac:dyDescent="0.3">
      <c r="A57" s="13">
        <v>40123</v>
      </c>
      <c r="B57" s="22" t="s">
        <v>18197</v>
      </c>
      <c r="C57" s="15" t="s">
        <v>18198</v>
      </c>
      <c r="D57" s="15" t="s">
        <v>18199</v>
      </c>
      <c r="E57" s="15" t="s">
        <v>18200</v>
      </c>
      <c r="F57" s="15" t="s">
        <v>18201</v>
      </c>
      <c r="G57" s="15" t="s">
        <v>18202</v>
      </c>
      <c r="H57" s="16" t="s">
        <v>18203</v>
      </c>
    </row>
    <row r="58" spans="1:8" ht="180" x14ac:dyDescent="0.3">
      <c r="A58" s="13">
        <v>40124</v>
      </c>
      <c r="B58" s="22" t="s">
        <v>18204</v>
      </c>
      <c r="C58" s="15" t="s">
        <v>18205</v>
      </c>
      <c r="D58" s="15" t="s">
        <v>18206</v>
      </c>
      <c r="E58" s="15" t="s">
        <v>18207</v>
      </c>
      <c r="F58" s="15" t="s">
        <v>18208</v>
      </c>
      <c r="G58" s="15" t="s">
        <v>18209</v>
      </c>
      <c r="H58" s="16" t="s">
        <v>18210</v>
      </c>
    </row>
    <row r="59" spans="1:8" ht="67.5" x14ac:dyDescent="0.3">
      <c r="A59" s="13">
        <v>40125</v>
      </c>
      <c r="B59" s="22" t="s">
        <v>18211</v>
      </c>
      <c r="C59" s="15" t="s">
        <v>18212</v>
      </c>
      <c r="D59" s="15" t="s">
        <v>18213</v>
      </c>
      <c r="E59" s="15" t="s">
        <v>18214</v>
      </c>
      <c r="F59" s="15" t="s">
        <v>18215</v>
      </c>
      <c r="G59" s="15" t="s">
        <v>18216</v>
      </c>
      <c r="H59" s="16" t="s">
        <v>18217</v>
      </c>
    </row>
    <row r="60" spans="1:8" ht="56.25" x14ac:dyDescent="0.3">
      <c r="A60" s="13">
        <v>40126</v>
      </c>
      <c r="B60" s="22" t="s">
        <v>18218</v>
      </c>
      <c r="C60" s="15" t="s">
        <v>18219</v>
      </c>
      <c r="D60" s="15" t="s">
        <v>18220</v>
      </c>
      <c r="E60" s="15" t="s">
        <v>18221</v>
      </c>
      <c r="F60" s="15" t="s">
        <v>18222</v>
      </c>
      <c r="G60" s="15" t="s">
        <v>18223</v>
      </c>
      <c r="H60" s="16" t="s">
        <v>18224</v>
      </c>
    </row>
    <row r="61" spans="1:8" ht="56.25" x14ac:dyDescent="0.3">
      <c r="A61" s="13">
        <v>40127</v>
      </c>
      <c r="B61" s="22" t="s">
        <v>18225</v>
      </c>
      <c r="C61" s="15" t="s">
        <v>18226</v>
      </c>
      <c r="D61" s="15" t="s">
        <v>18227</v>
      </c>
      <c r="E61" s="15" t="s">
        <v>18228</v>
      </c>
      <c r="F61" s="15" t="s">
        <v>18229</v>
      </c>
      <c r="G61" s="15" t="s">
        <v>18230</v>
      </c>
      <c r="H61" s="16" t="s">
        <v>18231</v>
      </c>
    </row>
    <row r="62" spans="1:8" ht="33.75" x14ac:dyDescent="0.3">
      <c r="A62" s="13">
        <v>40128</v>
      </c>
      <c r="B62" s="22" t="s">
        <v>18232</v>
      </c>
      <c r="C62" s="15" t="s">
        <v>18233</v>
      </c>
      <c r="D62" s="15" t="s">
        <v>18234</v>
      </c>
      <c r="E62" s="15" t="s">
        <v>18235</v>
      </c>
      <c r="F62" s="15" t="s">
        <v>18236</v>
      </c>
      <c r="G62" s="15" t="s">
        <v>18237</v>
      </c>
      <c r="H62" s="16" t="s">
        <v>18238</v>
      </c>
    </row>
    <row r="63" spans="1:8" ht="33.75" x14ac:dyDescent="0.3">
      <c r="A63" s="13">
        <v>40201</v>
      </c>
      <c r="B63" s="22" t="s">
        <v>19738</v>
      </c>
      <c r="C63" s="15" t="s">
        <v>18239</v>
      </c>
      <c r="D63" s="15"/>
      <c r="E63" s="15" t="s">
        <v>18240</v>
      </c>
      <c r="F63" s="15" t="s">
        <v>18241</v>
      </c>
      <c r="G63" s="15" t="s">
        <v>18242</v>
      </c>
      <c r="H63" s="16" t="s">
        <v>18243</v>
      </c>
    </row>
    <row r="64" spans="1:8" ht="56.25" x14ac:dyDescent="0.3">
      <c r="A64" s="13">
        <v>40202</v>
      </c>
      <c r="B64" s="22" t="s">
        <v>19738</v>
      </c>
      <c r="C64" s="15" t="s">
        <v>18244</v>
      </c>
      <c r="D64" s="15" t="s">
        <v>18245</v>
      </c>
      <c r="E64" s="15" t="s">
        <v>18246</v>
      </c>
      <c r="F64" s="15" t="s">
        <v>5195</v>
      </c>
      <c r="G64" s="15" t="s">
        <v>18247</v>
      </c>
      <c r="H64" s="16" t="s">
        <v>5195</v>
      </c>
    </row>
    <row r="65" spans="1:8" ht="101.25" x14ac:dyDescent="0.3">
      <c r="A65" s="13">
        <v>40203</v>
      </c>
      <c r="B65" s="22" t="s">
        <v>19739</v>
      </c>
      <c r="C65" s="15" t="s">
        <v>18248</v>
      </c>
      <c r="D65" s="15" t="s">
        <v>18249</v>
      </c>
      <c r="E65" s="15" t="s">
        <v>18250</v>
      </c>
      <c r="F65" s="15" t="s">
        <v>18251</v>
      </c>
      <c r="G65" s="15" t="s">
        <v>18252</v>
      </c>
      <c r="H65" s="16" t="s">
        <v>18253</v>
      </c>
    </row>
    <row r="66" spans="1:8" ht="90" x14ac:dyDescent="0.3">
      <c r="A66" s="13">
        <v>40204</v>
      </c>
      <c r="B66" s="22" t="s">
        <v>19740</v>
      </c>
      <c r="C66" s="15" t="s">
        <v>18254</v>
      </c>
      <c r="D66" s="15" t="s">
        <v>18255</v>
      </c>
      <c r="E66" s="15" t="s">
        <v>18256</v>
      </c>
      <c r="F66" s="15" t="s">
        <v>18257</v>
      </c>
      <c r="G66" s="15" t="s">
        <v>18258</v>
      </c>
      <c r="H66" s="16" t="s">
        <v>18259</v>
      </c>
    </row>
    <row r="67" spans="1:8" ht="112.5" x14ac:dyDescent="0.3">
      <c r="A67" s="13">
        <v>40205</v>
      </c>
      <c r="B67" s="22" t="s">
        <v>19741</v>
      </c>
      <c r="C67" s="15" t="s">
        <v>18260</v>
      </c>
      <c r="D67" s="15" t="s">
        <v>18261</v>
      </c>
      <c r="E67" s="15" t="s">
        <v>18262</v>
      </c>
      <c r="F67" s="15" t="s">
        <v>18263</v>
      </c>
      <c r="G67" s="15" t="s">
        <v>18264</v>
      </c>
      <c r="H67" s="16" t="s">
        <v>18265</v>
      </c>
    </row>
    <row r="68" spans="1:8" ht="22.5" x14ac:dyDescent="0.3">
      <c r="A68" s="13">
        <v>40206</v>
      </c>
      <c r="B68" s="22" t="s">
        <v>19742</v>
      </c>
      <c r="C68" s="15" t="s">
        <v>18266</v>
      </c>
      <c r="D68" s="15" t="s">
        <v>57</v>
      </c>
      <c r="E68" s="15" t="s">
        <v>18267</v>
      </c>
      <c r="F68" s="15" t="s">
        <v>18268</v>
      </c>
      <c r="G68" s="15" t="s">
        <v>57</v>
      </c>
      <c r="H68" s="16" t="s">
        <v>18269</v>
      </c>
    </row>
    <row r="69" spans="1:8" ht="45" x14ac:dyDescent="0.3">
      <c r="A69" s="13">
        <v>40207</v>
      </c>
      <c r="B69" s="22" t="s">
        <v>19743</v>
      </c>
      <c r="C69" s="15" t="s">
        <v>18270</v>
      </c>
      <c r="D69" s="15" t="s">
        <v>18271</v>
      </c>
      <c r="E69" s="15" t="s">
        <v>18272</v>
      </c>
      <c r="F69" s="15" t="s">
        <v>18273</v>
      </c>
      <c r="G69" s="15" t="s">
        <v>18274</v>
      </c>
      <c r="H69" s="16" t="s">
        <v>18275</v>
      </c>
    </row>
    <row r="70" spans="1:8" ht="33.75" x14ac:dyDescent="0.3">
      <c r="A70" s="13">
        <v>40208</v>
      </c>
      <c r="B70" s="22" t="s">
        <v>19744</v>
      </c>
      <c r="C70" s="15" t="s">
        <v>18276</v>
      </c>
      <c r="D70" s="15"/>
      <c r="E70" s="15" t="s">
        <v>18277</v>
      </c>
      <c r="F70" s="15" t="s">
        <v>18278</v>
      </c>
      <c r="G70" s="15" t="s">
        <v>18279</v>
      </c>
      <c r="H70" s="16" t="s">
        <v>18280</v>
      </c>
    </row>
    <row r="71" spans="1:8" ht="45" x14ac:dyDescent="0.3">
      <c r="A71" s="13">
        <v>40209</v>
      </c>
      <c r="B71" s="22" t="s">
        <v>19745</v>
      </c>
      <c r="C71" s="15" t="s">
        <v>18281</v>
      </c>
      <c r="D71" s="15" t="s">
        <v>18282</v>
      </c>
      <c r="E71" s="15" t="s">
        <v>18283</v>
      </c>
      <c r="F71" s="15" t="s">
        <v>18284</v>
      </c>
      <c r="G71" s="15" t="s">
        <v>18285</v>
      </c>
      <c r="H71" s="16" t="s">
        <v>18286</v>
      </c>
    </row>
    <row r="72" spans="1:8" ht="22.5" x14ac:dyDescent="0.3">
      <c r="A72" s="13">
        <v>40210</v>
      </c>
      <c r="B72" s="22" t="s">
        <v>19746</v>
      </c>
      <c r="C72" s="15" t="s">
        <v>18287</v>
      </c>
      <c r="D72" s="15" t="s">
        <v>18288</v>
      </c>
      <c r="E72" s="15" t="s">
        <v>18289</v>
      </c>
      <c r="F72" s="15" t="s">
        <v>18290</v>
      </c>
      <c r="G72" s="15" t="s">
        <v>18291</v>
      </c>
      <c r="H72" s="16" t="s">
        <v>18292</v>
      </c>
    </row>
    <row r="73" spans="1:8" ht="22.5" x14ac:dyDescent="0.3">
      <c r="A73" s="13">
        <v>40211</v>
      </c>
      <c r="B73" s="22" t="s">
        <v>19747</v>
      </c>
      <c r="C73" s="15" t="s">
        <v>18293</v>
      </c>
      <c r="D73" s="15"/>
      <c r="E73" s="15" t="s">
        <v>18294</v>
      </c>
      <c r="F73" s="15" t="s">
        <v>18295</v>
      </c>
      <c r="G73" s="15" t="s">
        <v>18296</v>
      </c>
      <c r="H73" s="16" t="s">
        <v>18297</v>
      </c>
    </row>
    <row r="74" spans="1:8" ht="112.5" x14ac:dyDescent="0.3">
      <c r="A74" s="13">
        <v>40212</v>
      </c>
      <c r="B74" s="22" t="s">
        <v>18298</v>
      </c>
      <c r="C74" s="15" t="s">
        <v>18299</v>
      </c>
      <c r="D74" s="15" t="s">
        <v>18300</v>
      </c>
      <c r="E74" s="15" t="s">
        <v>18301</v>
      </c>
      <c r="F74" s="15" t="s">
        <v>18302</v>
      </c>
      <c r="G74" s="15" t="s">
        <v>18303</v>
      </c>
      <c r="H74" s="16" t="s">
        <v>18304</v>
      </c>
    </row>
    <row r="75" spans="1:8" ht="56.25" x14ac:dyDescent="0.3">
      <c r="A75" s="13">
        <v>40213</v>
      </c>
      <c r="B75" s="22" t="s">
        <v>19748</v>
      </c>
      <c r="C75" s="15" t="s">
        <v>18305</v>
      </c>
      <c r="D75" s="15" t="s">
        <v>18306</v>
      </c>
      <c r="E75" s="15" t="s">
        <v>18307</v>
      </c>
      <c r="F75" s="15" t="s">
        <v>18308</v>
      </c>
      <c r="G75" s="15" t="s">
        <v>18309</v>
      </c>
      <c r="H75" s="16" t="s">
        <v>18310</v>
      </c>
    </row>
    <row r="76" spans="1:8" ht="33.75" x14ac:dyDescent="0.3">
      <c r="A76" s="13">
        <v>40214</v>
      </c>
      <c r="B76" s="22" t="s">
        <v>19749</v>
      </c>
      <c r="C76" s="15" t="s">
        <v>18311</v>
      </c>
      <c r="D76" s="15" t="s">
        <v>18312</v>
      </c>
      <c r="E76" s="15" t="s">
        <v>18313</v>
      </c>
      <c r="F76" s="15" t="s">
        <v>18314</v>
      </c>
      <c r="G76" s="15" t="s">
        <v>18315</v>
      </c>
      <c r="H76" s="16" t="s">
        <v>18316</v>
      </c>
    </row>
    <row r="77" spans="1:8" ht="33.75" x14ac:dyDescent="0.3">
      <c r="A77" s="13">
        <v>40215</v>
      </c>
      <c r="B77" s="22" t="s">
        <v>19750</v>
      </c>
      <c r="C77" s="15" t="s">
        <v>18317</v>
      </c>
      <c r="D77" s="15" t="s">
        <v>18318</v>
      </c>
      <c r="E77" s="15" t="s">
        <v>18319</v>
      </c>
      <c r="F77" s="15" t="s">
        <v>18319</v>
      </c>
      <c r="G77" s="15" t="s">
        <v>18320</v>
      </c>
      <c r="H77" s="16" t="s">
        <v>18321</v>
      </c>
    </row>
    <row r="78" spans="1:8" ht="33.75" x14ac:dyDescent="0.3">
      <c r="A78" s="13">
        <v>40216</v>
      </c>
      <c r="B78" s="22" t="s">
        <v>19751</v>
      </c>
      <c r="C78" s="15" t="s">
        <v>18322</v>
      </c>
      <c r="D78" s="15"/>
      <c r="E78" s="15" t="s">
        <v>18323</v>
      </c>
      <c r="F78" s="15" t="s">
        <v>18324</v>
      </c>
      <c r="G78" s="15" t="s">
        <v>18325</v>
      </c>
      <c r="H78" s="16" t="s">
        <v>18326</v>
      </c>
    </row>
    <row r="79" spans="1:8" ht="168.75" x14ac:dyDescent="0.3">
      <c r="A79" s="13">
        <v>40217</v>
      </c>
      <c r="B79" s="22" t="s">
        <v>19752</v>
      </c>
      <c r="C79" s="15" t="s">
        <v>18327</v>
      </c>
      <c r="D79" s="15" t="s">
        <v>18328</v>
      </c>
      <c r="E79" s="15" t="s">
        <v>18329</v>
      </c>
      <c r="F79" s="15" t="s">
        <v>18330</v>
      </c>
      <c r="G79" s="15" t="s">
        <v>18331</v>
      </c>
      <c r="H79" s="16" t="s">
        <v>18332</v>
      </c>
    </row>
    <row r="80" spans="1:8" ht="45" x14ac:dyDescent="0.3">
      <c r="A80" s="13">
        <v>40218</v>
      </c>
      <c r="B80" s="22" t="s">
        <v>19753</v>
      </c>
      <c r="C80" s="15" t="s">
        <v>18333</v>
      </c>
      <c r="D80" s="15" t="s">
        <v>18334</v>
      </c>
      <c r="E80" s="15" t="s">
        <v>18335</v>
      </c>
      <c r="F80" s="15" t="s">
        <v>18336</v>
      </c>
      <c r="G80" s="15" t="s">
        <v>18337</v>
      </c>
      <c r="H80" s="16" t="s">
        <v>18338</v>
      </c>
    </row>
    <row r="81" spans="1:8" ht="135" x14ac:dyDescent="0.3">
      <c r="A81" s="13">
        <v>40219</v>
      </c>
      <c r="B81" s="22" t="s">
        <v>19754</v>
      </c>
      <c r="C81" s="15" t="s">
        <v>18339</v>
      </c>
      <c r="D81" s="15" t="s">
        <v>18340</v>
      </c>
      <c r="E81" s="15" t="s">
        <v>18341</v>
      </c>
      <c r="F81" s="15" t="s">
        <v>18342</v>
      </c>
      <c r="G81" s="15" t="s">
        <v>18343</v>
      </c>
      <c r="H81" s="16" t="s">
        <v>18344</v>
      </c>
    </row>
    <row r="82" spans="1:8" ht="78.75" x14ac:dyDescent="0.3">
      <c r="A82" s="13">
        <v>40220</v>
      </c>
      <c r="B82" s="22" t="s">
        <v>19755</v>
      </c>
      <c r="C82" s="15" t="s">
        <v>18345</v>
      </c>
      <c r="D82" s="15" t="s">
        <v>18346</v>
      </c>
      <c r="E82" s="15" t="s">
        <v>18347</v>
      </c>
      <c r="F82" s="15" t="s">
        <v>18348</v>
      </c>
      <c r="G82" s="15" t="s">
        <v>18349</v>
      </c>
      <c r="H82" s="16" t="s">
        <v>18350</v>
      </c>
    </row>
    <row r="83" spans="1:8" ht="101.25" x14ac:dyDescent="0.3">
      <c r="A83" s="13">
        <v>40221</v>
      </c>
      <c r="B83" s="22" t="s">
        <v>19756</v>
      </c>
      <c r="C83" s="15" t="s">
        <v>18351</v>
      </c>
      <c r="D83" s="15" t="s">
        <v>18352</v>
      </c>
      <c r="E83" s="15" t="s">
        <v>18353</v>
      </c>
      <c r="F83" s="15" t="s">
        <v>18354</v>
      </c>
      <c r="G83" s="15" t="s">
        <v>18355</v>
      </c>
      <c r="H83" s="16" t="s">
        <v>18356</v>
      </c>
    </row>
    <row r="84" spans="1:8" ht="56.25" x14ac:dyDescent="0.3">
      <c r="A84" s="13">
        <v>40222</v>
      </c>
      <c r="B84" s="22" t="s">
        <v>19757</v>
      </c>
      <c r="C84" s="15" t="s">
        <v>18357</v>
      </c>
      <c r="D84" s="15" t="s">
        <v>18358</v>
      </c>
      <c r="E84" s="15" t="s">
        <v>18359</v>
      </c>
      <c r="F84" s="15" t="s">
        <v>18360</v>
      </c>
      <c r="G84" s="15" t="s">
        <v>18361</v>
      </c>
      <c r="H84" s="16" t="s">
        <v>18362</v>
      </c>
    </row>
    <row r="85" spans="1:8" ht="22.5" x14ac:dyDescent="0.3">
      <c r="A85" s="13">
        <v>40223</v>
      </c>
      <c r="B85" s="22" t="s">
        <v>19758</v>
      </c>
      <c r="C85" s="15" t="s">
        <v>18363</v>
      </c>
      <c r="D85" s="15" t="s">
        <v>18364</v>
      </c>
      <c r="E85" s="15" t="s">
        <v>18365</v>
      </c>
      <c r="F85" s="15" t="s">
        <v>18366</v>
      </c>
      <c r="G85" s="15" t="s">
        <v>18367</v>
      </c>
      <c r="H85" s="16" t="s">
        <v>18368</v>
      </c>
    </row>
    <row r="86" spans="1:8" ht="45" x14ac:dyDescent="0.3">
      <c r="A86" s="13">
        <v>40224</v>
      </c>
      <c r="B86" s="22" t="s">
        <v>19759</v>
      </c>
      <c r="C86" s="15" t="s">
        <v>18369</v>
      </c>
      <c r="D86" s="15"/>
      <c r="E86" s="15" t="s">
        <v>18370</v>
      </c>
      <c r="F86" s="15" t="s">
        <v>18371</v>
      </c>
      <c r="G86" s="15" t="s">
        <v>18372</v>
      </c>
      <c r="H86" s="16" t="s">
        <v>18373</v>
      </c>
    </row>
    <row r="87" spans="1:8" ht="33.75" x14ac:dyDescent="0.3">
      <c r="A87" s="13">
        <v>40225</v>
      </c>
      <c r="B87" s="22" t="s">
        <v>19760</v>
      </c>
      <c r="C87" s="15" t="s">
        <v>18374</v>
      </c>
      <c r="D87" s="15" t="s">
        <v>18375</v>
      </c>
      <c r="E87" s="15" t="s">
        <v>18376</v>
      </c>
      <c r="F87" s="15" t="s">
        <v>18377</v>
      </c>
      <c r="G87" s="15" t="s">
        <v>18378</v>
      </c>
      <c r="H87" s="16" t="s">
        <v>18379</v>
      </c>
    </row>
    <row r="88" spans="1:8" ht="33.75" x14ac:dyDescent="0.3">
      <c r="A88" s="13">
        <v>40226</v>
      </c>
      <c r="B88" s="22" t="s">
        <v>19761</v>
      </c>
      <c r="C88" s="15" t="s">
        <v>18380</v>
      </c>
      <c r="D88" s="15" t="s">
        <v>18381</v>
      </c>
      <c r="E88" s="15" t="s">
        <v>18382</v>
      </c>
      <c r="F88" s="15" t="s">
        <v>6763</v>
      </c>
      <c r="G88" s="15" t="s">
        <v>6763</v>
      </c>
      <c r="H88" s="16" t="s">
        <v>18383</v>
      </c>
    </row>
    <row r="89" spans="1:8" ht="22.5" x14ac:dyDescent="0.3">
      <c r="A89" s="13" t="s">
        <v>18384</v>
      </c>
      <c r="B89" s="22" t="s">
        <v>18385</v>
      </c>
      <c r="C89" s="15" t="s">
        <v>57</v>
      </c>
      <c r="D89" s="15"/>
      <c r="E89" s="15"/>
      <c r="F89" s="15"/>
      <c r="G89" s="15" t="s">
        <v>57</v>
      </c>
      <c r="H89" s="16" t="s">
        <v>18386</v>
      </c>
    </row>
    <row r="90" spans="1:8" ht="22.5" x14ac:dyDescent="0.3">
      <c r="A90" s="13">
        <v>40227</v>
      </c>
      <c r="B90" s="22" t="s">
        <v>18387</v>
      </c>
      <c r="C90" s="15" t="s">
        <v>18388</v>
      </c>
      <c r="D90" s="15" t="s">
        <v>6681</v>
      </c>
      <c r="E90" s="15" t="s">
        <v>18389</v>
      </c>
      <c r="F90" s="15" t="s">
        <v>6681</v>
      </c>
      <c r="G90" s="15" t="s">
        <v>18390</v>
      </c>
      <c r="H90" s="16" t="s">
        <v>6678</v>
      </c>
    </row>
    <row r="91" spans="1:8" ht="22.5" x14ac:dyDescent="0.3">
      <c r="A91" s="13" t="s">
        <v>18391</v>
      </c>
      <c r="B91" s="22" t="s">
        <v>18392</v>
      </c>
      <c r="C91" s="15" t="s">
        <v>18393</v>
      </c>
      <c r="D91" s="15"/>
      <c r="E91" s="15"/>
      <c r="F91" s="15"/>
      <c r="G91" s="15" t="s">
        <v>57</v>
      </c>
      <c r="H91" s="16"/>
    </row>
    <row r="92" spans="1:8" ht="45" x14ac:dyDescent="0.3">
      <c r="A92" s="13">
        <v>40228</v>
      </c>
      <c r="B92" s="22" t="s">
        <v>19762</v>
      </c>
      <c r="C92" s="15" t="s">
        <v>18394</v>
      </c>
      <c r="D92" s="15" t="s">
        <v>18395</v>
      </c>
      <c r="E92" s="15" t="s">
        <v>18396</v>
      </c>
      <c r="F92" s="15" t="s">
        <v>18397</v>
      </c>
      <c r="G92" s="15" t="s">
        <v>18398</v>
      </c>
      <c r="H92" s="16" t="s">
        <v>18399</v>
      </c>
    </row>
    <row r="93" spans="1:8" ht="33.75" x14ac:dyDescent="0.3">
      <c r="A93" s="13">
        <v>40229</v>
      </c>
      <c r="B93" s="22" t="s">
        <v>19763</v>
      </c>
      <c r="C93" s="15" t="s">
        <v>18400</v>
      </c>
      <c r="D93" s="15" t="s">
        <v>18401</v>
      </c>
      <c r="E93" s="15" t="s">
        <v>18402</v>
      </c>
      <c r="F93" s="15" t="s">
        <v>57</v>
      </c>
      <c r="G93" s="15" t="s">
        <v>18403</v>
      </c>
      <c r="H93" s="16" t="s">
        <v>18404</v>
      </c>
    </row>
    <row r="94" spans="1:8" ht="78.75" x14ac:dyDescent="0.3">
      <c r="A94" s="13">
        <v>40230</v>
      </c>
      <c r="B94" s="22" t="s">
        <v>19764</v>
      </c>
      <c r="C94" s="15" t="s">
        <v>18405</v>
      </c>
      <c r="D94" s="15" t="s">
        <v>18406</v>
      </c>
      <c r="E94" s="15" t="s">
        <v>18407</v>
      </c>
      <c r="F94" s="15" t="s">
        <v>18408</v>
      </c>
      <c r="G94" s="15" t="s">
        <v>18409</v>
      </c>
      <c r="H94" s="16" t="s">
        <v>18410</v>
      </c>
    </row>
    <row r="95" spans="1:8" x14ac:dyDescent="0.3">
      <c r="A95" s="13">
        <v>40231</v>
      </c>
      <c r="B95" s="22" t="s">
        <v>19765</v>
      </c>
      <c r="C95" s="15" t="s">
        <v>18411</v>
      </c>
      <c r="D95" s="15"/>
      <c r="E95" s="15" t="s">
        <v>18412</v>
      </c>
      <c r="F95" s="15" t="s">
        <v>18413</v>
      </c>
      <c r="G95" s="15" t="s">
        <v>18414</v>
      </c>
      <c r="H95" s="16" t="s">
        <v>18415</v>
      </c>
    </row>
    <row r="96" spans="1:8" ht="78.75" x14ac:dyDescent="0.3">
      <c r="A96" s="13">
        <v>40232</v>
      </c>
      <c r="B96" s="22" t="s">
        <v>19632</v>
      </c>
      <c r="C96" s="15" t="s">
        <v>18416</v>
      </c>
      <c r="D96" s="15" t="s">
        <v>18417</v>
      </c>
      <c r="E96" s="15" t="s">
        <v>18418</v>
      </c>
      <c r="F96" s="15" t="s">
        <v>18419</v>
      </c>
      <c r="G96" s="15" t="s">
        <v>18420</v>
      </c>
      <c r="H96" s="16" t="s">
        <v>18421</v>
      </c>
    </row>
    <row r="97" spans="1:8" ht="135" x14ac:dyDescent="0.3">
      <c r="A97" s="13">
        <v>40233</v>
      </c>
      <c r="B97" s="22" t="s">
        <v>19633</v>
      </c>
      <c r="C97" s="15" t="s">
        <v>18422</v>
      </c>
      <c r="D97" s="15" t="s">
        <v>18423</v>
      </c>
      <c r="E97" s="15" t="s">
        <v>18424</v>
      </c>
      <c r="F97" s="15" t="s">
        <v>18425</v>
      </c>
      <c r="G97" s="15" t="s">
        <v>18426</v>
      </c>
      <c r="H97" s="16" t="s">
        <v>18427</v>
      </c>
    </row>
    <row r="98" spans="1:8" ht="101.25" x14ac:dyDescent="0.3">
      <c r="A98" s="13">
        <v>40234</v>
      </c>
      <c r="B98" s="22" t="s">
        <v>19634</v>
      </c>
      <c r="C98" s="15" t="s">
        <v>18428</v>
      </c>
      <c r="D98" s="15" t="s">
        <v>18429</v>
      </c>
      <c r="E98" s="15" t="s">
        <v>18430</v>
      </c>
      <c r="F98" s="15" t="s">
        <v>18431</v>
      </c>
      <c r="G98" s="15" t="s">
        <v>18432</v>
      </c>
      <c r="H98" s="16" t="s">
        <v>18433</v>
      </c>
    </row>
    <row r="99" spans="1:8" ht="146.25" x14ac:dyDescent="0.3">
      <c r="A99" s="13">
        <v>40235</v>
      </c>
      <c r="B99" s="22" t="s">
        <v>19635</v>
      </c>
      <c r="C99" s="15" t="s">
        <v>18434</v>
      </c>
      <c r="D99" s="15" t="s">
        <v>18435</v>
      </c>
      <c r="E99" s="15" t="s">
        <v>18436</v>
      </c>
      <c r="F99" s="15" t="s">
        <v>18437</v>
      </c>
      <c r="G99" s="15" t="s">
        <v>18438</v>
      </c>
      <c r="H99" s="16" t="s">
        <v>18439</v>
      </c>
    </row>
    <row r="100" spans="1:8" ht="22.5" x14ac:dyDescent="0.3">
      <c r="A100" s="13">
        <v>40236</v>
      </c>
      <c r="B100" s="22" t="s">
        <v>19636</v>
      </c>
      <c r="C100" s="15" t="s">
        <v>18440</v>
      </c>
      <c r="D100" s="15" t="s">
        <v>18441</v>
      </c>
      <c r="E100" s="15" t="s">
        <v>18442</v>
      </c>
      <c r="F100" s="15" t="s">
        <v>18443</v>
      </c>
      <c r="G100" s="15" t="s">
        <v>18444</v>
      </c>
      <c r="H100" s="16" t="s">
        <v>18445</v>
      </c>
    </row>
    <row r="101" spans="1:8" ht="22.5" x14ac:dyDescent="0.3">
      <c r="A101" s="13" t="s">
        <v>18446</v>
      </c>
      <c r="B101" s="22" t="s">
        <v>19637</v>
      </c>
      <c r="C101" s="15" t="s">
        <v>57</v>
      </c>
      <c r="D101" s="15"/>
      <c r="E101" s="15" t="s">
        <v>57</v>
      </c>
      <c r="F101" s="15" t="s">
        <v>57</v>
      </c>
      <c r="G101" s="15" t="s">
        <v>57</v>
      </c>
      <c r="H101" s="16" t="s">
        <v>18447</v>
      </c>
    </row>
    <row r="102" spans="1:8" ht="22.5" x14ac:dyDescent="0.3">
      <c r="A102" s="13">
        <v>40237</v>
      </c>
      <c r="B102" s="22" t="s">
        <v>19638</v>
      </c>
      <c r="C102" s="15" t="s">
        <v>18448</v>
      </c>
      <c r="D102" s="15" t="s">
        <v>18449</v>
      </c>
      <c r="E102" s="15" t="s">
        <v>18450</v>
      </c>
      <c r="F102" s="15" t="s">
        <v>18451</v>
      </c>
      <c r="G102" s="15"/>
      <c r="H102" s="16" t="s">
        <v>18452</v>
      </c>
    </row>
    <row r="103" spans="1:8" ht="22.5" x14ac:dyDescent="0.3">
      <c r="A103" s="13">
        <v>40238</v>
      </c>
      <c r="B103" s="22" t="s">
        <v>19639</v>
      </c>
      <c r="C103" s="15" t="s">
        <v>18453</v>
      </c>
      <c r="D103" s="15" t="s">
        <v>57</v>
      </c>
      <c r="E103" s="15" t="s">
        <v>18454</v>
      </c>
      <c r="F103" s="15" t="s">
        <v>18455</v>
      </c>
      <c r="G103" s="15" t="s">
        <v>18456</v>
      </c>
      <c r="H103" s="16" t="s">
        <v>18457</v>
      </c>
    </row>
    <row r="104" spans="1:8" ht="22.5" x14ac:dyDescent="0.3">
      <c r="A104" s="13">
        <v>40239</v>
      </c>
      <c r="B104" s="22" t="s">
        <v>19640</v>
      </c>
      <c r="C104" s="15" t="s">
        <v>18458</v>
      </c>
      <c r="D104" s="15"/>
      <c r="E104" s="15" t="s">
        <v>18459</v>
      </c>
      <c r="F104" s="15" t="s">
        <v>18460</v>
      </c>
      <c r="G104" s="15" t="s">
        <v>18461</v>
      </c>
      <c r="H104" s="16" t="s">
        <v>18462</v>
      </c>
    </row>
    <row r="105" spans="1:8" ht="56.25" x14ac:dyDescent="0.3">
      <c r="A105" s="13">
        <v>40240</v>
      </c>
      <c r="B105" s="22" t="s">
        <v>19641</v>
      </c>
      <c r="C105" s="15" t="s">
        <v>18463</v>
      </c>
      <c r="D105" s="15" t="s">
        <v>18464</v>
      </c>
      <c r="E105" s="15" t="s">
        <v>18465</v>
      </c>
      <c r="F105" s="15" t="s">
        <v>18466</v>
      </c>
      <c r="G105" s="15" t="s">
        <v>18467</v>
      </c>
      <c r="H105" s="16" t="s">
        <v>18468</v>
      </c>
    </row>
    <row r="106" spans="1:8" ht="67.5" x14ac:dyDescent="0.3">
      <c r="A106" s="13">
        <v>40241</v>
      </c>
      <c r="B106" s="22" t="s">
        <v>19642</v>
      </c>
      <c r="C106" s="15" t="s">
        <v>18469</v>
      </c>
      <c r="D106" s="15" t="s">
        <v>18470</v>
      </c>
      <c r="E106" s="15" t="s">
        <v>18471</v>
      </c>
      <c r="F106" s="15" t="s">
        <v>18472</v>
      </c>
      <c r="G106" s="15" t="s">
        <v>18473</v>
      </c>
      <c r="H106" s="16" t="s">
        <v>18474</v>
      </c>
    </row>
    <row r="107" spans="1:8" ht="33.75" x14ac:dyDescent="0.3">
      <c r="A107" s="13">
        <v>40242</v>
      </c>
      <c r="B107" s="22" t="s">
        <v>19643</v>
      </c>
      <c r="C107" s="15" t="s">
        <v>18475</v>
      </c>
      <c r="D107" s="15"/>
      <c r="E107" s="15" t="s">
        <v>18476</v>
      </c>
      <c r="F107" s="15" t="s">
        <v>18477</v>
      </c>
      <c r="G107" s="15" t="s">
        <v>18478</v>
      </c>
      <c r="H107" s="16" t="s">
        <v>18478</v>
      </c>
    </row>
    <row r="108" spans="1:8" ht="78.75" x14ac:dyDescent="0.3">
      <c r="A108" s="13">
        <v>40243</v>
      </c>
      <c r="B108" s="22" t="s">
        <v>19644</v>
      </c>
      <c r="C108" s="15" t="s">
        <v>18479</v>
      </c>
      <c r="D108" s="15" t="s">
        <v>18480</v>
      </c>
      <c r="E108" s="15" t="s">
        <v>18481</v>
      </c>
      <c r="F108" s="15" t="s">
        <v>18482</v>
      </c>
      <c r="G108" s="15" t="s">
        <v>18483</v>
      </c>
      <c r="H108" s="16" t="s">
        <v>18484</v>
      </c>
    </row>
    <row r="109" spans="1:8" ht="22.5" x14ac:dyDescent="0.3">
      <c r="A109" s="13">
        <v>40244</v>
      </c>
      <c r="B109" s="22" t="s">
        <v>19645</v>
      </c>
      <c r="C109" s="15" t="s">
        <v>18485</v>
      </c>
      <c r="D109" s="15" t="s">
        <v>57</v>
      </c>
      <c r="E109" s="15" t="s">
        <v>18486</v>
      </c>
      <c r="F109" s="15" t="s">
        <v>57</v>
      </c>
      <c r="G109" s="15" t="s">
        <v>18486</v>
      </c>
      <c r="H109" s="16" t="s">
        <v>18487</v>
      </c>
    </row>
    <row r="110" spans="1:8" ht="101.25" x14ac:dyDescent="0.3">
      <c r="A110" s="13">
        <v>40301</v>
      </c>
      <c r="B110" s="22" t="s">
        <v>19646</v>
      </c>
      <c r="C110" s="15" t="s">
        <v>18488</v>
      </c>
      <c r="D110" s="15" t="s">
        <v>18489</v>
      </c>
      <c r="E110" s="15" t="s">
        <v>18490</v>
      </c>
      <c r="F110" s="15" t="s">
        <v>18491</v>
      </c>
      <c r="G110" s="15" t="s">
        <v>18492</v>
      </c>
      <c r="H110" s="16" t="s">
        <v>18490</v>
      </c>
    </row>
    <row r="111" spans="1:8" ht="101.25" x14ac:dyDescent="0.3">
      <c r="A111" s="13">
        <v>40302</v>
      </c>
      <c r="B111" s="22" t="s">
        <v>19647</v>
      </c>
      <c r="C111" s="15" t="s">
        <v>18493</v>
      </c>
      <c r="D111" s="15" t="s">
        <v>18494</v>
      </c>
      <c r="E111" s="15" t="s">
        <v>18495</v>
      </c>
      <c r="F111" s="15" t="s">
        <v>18496</v>
      </c>
      <c r="G111" s="15" t="s">
        <v>18497</v>
      </c>
      <c r="H111" s="16" t="s">
        <v>18498</v>
      </c>
    </row>
    <row r="112" spans="1:8" ht="180" x14ac:dyDescent="0.3">
      <c r="A112" s="13">
        <v>40303</v>
      </c>
      <c r="B112" s="22" t="s">
        <v>19648</v>
      </c>
      <c r="C112" s="15" t="s">
        <v>18499</v>
      </c>
      <c r="D112" s="15" t="s">
        <v>18500</v>
      </c>
      <c r="E112" s="15" t="s">
        <v>18501</v>
      </c>
      <c r="F112" s="15" t="s">
        <v>18502</v>
      </c>
      <c r="G112" s="15" t="s">
        <v>18503</v>
      </c>
      <c r="H112" s="16" t="s">
        <v>18504</v>
      </c>
    </row>
    <row r="113" spans="1:8" ht="56.25" x14ac:dyDescent="0.3">
      <c r="A113" s="13">
        <v>40304</v>
      </c>
      <c r="B113" s="22" t="s">
        <v>19649</v>
      </c>
      <c r="C113" s="15" t="s">
        <v>18505</v>
      </c>
      <c r="D113" s="15" t="s">
        <v>18506</v>
      </c>
      <c r="E113" s="15"/>
      <c r="F113" s="15" t="s">
        <v>18507</v>
      </c>
      <c r="G113" s="15" t="s">
        <v>18508</v>
      </c>
      <c r="H113" s="16" t="s">
        <v>18509</v>
      </c>
    </row>
    <row r="114" spans="1:8" ht="33.75" x14ac:dyDescent="0.3">
      <c r="A114" s="13">
        <v>40305</v>
      </c>
      <c r="B114" s="22" t="s">
        <v>19650</v>
      </c>
      <c r="C114" s="15" t="s">
        <v>18510</v>
      </c>
      <c r="D114" s="15" t="s">
        <v>18511</v>
      </c>
      <c r="E114" s="15" t="s">
        <v>18512</v>
      </c>
      <c r="F114" s="15" t="s">
        <v>18513</v>
      </c>
      <c r="G114" s="15" t="s">
        <v>18514</v>
      </c>
      <c r="H114" s="16" t="s">
        <v>18504</v>
      </c>
    </row>
    <row r="115" spans="1:8" ht="45" x14ac:dyDescent="0.3">
      <c r="A115" s="13">
        <v>40306</v>
      </c>
      <c r="B115" s="22" t="s">
        <v>19651</v>
      </c>
      <c r="C115" s="15" t="s">
        <v>18515</v>
      </c>
      <c r="D115" s="15" t="s">
        <v>18516</v>
      </c>
      <c r="E115" s="15" t="s">
        <v>18517</v>
      </c>
      <c r="F115" s="15" t="s">
        <v>18518</v>
      </c>
      <c r="G115" s="15" t="s">
        <v>18519</v>
      </c>
      <c r="H115" s="16" t="s">
        <v>18520</v>
      </c>
    </row>
    <row r="116" spans="1:8" ht="67.5" x14ac:dyDescent="0.3">
      <c r="A116" s="13">
        <v>40307</v>
      </c>
      <c r="B116" s="22" t="s">
        <v>19652</v>
      </c>
      <c r="C116" s="15" t="s">
        <v>18521</v>
      </c>
      <c r="D116" s="15" t="s">
        <v>18522</v>
      </c>
      <c r="E116" s="15" t="s">
        <v>18523</v>
      </c>
      <c r="F116" s="15" t="s">
        <v>18524</v>
      </c>
      <c r="G116" s="15" t="s">
        <v>18525</v>
      </c>
      <c r="H116" s="16" t="s">
        <v>18526</v>
      </c>
    </row>
    <row r="117" spans="1:8" ht="78.75" x14ac:dyDescent="0.3">
      <c r="A117" s="13">
        <v>40308</v>
      </c>
      <c r="B117" s="22" t="s">
        <v>19653</v>
      </c>
      <c r="C117" s="15" t="s">
        <v>18527</v>
      </c>
      <c r="D117" s="15" t="s">
        <v>18528</v>
      </c>
      <c r="E117" s="15" t="s">
        <v>18529</v>
      </c>
      <c r="F117" s="15" t="s">
        <v>57</v>
      </c>
      <c r="G117" s="15" t="s">
        <v>18530</v>
      </c>
      <c r="H117" s="16" t="s">
        <v>18531</v>
      </c>
    </row>
    <row r="118" spans="1:8" ht="78.75" x14ac:dyDescent="0.3">
      <c r="A118" s="13">
        <v>40309</v>
      </c>
      <c r="B118" s="22" t="s">
        <v>19654</v>
      </c>
      <c r="C118" s="15" t="s">
        <v>18532</v>
      </c>
      <c r="D118" s="15" t="s">
        <v>18533</v>
      </c>
      <c r="E118" s="15" t="s">
        <v>18534</v>
      </c>
      <c r="F118" s="15" t="s">
        <v>18535</v>
      </c>
      <c r="G118" s="15" t="s">
        <v>18536</v>
      </c>
      <c r="H118" s="16" t="s">
        <v>18537</v>
      </c>
    </row>
    <row r="119" spans="1:8" ht="33.75" x14ac:dyDescent="0.3">
      <c r="A119" s="13">
        <v>40310</v>
      </c>
      <c r="B119" s="22" t="s">
        <v>19655</v>
      </c>
      <c r="C119" s="15" t="s">
        <v>18538</v>
      </c>
      <c r="D119" s="15" t="s">
        <v>18539</v>
      </c>
      <c r="E119" s="15"/>
      <c r="F119" s="15" t="s">
        <v>18540</v>
      </c>
      <c r="G119" s="15" t="s">
        <v>18541</v>
      </c>
      <c r="H119" s="16"/>
    </row>
    <row r="120" spans="1:8" ht="45" x14ac:dyDescent="0.3">
      <c r="A120" s="13">
        <v>40311</v>
      </c>
      <c r="B120" s="22" t="s">
        <v>19656</v>
      </c>
      <c r="C120" s="15" t="s">
        <v>18542</v>
      </c>
      <c r="D120" s="15" t="s">
        <v>18543</v>
      </c>
      <c r="E120" s="15" t="s">
        <v>18544</v>
      </c>
      <c r="F120" s="15" t="s">
        <v>18545</v>
      </c>
      <c r="G120" s="15" t="s">
        <v>18546</v>
      </c>
      <c r="H120" s="16" t="s">
        <v>18547</v>
      </c>
    </row>
    <row r="121" spans="1:8" ht="101.25" x14ac:dyDescent="0.3">
      <c r="A121" s="13">
        <v>40312</v>
      </c>
      <c r="B121" s="22" t="s">
        <v>19657</v>
      </c>
      <c r="C121" s="15" t="s">
        <v>18548</v>
      </c>
      <c r="D121" s="15" t="s">
        <v>18549</v>
      </c>
      <c r="E121" s="15" t="s">
        <v>18550</v>
      </c>
      <c r="F121" s="15" t="s">
        <v>18547</v>
      </c>
      <c r="G121" s="15" t="s">
        <v>18551</v>
      </c>
      <c r="H121" s="16" t="s">
        <v>18552</v>
      </c>
    </row>
    <row r="122" spans="1:8" ht="123.75" x14ac:dyDescent="0.3">
      <c r="A122" s="13">
        <v>40313</v>
      </c>
      <c r="B122" s="22" t="s">
        <v>19658</v>
      </c>
      <c r="C122" s="15" t="s">
        <v>18553</v>
      </c>
      <c r="D122" s="15" t="s">
        <v>18554</v>
      </c>
      <c r="E122" s="15" t="s">
        <v>18555</v>
      </c>
      <c r="F122" s="15" t="s">
        <v>18556</v>
      </c>
      <c r="G122" s="15" t="s">
        <v>18557</v>
      </c>
      <c r="H122" s="16" t="s">
        <v>18558</v>
      </c>
    </row>
    <row r="123" spans="1:8" ht="67.5" x14ac:dyDescent="0.3">
      <c r="A123" s="13">
        <v>40314</v>
      </c>
      <c r="B123" s="22" t="s">
        <v>19659</v>
      </c>
      <c r="C123" s="15" t="s">
        <v>18559</v>
      </c>
      <c r="D123" s="15" t="s">
        <v>18560</v>
      </c>
      <c r="E123" s="15" t="s">
        <v>18561</v>
      </c>
      <c r="F123" s="15" t="s">
        <v>18562</v>
      </c>
      <c r="G123" s="15" t="s">
        <v>18563</v>
      </c>
      <c r="H123" s="16" t="s">
        <v>18564</v>
      </c>
    </row>
    <row r="124" spans="1:8" ht="22.5" x14ac:dyDescent="0.3">
      <c r="A124" s="13">
        <v>40315</v>
      </c>
      <c r="B124" s="22" t="s">
        <v>19660</v>
      </c>
      <c r="C124" s="15"/>
      <c r="D124" s="15" t="s">
        <v>18565</v>
      </c>
      <c r="E124" s="15" t="s">
        <v>18566</v>
      </c>
      <c r="F124" s="15"/>
      <c r="G124" s="15" t="s">
        <v>18567</v>
      </c>
      <c r="H124" s="16" t="s">
        <v>18568</v>
      </c>
    </row>
    <row r="125" spans="1:8" ht="56.25" x14ac:dyDescent="0.3">
      <c r="A125" s="13">
        <v>40316</v>
      </c>
      <c r="B125" s="22" t="s">
        <v>18569</v>
      </c>
      <c r="C125" s="15" t="s">
        <v>18570</v>
      </c>
      <c r="D125" s="15" t="s">
        <v>18571</v>
      </c>
      <c r="E125" s="15" t="s">
        <v>18572</v>
      </c>
      <c r="F125" s="15" t="s">
        <v>18573</v>
      </c>
      <c r="G125" s="15" t="s">
        <v>18574</v>
      </c>
      <c r="H125" s="16"/>
    </row>
    <row r="126" spans="1:8" ht="56.25" x14ac:dyDescent="0.3">
      <c r="A126" s="13">
        <v>40317</v>
      </c>
      <c r="B126" s="22" t="s">
        <v>18575</v>
      </c>
      <c r="C126" s="15" t="s">
        <v>18576</v>
      </c>
      <c r="D126" s="15" t="s">
        <v>18577</v>
      </c>
      <c r="E126" s="15" t="s">
        <v>18578</v>
      </c>
      <c r="F126" s="15" t="s">
        <v>18579</v>
      </c>
      <c r="G126" s="15" t="s">
        <v>18580</v>
      </c>
      <c r="H126" s="16" t="s">
        <v>18581</v>
      </c>
    </row>
    <row r="127" spans="1:8" ht="56.25" x14ac:dyDescent="0.3">
      <c r="A127" s="13">
        <v>40318</v>
      </c>
      <c r="B127" s="22" t="s">
        <v>18582</v>
      </c>
      <c r="C127" s="15" t="s">
        <v>18583</v>
      </c>
      <c r="D127" s="15" t="s">
        <v>18584</v>
      </c>
      <c r="E127" s="15" t="s">
        <v>18585</v>
      </c>
      <c r="F127" s="15" t="s">
        <v>18586</v>
      </c>
      <c r="G127" s="15" t="s">
        <v>18587</v>
      </c>
      <c r="H127" s="16" t="s">
        <v>18588</v>
      </c>
    </row>
    <row r="128" spans="1:8" ht="56.25" x14ac:dyDescent="0.3">
      <c r="A128" s="13">
        <v>40319</v>
      </c>
      <c r="B128" s="22" t="s">
        <v>18589</v>
      </c>
      <c r="C128" s="15" t="s">
        <v>18590</v>
      </c>
      <c r="D128" s="15" t="s">
        <v>18591</v>
      </c>
      <c r="E128" s="15" t="s">
        <v>18592</v>
      </c>
      <c r="F128" s="15" t="s">
        <v>18593</v>
      </c>
      <c r="G128" s="15" t="s">
        <v>18594</v>
      </c>
      <c r="H128" s="16" t="s">
        <v>18595</v>
      </c>
    </row>
    <row r="129" spans="1:8" ht="56.25" x14ac:dyDescent="0.3">
      <c r="A129" s="13">
        <v>40320</v>
      </c>
      <c r="B129" s="22" t="s">
        <v>18596</v>
      </c>
      <c r="C129" s="15" t="s">
        <v>18597</v>
      </c>
      <c r="D129" s="15" t="s">
        <v>18598</v>
      </c>
      <c r="E129" s="15" t="s">
        <v>18599</v>
      </c>
      <c r="F129" s="15" t="s">
        <v>18600</v>
      </c>
      <c r="G129" s="15" t="s">
        <v>18601</v>
      </c>
      <c r="H129" s="16" t="s">
        <v>18602</v>
      </c>
    </row>
    <row r="130" spans="1:8" ht="45" x14ac:dyDescent="0.3">
      <c r="A130" s="13">
        <v>40321</v>
      </c>
      <c r="B130" s="22" t="s">
        <v>19661</v>
      </c>
      <c r="C130" s="15" t="s">
        <v>18603</v>
      </c>
      <c r="D130" s="15" t="s">
        <v>18604</v>
      </c>
      <c r="E130" s="15" t="s">
        <v>18605</v>
      </c>
      <c r="F130" s="15" t="s">
        <v>18605</v>
      </c>
      <c r="G130" s="15" t="s">
        <v>18605</v>
      </c>
      <c r="H130" s="16" t="s">
        <v>18606</v>
      </c>
    </row>
    <row r="131" spans="1:8" ht="112.5" x14ac:dyDescent="0.3">
      <c r="A131" s="13">
        <v>40322</v>
      </c>
      <c r="B131" s="22" t="s">
        <v>19662</v>
      </c>
      <c r="C131" s="15" t="s">
        <v>18607</v>
      </c>
      <c r="D131" s="15" t="s">
        <v>18608</v>
      </c>
      <c r="E131" s="15" t="s">
        <v>18609</v>
      </c>
      <c r="F131" s="15" t="s">
        <v>18610</v>
      </c>
      <c r="G131" s="15" t="s">
        <v>18611</v>
      </c>
      <c r="H131" s="16" t="s">
        <v>18612</v>
      </c>
    </row>
    <row r="132" spans="1:8" ht="33.75" x14ac:dyDescent="0.3">
      <c r="A132" s="13">
        <v>40323</v>
      </c>
      <c r="B132" s="22" t="s">
        <v>19663</v>
      </c>
      <c r="C132" s="15" t="s">
        <v>18613</v>
      </c>
      <c r="D132" s="15" t="s">
        <v>18614</v>
      </c>
      <c r="E132" s="15" t="s">
        <v>18615</v>
      </c>
      <c r="F132" s="15" t="s">
        <v>18616</v>
      </c>
      <c r="G132" s="15" t="s">
        <v>18617</v>
      </c>
      <c r="H132" s="16" t="s">
        <v>18618</v>
      </c>
    </row>
    <row r="133" spans="1:8" ht="78.75" x14ac:dyDescent="0.3">
      <c r="A133" s="13">
        <v>40324</v>
      </c>
      <c r="B133" s="22" t="s">
        <v>19664</v>
      </c>
      <c r="C133" s="15" t="s">
        <v>18619</v>
      </c>
      <c r="D133" s="15" t="s">
        <v>18620</v>
      </c>
      <c r="E133" s="15" t="s">
        <v>18621</v>
      </c>
      <c r="F133" s="15" t="s">
        <v>18622</v>
      </c>
      <c r="G133" s="15" t="s">
        <v>18623</v>
      </c>
      <c r="H133" s="16" t="s">
        <v>18624</v>
      </c>
    </row>
    <row r="134" spans="1:8" ht="22.5" x14ac:dyDescent="0.3">
      <c r="A134" s="13">
        <v>40325</v>
      </c>
      <c r="B134" s="22" t="s">
        <v>19665</v>
      </c>
      <c r="C134" s="15" t="s">
        <v>18625</v>
      </c>
      <c r="D134" s="15" t="s">
        <v>18626</v>
      </c>
      <c r="E134" s="15"/>
      <c r="F134" s="15" t="s">
        <v>57</v>
      </c>
      <c r="G134" s="15" t="s">
        <v>18627</v>
      </c>
      <c r="H134" s="16" t="s">
        <v>18628</v>
      </c>
    </row>
    <row r="135" spans="1:8" ht="33.75" x14ac:dyDescent="0.3">
      <c r="A135" s="13">
        <v>40326</v>
      </c>
      <c r="B135" s="22" t="s">
        <v>18629</v>
      </c>
      <c r="C135" s="15" t="s">
        <v>18630</v>
      </c>
      <c r="D135" s="15" t="s">
        <v>18631</v>
      </c>
      <c r="E135" s="15" t="s">
        <v>18632</v>
      </c>
      <c r="F135" s="15" t="s">
        <v>18633</v>
      </c>
      <c r="G135" s="15" t="s">
        <v>18634</v>
      </c>
      <c r="H135" s="16" t="s">
        <v>18635</v>
      </c>
    </row>
    <row r="136" spans="1:8" ht="33.75" x14ac:dyDescent="0.3">
      <c r="A136" s="13">
        <v>40327</v>
      </c>
      <c r="B136" s="22" t="s">
        <v>18636</v>
      </c>
      <c r="C136" s="15" t="s">
        <v>18637</v>
      </c>
      <c r="D136" s="15" t="s">
        <v>18638</v>
      </c>
      <c r="E136" s="15" t="s">
        <v>18639</v>
      </c>
      <c r="F136" s="15" t="s">
        <v>18640</v>
      </c>
      <c r="G136" s="15" t="s">
        <v>18641</v>
      </c>
      <c r="H136" s="16" t="s">
        <v>18642</v>
      </c>
    </row>
    <row r="137" spans="1:8" ht="33.75" x14ac:dyDescent="0.3">
      <c r="A137" s="13">
        <v>40328</v>
      </c>
      <c r="B137" s="22" t="s">
        <v>18643</v>
      </c>
      <c r="C137" s="15" t="s">
        <v>18644</v>
      </c>
      <c r="D137" s="15" t="s">
        <v>18645</v>
      </c>
      <c r="E137" s="15" t="s">
        <v>18646</v>
      </c>
      <c r="F137" s="15" t="s">
        <v>18647</v>
      </c>
      <c r="G137" s="15" t="s">
        <v>18648</v>
      </c>
      <c r="H137" s="16" t="s">
        <v>18649</v>
      </c>
    </row>
    <row r="138" spans="1:8" ht="33.75" x14ac:dyDescent="0.3">
      <c r="A138" s="13">
        <v>40329</v>
      </c>
      <c r="B138" s="22" t="s">
        <v>18650</v>
      </c>
      <c r="C138" s="15" t="s">
        <v>18651</v>
      </c>
      <c r="D138" s="15" t="s">
        <v>18652</v>
      </c>
      <c r="E138" s="15" t="s">
        <v>18653</v>
      </c>
      <c r="F138" s="15" t="s">
        <v>18654</v>
      </c>
      <c r="G138" s="15" t="s">
        <v>18655</v>
      </c>
      <c r="H138" s="16" t="s">
        <v>18656</v>
      </c>
    </row>
    <row r="139" spans="1:8" ht="78.75" x14ac:dyDescent="0.3">
      <c r="A139" s="13">
        <v>40330</v>
      </c>
      <c r="B139" s="22" t="s">
        <v>18657</v>
      </c>
      <c r="C139" s="15" t="s">
        <v>18651</v>
      </c>
      <c r="D139" s="15" t="s">
        <v>18658</v>
      </c>
      <c r="E139" s="15"/>
      <c r="F139" s="15" t="s">
        <v>18659</v>
      </c>
      <c r="G139" s="15"/>
      <c r="H139" s="16" t="s">
        <v>18660</v>
      </c>
    </row>
    <row r="140" spans="1:8" ht="33.75" x14ac:dyDescent="0.3">
      <c r="A140" s="13">
        <v>40331</v>
      </c>
      <c r="B140" s="22" t="s">
        <v>19666</v>
      </c>
      <c r="C140" s="15" t="s">
        <v>18661</v>
      </c>
      <c r="D140" s="15" t="s">
        <v>18662</v>
      </c>
      <c r="E140" s="15" t="s">
        <v>18663</v>
      </c>
      <c r="F140" s="15" t="s">
        <v>18664</v>
      </c>
      <c r="G140" s="15" t="s">
        <v>18665</v>
      </c>
      <c r="H140" s="16" t="s">
        <v>18666</v>
      </c>
    </row>
    <row r="141" spans="1:8" ht="22.5" x14ac:dyDescent="0.3">
      <c r="A141" s="13">
        <v>40332</v>
      </c>
      <c r="B141" s="22" t="s">
        <v>19667</v>
      </c>
      <c r="C141" s="15" t="s">
        <v>18667</v>
      </c>
      <c r="D141" s="15" t="s">
        <v>18668</v>
      </c>
      <c r="E141" s="15"/>
      <c r="F141" s="15" t="s">
        <v>18669</v>
      </c>
      <c r="G141" s="15" t="s">
        <v>18670</v>
      </c>
      <c r="H141" s="16" t="s">
        <v>18671</v>
      </c>
    </row>
    <row r="142" spans="1:8" ht="112.5" x14ac:dyDescent="0.3">
      <c r="A142" s="13">
        <v>40333</v>
      </c>
      <c r="B142" s="22" t="s">
        <v>19668</v>
      </c>
      <c r="C142" s="15" t="s">
        <v>18672</v>
      </c>
      <c r="D142" s="15" t="s">
        <v>18673</v>
      </c>
      <c r="E142" s="15" t="s">
        <v>18674</v>
      </c>
      <c r="F142" s="15" t="s">
        <v>18675</v>
      </c>
      <c r="G142" s="15" t="s">
        <v>18676</v>
      </c>
      <c r="H142" s="16" t="s">
        <v>18677</v>
      </c>
    </row>
    <row r="143" spans="1:8" ht="22.5" x14ac:dyDescent="0.3">
      <c r="A143" s="13">
        <v>40334</v>
      </c>
      <c r="B143" s="22" t="s">
        <v>19669</v>
      </c>
      <c r="C143" s="15" t="s">
        <v>18678</v>
      </c>
      <c r="D143" s="15" t="s">
        <v>18679</v>
      </c>
      <c r="E143" s="15" t="s">
        <v>18680</v>
      </c>
      <c r="F143" s="15" t="s">
        <v>18681</v>
      </c>
      <c r="G143" s="15" t="s">
        <v>18682</v>
      </c>
      <c r="H143" s="16" t="s">
        <v>18683</v>
      </c>
    </row>
    <row r="144" spans="1:8" ht="56.25" x14ac:dyDescent="0.3">
      <c r="A144" s="13">
        <v>40335</v>
      </c>
      <c r="B144" s="22" t="s">
        <v>19670</v>
      </c>
      <c r="C144" s="15" t="s">
        <v>18684</v>
      </c>
      <c r="D144" s="15" t="s">
        <v>18685</v>
      </c>
      <c r="E144" s="15" t="s">
        <v>18686</v>
      </c>
      <c r="F144" s="15" t="s">
        <v>18687</v>
      </c>
      <c r="G144" s="15" t="s">
        <v>18688</v>
      </c>
      <c r="H144" s="16" t="s">
        <v>18689</v>
      </c>
    </row>
    <row r="145" spans="1:8" ht="22.5" x14ac:dyDescent="0.3">
      <c r="A145" s="13">
        <v>40336</v>
      </c>
      <c r="B145" s="22" t="s">
        <v>19671</v>
      </c>
      <c r="C145" s="15" t="s">
        <v>18690</v>
      </c>
      <c r="D145" s="15" t="s">
        <v>18691</v>
      </c>
      <c r="E145" s="15" t="s">
        <v>18692</v>
      </c>
      <c r="F145" s="15" t="s">
        <v>18693</v>
      </c>
      <c r="G145" s="15" t="s">
        <v>18694</v>
      </c>
      <c r="H145" s="16" t="s">
        <v>18695</v>
      </c>
    </row>
    <row r="146" spans="1:8" ht="22.5" x14ac:dyDescent="0.3">
      <c r="A146" s="13">
        <v>40337</v>
      </c>
      <c r="B146" s="22" t="s">
        <v>19672</v>
      </c>
      <c r="C146" s="15" t="s">
        <v>18696</v>
      </c>
      <c r="D146" s="15" t="s">
        <v>18697</v>
      </c>
      <c r="E146" s="15"/>
      <c r="F146" s="15" t="s">
        <v>18698</v>
      </c>
      <c r="G146" s="15" t="s">
        <v>18699</v>
      </c>
      <c r="H146" s="16" t="s">
        <v>18700</v>
      </c>
    </row>
    <row r="147" spans="1:8" ht="33.75" x14ac:dyDescent="0.3">
      <c r="A147" s="13">
        <v>40338</v>
      </c>
      <c r="B147" s="22" t="s">
        <v>19673</v>
      </c>
      <c r="C147" s="15" t="s">
        <v>18701</v>
      </c>
      <c r="D147" s="15" t="s">
        <v>18702</v>
      </c>
      <c r="E147" s="15" t="s">
        <v>18703</v>
      </c>
      <c r="F147" s="15" t="s">
        <v>18704</v>
      </c>
      <c r="G147" s="15" t="s">
        <v>18705</v>
      </c>
      <c r="H147" s="16" t="s">
        <v>18706</v>
      </c>
    </row>
    <row r="148" spans="1:8" ht="45" x14ac:dyDescent="0.3">
      <c r="A148" s="13">
        <v>40339</v>
      </c>
      <c r="B148" s="22" t="s">
        <v>19674</v>
      </c>
      <c r="C148" s="15" t="s">
        <v>18707</v>
      </c>
      <c r="D148" s="15" t="s">
        <v>18708</v>
      </c>
      <c r="E148" s="15"/>
      <c r="F148" s="15" t="s">
        <v>18709</v>
      </c>
      <c r="G148" s="15" t="s">
        <v>18710</v>
      </c>
      <c r="H148" s="16" t="s">
        <v>18711</v>
      </c>
    </row>
    <row r="149" spans="1:8" ht="45" x14ac:dyDescent="0.3">
      <c r="A149" s="13">
        <v>40340</v>
      </c>
      <c r="B149" s="22" t="s">
        <v>19675</v>
      </c>
      <c r="C149" s="15" t="s">
        <v>18712</v>
      </c>
      <c r="D149" s="15" t="s">
        <v>18713</v>
      </c>
      <c r="E149" s="15" t="s">
        <v>18714</v>
      </c>
      <c r="F149" s="15" t="s">
        <v>18715</v>
      </c>
      <c r="G149" s="15" t="s">
        <v>18716</v>
      </c>
      <c r="H149" s="16" t="s">
        <v>18717</v>
      </c>
    </row>
    <row r="150" spans="1:8" ht="22.5" x14ac:dyDescent="0.3">
      <c r="A150" s="13">
        <v>40341</v>
      </c>
      <c r="B150" s="22" t="s">
        <v>19676</v>
      </c>
      <c r="C150" s="15" t="s">
        <v>18718</v>
      </c>
      <c r="D150" s="15" t="s">
        <v>18719</v>
      </c>
      <c r="E150" s="15" t="s">
        <v>18720</v>
      </c>
      <c r="F150" s="15" t="s">
        <v>18721</v>
      </c>
      <c r="G150" s="15" t="s">
        <v>18722</v>
      </c>
      <c r="H150" s="16" t="s">
        <v>18723</v>
      </c>
    </row>
    <row r="151" spans="1:8" ht="22.5" x14ac:dyDescent="0.3">
      <c r="A151" s="13">
        <v>40342</v>
      </c>
      <c r="B151" s="22" t="s">
        <v>19677</v>
      </c>
      <c r="C151" s="15" t="s">
        <v>18724</v>
      </c>
      <c r="D151" s="15" t="s">
        <v>18725</v>
      </c>
      <c r="E151" s="15"/>
      <c r="F151" s="15" t="s">
        <v>57</v>
      </c>
      <c r="G151" s="15" t="s">
        <v>18726</v>
      </c>
      <c r="H151" s="16" t="s">
        <v>18727</v>
      </c>
    </row>
    <row r="152" spans="1:8" ht="33.75" x14ac:dyDescent="0.3">
      <c r="A152" s="13">
        <v>40343</v>
      </c>
      <c r="B152" s="22" t="s">
        <v>18728</v>
      </c>
      <c r="C152" s="15" t="s">
        <v>18729</v>
      </c>
      <c r="D152" s="15" t="s">
        <v>18730</v>
      </c>
      <c r="E152" s="15" t="s">
        <v>18731</v>
      </c>
      <c r="F152" s="15" t="s">
        <v>18732</v>
      </c>
      <c r="G152" s="15" t="s">
        <v>18733</v>
      </c>
      <c r="H152" s="16" t="s">
        <v>18732</v>
      </c>
    </row>
    <row r="153" spans="1:8" ht="33.75" x14ac:dyDescent="0.3">
      <c r="A153" s="13">
        <v>40344</v>
      </c>
      <c r="B153" s="22" t="s">
        <v>18734</v>
      </c>
      <c r="C153" s="15" t="s">
        <v>18735</v>
      </c>
      <c r="D153" s="15" t="s">
        <v>18736</v>
      </c>
      <c r="E153" s="15" t="s">
        <v>18737</v>
      </c>
      <c r="F153" s="15" t="s">
        <v>18736</v>
      </c>
      <c r="G153" s="15" t="s">
        <v>18738</v>
      </c>
      <c r="H153" s="16" t="s">
        <v>18739</v>
      </c>
    </row>
    <row r="154" spans="1:8" ht="33.75" x14ac:dyDescent="0.3">
      <c r="A154" s="13">
        <v>40345</v>
      </c>
      <c r="B154" s="22" t="s">
        <v>18740</v>
      </c>
      <c r="C154" s="15" t="s">
        <v>18741</v>
      </c>
      <c r="D154" s="15" t="s">
        <v>18742</v>
      </c>
      <c r="E154" s="15"/>
      <c r="F154" s="15" t="s">
        <v>57</v>
      </c>
      <c r="G154" s="15" t="s">
        <v>18743</v>
      </c>
      <c r="H154" s="16" t="s">
        <v>18744</v>
      </c>
    </row>
    <row r="155" spans="1:8" ht="45" x14ac:dyDescent="0.3">
      <c r="A155" s="13">
        <v>40346</v>
      </c>
      <c r="B155" s="22" t="s">
        <v>18745</v>
      </c>
      <c r="C155" s="15" t="s">
        <v>18746</v>
      </c>
      <c r="D155" s="15" t="s">
        <v>18747</v>
      </c>
      <c r="E155" s="15" t="s">
        <v>18748</v>
      </c>
      <c r="F155" s="15" t="s">
        <v>18749</v>
      </c>
      <c r="G155" s="15" t="s">
        <v>18750</v>
      </c>
      <c r="H155" s="16" t="s">
        <v>18751</v>
      </c>
    </row>
    <row r="156" spans="1:8" ht="33.75" x14ac:dyDescent="0.3">
      <c r="A156" s="13">
        <v>40347</v>
      </c>
      <c r="B156" s="22" t="s">
        <v>18752</v>
      </c>
      <c r="C156" s="15" t="s">
        <v>18753</v>
      </c>
      <c r="D156" s="15" t="s">
        <v>18754</v>
      </c>
      <c r="E156" s="15"/>
      <c r="F156" s="15"/>
      <c r="G156" s="15" t="s">
        <v>18755</v>
      </c>
      <c r="H156" s="16" t="s">
        <v>18756</v>
      </c>
    </row>
    <row r="157" spans="1:8" ht="56.25" x14ac:dyDescent="0.3">
      <c r="A157" s="13">
        <v>40348</v>
      </c>
      <c r="B157" s="22" t="s">
        <v>18757</v>
      </c>
      <c r="C157" s="15" t="s">
        <v>18758</v>
      </c>
      <c r="D157" s="15" t="s">
        <v>18759</v>
      </c>
      <c r="E157" s="15"/>
      <c r="F157" s="15" t="s">
        <v>57</v>
      </c>
      <c r="G157" s="15" t="s">
        <v>18760</v>
      </c>
      <c r="H157" s="16" t="s">
        <v>18739</v>
      </c>
    </row>
    <row r="158" spans="1:8" ht="33.75" x14ac:dyDescent="0.3">
      <c r="A158" s="13">
        <v>40349</v>
      </c>
      <c r="B158" s="22" t="s">
        <v>18761</v>
      </c>
      <c r="C158" s="15" t="s">
        <v>18762</v>
      </c>
      <c r="D158" s="15"/>
      <c r="E158" s="15" t="s">
        <v>18763</v>
      </c>
      <c r="F158" s="15" t="s">
        <v>18764</v>
      </c>
      <c r="G158" s="15" t="s">
        <v>18765</v>
      </c>
      <c r="H158" s="16" t="s">
        <v>18766</v>
      </c>
    </row>
    <row r="159" spans="1:8" ht="56.25" x14ac:dyDescent="0.3">
      <c r="A159" s="13">
        <v>40350</v>
      </c>
      <c r="B159" s="22" t="s">
        <v>19678</v>
      </c>
      <c r="C159" s="15" t="s">
        <v>18767</v>
      </c>
      <c r="D159" s="15" t="s">
        <v>18768</v>
      </c>
      <c r="E159" s="15" t="s">
        <v>18769</v>
      </c>
      <c r="F159" s="15" t="s">
        <v>18770</v>
      </c>
      <c r="G159" s="15" t="s">
        <v>18771</v>
      </c>
      <c r="H159" s="16" t="s">
        <v>18772</v>
      </c>
    </row>
    <row r="160" spans="1:8" ht="135" x14ac:dyDescent="0.3">
      <c r="A160" s="13">
        <v>40351</v>
      </c>
      <c r="B160" s="22" t="s">
        <v>19679</v>
      </c>
      <c r="C160" s="15" t="s">
        <v>18773</v>
      </c>
      <c r="D160" s="15" t="s">
        <v>57</v>
      </c>
      <c r="E160" s="15" t="s">
        <v>18774</v>
      </c>
      <c r="F160" s="15" t="s">
        <v>57</v>
      </c>
      <c r="G160" s="15" t="s">
        <v>18775</v>
      </c>
      <c r="H160" s="16" t="s">
        <v>57</v>
      </c>
    </row>
    <row r="161" spans="1:8" ht="67.5" x14ac:dyDescent="0.3">
      <c r="A161" s="13">
        <v>40352</v>
      </c>
      <c r="B161" s="22" t="s">
        <v>19680</v>
      </c>
      <c r="C161" s="15" t="s">
        <v>18776</v>
      </c>
      <c r="D161" s="15" t="s">
        <v>18777</v>
      </c>
      <c r="E161" s="15" t="s">
        <v>18778</v>
      </c>
      <c r="F161" s="15" t="s">
        <v>18779</v>
      </c>
      <c r="G161" s="15" t="s">
        <v>18780</v>
      </c>
      <c r="H161" s="16" t="s">
        <v>18781</v>
      </c>
    </row>
    <row r="162" spans="1:8" ht="78.75" x14ac:dyDescent="0.3">
      <c r="A162" s="13">
        <v>40353</v>
      </c>
      <c r="B162" s="22" t="s">
        <v>19681</v>
      </c>
      <c r="C162" s="15" t="s">
        <v>18782</v>
      </c>
      <c r="D162" s="15" t="s">
        <v>18783</v>
      </c>
      <c r="E162" s="15" t="s">
        <v>18784</v>
      </c>
      <c r="F162" s="15" t="s">
        <v>57</v>
      </c>
      <c r="G162" s="15" t="s">
        <v>18785</v>
      </c>
      <c r="H162" s="16" t="s">
        <v>18786</v>
      </c>
    </row>
    <row r="163" spans="1:8" ht="22.5" x14ac:dyDescent="0.3">
      <c r="A163" s="13">
        <v>40354</v>
      </c>
      <c r="B163" s="22" t="s">
        <v>19682</v>
      </c>
      <c r="C163" s="15" t="s">
        <v>18787</v>
      </c>
      <c r="D163" s="15" t="s">
        <v>57</v>
      </c>
      <c r="E163" s="15" t="s">
        <v>18788</v>
      </c>
      <c r="F163" s="15" t="s">
        <v>57</v>
      </c>
      <c r="G163" s="15" t="s">
        <v>18789</v>
      </c>
      <c r="H163" s="16" t="s">
        <v>18790</v>
      </c>
    </row>
    <row r="164" spans="1:8" ht="101.25" x14ac:dyDescent="0.3">
      <c r="A164" s="13">
        <v>40355</v>
      </c>
      <c r="B164" s="22" t="s">
        <v>19683</v>
      </c>
      <c r="C164" s="15" t="s">
        <v>18791</v>
      </c>
      <c r="D164" s="15" t="s">
        <v>18792</v>
      </c>
      <c r="E164" s="15" t="s">
        <v>18793</v>
      </c>
      <c r="F164" s="15" t="s">
        <v>18794</v>
      </c>
      <c r="G164" s="15" t="s">
        <v>18795</v>
      </c>
      <c r="H164" s="16" t="s">
        <v>18796</v>
      </c>
    </row>
    <row r="165" spans="1:8" ht="56.25" x14ac:dyDescent="0.3">
      <c r="A165" s="13">
        <v>40356</v>
      </c>
      <c r="B165" s="22" t="s">
        <v>19684</v>
      </c>
      <c r="C165" s="15" t="s">
        <v>18797</v>
      </c>
      <c r="D165" s="15" t="s">
        <v>57</v>
      </c>
      <c r="E165" s="15" t="s">
        <v>18798</v>
      </c>
      <c r="F165" s="15" t="s">
        <v>57</v>
      </c>
      <c r="G165" s="15" t="s">
        <v>18799</v>
      </c>
      <c r="H165" s="16" t="s">
        <v>18800</v>
      </c>
    </row>
    <row r="166" spans="1:8" ht="22.5" x14ac:dyDescent="0.3">
      <c r="A166" s="13">
        <v>40357</v>
      </c>
      <c r="B166" s="22" t="s">
        <v>19685</v>
      </c>
      <c r="C166" s="15" t="s">
        <v>18801</v>
      </c>
      <c r="D166" s="15" t="s">
        <v>57</v>
      </c>
      <c r="E166" s="15" t="s">
        <v>18802</v>
      </c>
      <c r="F166" s="15" t="s">
        <v>18803</v>
      </c>
      <c r="G166" s="15" t="s">
        <v>18804</v>
      </c>
      <c r="H166" s="16" t="s">
        <v>18805</v>
      </c>
    </row>
    <row r="167" spans="1:8" ht="67.5" x14ac:dyDescent="0.3">
      <c r="A167" s="13">
        <v>40401</v>
      </c>
      <c r="B167" s="22" t="s">
        <v>19686</v>
      </c>
      <c r="C167" s="15" t="s">
        <v>18806</v>
      </c>
      <c r="D167" s="15" t="s">
        <v>18807</v>
      </c>
      <c r="E167" s="15" t="s">
        <v>18808</v>
      </c>
      <c r="F167" s="15" t="s">
        <v>18809</v>
      </c>
      <c r="G167" s="15" t="s">
        <v>18810</v>
      </c>
      <c r="H167" s="16" t="s">
        <v>18811</v>
      </c>
    </row>
    <row r="168" spans="1:8" ht="56.25" x14ac:dyDescent="0.3">
      <c r="A168" s="13">
        <v>40402</v>
      </c>
      <c r="B168" s="22" t="s">
        <v>19687</v>
      </c>
      <c r="C168" s="15" t="s">
        <v>18812</v>
      </c>
      <c r="D168" s="15" t="s">
        <v>18813</v>
      </c>
      <c r="E168" s="15" t="s">
        <v>18814</v>
      </c>
      <c r="F168" s="15" t="s">
        <v>18815</v>
      </c>
      <c r="G168" s="15" t="s">
        <v>18816</v>
      </c>
      <c r="H168" s="16" t="s">
        <v>18817</v>
      </c>
    </row>
    <row r="169" spans="1:8" ht="45" x14ac:dyDescent="0.3">
      <c r="A169" s="13">
        <v>40403</v>
      </c>
      <c r="B169" s="22" t="s">
        <v>19688</v>
      </c>
      <c r="C169" s="15" t="s">
        <v>18818</v>
      </c>
      <c r="D169" s="15"/>
      <c r="E169" s="15" t="s">
        <v>18819</v>
      </c>
      <c r="F169" s="15" t="s">
        <v>18820</v>
      </c>
      <c r="G169" s="15" t="s">
        <v>18821</v>
      </c>
      <c r="H169" s="16" t="s">
        <v>16401</v>
      </c>
    </row>
    <row r="170" spans="1:8" ht="33.75" x14ac:dyDescent="0.3">
      <c r="A170" s="13">
        <v>40404</v>
      </c>
      <c r="B170" s="22" t="s">
        <v>19689</v>
      </c>
      <c r="C170" s="15" t="s">
        <v>18822</v>
      </c>
      <c r="D170" s="15"/>
      <c r="E170" s="15" t="s">
        <v>18823</v>
      </c>
      <c r="F170" s="15" t="s">
        <v>18824</v>
      </c>
      <c r="G170" s="15" t="s">
        <v>18825</v>
      </c>
      <c r="H170" s="16" t="s">
        <v>18826</v>
      </c>
    </row>
    <row r="171" spans="1:8" ht="45" x14ac:dyDescent="0.3">
      <c r="A171" s="13">
        <v>40405</v>
      </c>
      <c r="B171" s="22" t="s">
        <v>19690</v>
      </c>
      <c r="C171" s="15" t="s">
        <v>18827</v>
      </c>
      <c r="D171" s="15"/>
      <c r="E171" s="15" t="s">
        <v>18828</v>
      </c>
      <c r="F171" s="15" t="s">
        <v>18829</v>
      </c>
      <c r="G171" s="15" t="s">
        <v>18830</v>
      </c>
      <c r="H171" s="16" t="s">
        <v>18831</v>
      </c>
    </row>
    <row r="172" spans="1:8" ht="112.5" x14ac:dyDescent="0.3">
      <c r="A172" s="13">
        <v>40406</v>
      </c>
      <c r="B172" s="22" t="s">
        <v>19691</v>
      </c>
      <c r="C172" s="15" t="s">
        <v>18832</v>
      </c>
      <c r="D172" s="15" t="s">
        <v>18833</v>
      </c>
      <c r="E172" s="15" t="s">
        <v>18834</v>
      </c>
      <c r="F172" s="15" t="s">
        <v>18835</v>
      </c>
      <c r="G172" s="15" t="s">
        <v>18836</v>
      </c>
      <c r="H172" s="16" t="s">
        <v>18837</v>
      </c>
    </row>
    <row r="173" spans="1:8" ht="78.75" x14ac:dyDescent="0.3">
      <c r="A173" s="13">
        <v>40407</v>
      </c>
      <c r="B173" s="22" t="s">
        <v>19692</v>
      </c>
      <c r="C173" s="15" t="s">
        <v>18838</v>
      </c>
      <c r="D173" s="15" t="s">
        <v>18839</v>
      </c>
      <c r="E173" s="15" t="s">
        <v>18840</v>
      </c>
      <c r="F173" s="15" t="s">
        <v>18841</v>
      </c>
      <c r="G173" s="15" t="s">
        <v>18842</v>
      </c>
      <c r="H173" s="16" t="s">
        <v>18843</v>
      </c>
    </row>
    <row r="174" spans="1:8" ht="33.75" x14ac:dyDescent="0.3">
      <c r="A174" s="13">
        <v>40408</v>
      </c>
      <c r="B174" s="22" t="s">
        <v>19693</v>
      </c>
      <c r="C174" s="15" t="s">
        <v>18844</v>
      </c>
      <c r="D174" s="15" t="s">
        <v>18845</v>
      </c>
      <c r="E174" s="15" t="s">
        <v>18846</v>
      </c>
      <c r="F174" s="15" t="s">
        <v>18847</v>
      </c>
      <c r="G174" s="15" t="s">
        <v>18848</v>
      </c>
      <c r="H174" s="16" t="s">
        <v>18849</v>
      </c>
    </row>
    <row r="175" spans="1:8" ht="112.5" x14ac:dyDescent="0.3">
      <c r="A175" s="13">
        <v>40409</v>
      </c>
      <c r="B175" s="22" t="s">
        <v>19694</v>
      </c>
      <c r="C175" s="15" t="s">
        <v>18850</v>
      </c>
      <c r="D175" s="15" t="s">
        <v>18851</v>
      </c>
      <c r="E175" s="15" t="s">
        <v>18852</v>
      </c>
      <c r="F175" s="15" t="s">
        <v>18853</v>
      </c>
      <c r="G175" s="15" t="s">
        <v>18854</v>
      </c>
      <c r="H175" s="16" t="s">
        <v>18855</v>
      </c>
    </row>
    <row r="176" spans="1:8" ht="101.25" x14ac:dyDescent="0.3">
      <c r="A176" s="13">
        <v>40410</v>
      </c>
      <c r="B176" s="22" t="s">
        <v>19695</v>
      </c>
      <c r="C176" s="15" t="s">
        <v>18856</v>
      </c>
      <c r="D176" s="15" t="s">
        <v>18857</v>
      </c>
      <c r="E176" s="15" t="s">
        <v>18858</v>
      </c>
      <c r="F176" s="15" t="s">
        <v>18859</v>
      </c>
      <c r="G176" s="15" t="s">
        <v>18860</v>
      </c>
      <c r="H176" s="16" t="s">
        <v>18861</v>
      </c>
    </row>
    <row r="177" spans="1:8" ht="67.5" x14ac:dyDescent="0.3">
      <c r="A177" s="13">
        <v>40411</v>
      </c>
      <c r="B177" s="22" t="s">
        <v>19696</v>
      </c>
      <c r="C177" s="15" t="s">
        <v>18862</v>
      </c>
      <c r="D177" s="15" t="s">
        <v>18863</v>
      </c>
      <c r="E177" s="15" t="s">
        <v>18864</v>
      </c>
      <c r="F177" s="15" t="s">
        <v>18865</v>
      </c>
      <c r="G177" s="15" t="s">
        <v>18866</v>
      </c>
      <c r="H177" s="16"/>
    </row>
    <row r="178" spans="1:8" ht="45" x14ac:dyDescent="0.3">
      <c r="A178" s="13">
        <v>40412</v>
      </c>
      <c r="B178" s="22" t="s">
        <v>19697</v>
      </c>
      <c r="C178" s="15" t="s">
        <v>18867</v>
      </c>
      <c r="D178" s="15" t="s">
        <v>18868</v>
      </c>
      <c r="E178" s="15" t="s">
        <v>18869</v>
      </c>
      <c r="F178" s="15" t="s">
        <v>18870</v>
      </c>
      <c r="G178" s="15" t="s">
        <v>18871</v>
      </c>
      <c r="H178" s="16" t="s">
        <v>18872</v>
      </c>
    </row>
    <row r="179" spans="1:8" ht="22.5" x14ac:dyDescent="0.3">
      <c r="A179" s="13">
        <v>40413</v>
      </c>
      <c r="B179" s="22" t="s">
        <v>19698</v>
      </c>
      <c r="C179" s="15" t="s">
        <v>18873</v>
      </c>
      <c r="D179" s="15"/>
      <c r="E179" s="15" t="s">
        <v>18874</v>
      </c>
      <c r="F179" s="15" t="s">
        <v>18875</v>
      </c>
      <c r="G179" s="15" t="s">
        <v>18876</v>
      </c>
      <c r="H179" s="16" t="s">
        <v>18877</v>
      </c>
    </row>
    <row r="180" spans="1:8" ht="33.75" x14ac:dyDescent="0.3">
      <c r="A180" s="13">
        <v>40501</v>
      </c>
      <c r="B180" s="22" t="s">
        <v>19699</v>
      </c>
      <c r="C180" s="15" t="s">
        <v>18878</v>
      </c>
      <c r="D180" s="15" t="s">
        <v>18879</v>
      </c>
      <c r="E180" s="15" t="s">
        <v>18880</v>
      </c>
      <c r="F180" s="15" t="s">
        <v>57</v>
      </c>
      <c r="G180" s="15" t="s">
        <v>18881</v>
      </c>
      <c r="H180" s="16" t="s">
        <v>18882</v>
      </c>
    </row>
    <row r="181" spans="1:8" ht="56.25" x14ac:dyDescent="0.3">
      <c r="A181" s="13">
        <v>40502</v>
      </c>
      <c r="B181" s="22" t="s">
        <v>19700</v>
      </c>
      <c r="C181" s="15" t="s">
        <v>18883</v>
      </c>
      <c r="D181" s="15" t="s">
        <v>18884</v>
      </c>
      <c r="E181" s="15" t="s">
        <v>18885</v>
      </c>
      <c r="F181" s="15" t="s">
        <v>18886</v>
      </c>
      <c r="G181" s="15" t="s">
        <v>18887</v>
      </c>
      <c r="H181" s="16" t="s">
        <v>18888</v>
      </c>
    </row>
    <row r="182" spans="1:8" ht="22.5" x14ac:dyDescent="0.3">
      <c r="A182" s="13">
        <v>40601</v>
      </c>
      <c r="B182" s="22" t="s">
        <v>18889</v>
      </c>
      <c r="C182" s="15"/>
      <c r="D182" s="15"/>
      <c r="E182" s="15" t="s">
        <v>18890</v>
      </c>
      <c r="F182" s="15" t="s">
        <v>18891</v>
      </c>
      <c r="G182" s="15" t="s">
        <v>18892</v>
      </c>
      <c r="H182" s="16" t="s">
        <v>18893</v>
      </c>
    </row>
    <row r="183" spans="1:8" ht="22.5" x14ac:dyDescent="0.3">
      <c r="A183" s="13">
        <v>40602</v>
      </c>
      <c r="B183" s="22" t="s">
        <v>19701</v>
      </c>
      <c r="C183" s="15" t="s">
        <v>18894</v>
      </c>
      <c r="D183" s="15"/>
      <c r="E183" s="15" t="s">
        <v>18895</v>
      </c>
      <c r="F183" s="15" t="s">
        <v>18896</v>
      </c>
      <c r="G183" s="15" t="s">
        <v>18897</v>
      </c>
      <c r="H183" s="16" t="s">
        <v>18898</v>
      </c>
    </row>
    <row r="184" spans="1:8" ht="22.5" x14ac:dyDescent="0.3">
      <c r="A184" s="13">
        <v>40603</v>
      </c>
      <c r="B184" s="22" t="s">
        <v>19702</v>
      </c>
      <c r="C184" s="15" t="s">
        <v>18899</v>
      </c>
      <c r="D184" s="15"/>
      <c r="E184" s="15" t="s">
        <v>14259</v>
      </c>
      <c r="F184" s="15" t="s">
        <v>11238</v>
      </c>
      <c r="G184" s="15" t="s">
        <v>14259</v>
      </c>
      <c r="H184" s="16" t="s">
        <v>14259</v>
      </c>
    </row>
    <row r="185" spans="1:8" ht="22.5" x14ac:dyDescent="0.3">
      <c r="A185" s="13">
        <v>40604</v>
      </c>
      <c r="B185" s="22" t="s">
        <v>19703</v>
      </c>
      <c r="C185" s="15" t="s">
        <v>18900</v>
      </c>
      <c r="D185" s="15"/>
      <c r="E185" s="15" t="s">
        <v>18901</v>
      </c>
      <c r="F185" s="15" t="s">
        <v>18673</v>
      </c>
      <c r="G185" s="15" t="s">
        <v>18676</v>
      </c>
      <c r="H185" s="16" t="s">
        <v>18902</v>
      </c>
    </row>
    <row r="186" spans="1:8" ht="33.75" x14ac:dyDescent="0.3">
      <c r="A186" s="13">
        <v>40605</v>
      </c>
      <c r="B186" s="22" t="s">
        <v>19704</v>
      </c>
      <c r="C186" s="15" t="s">
        <v>18903</v>
      </c>
      <c r="D186" s="15"/>
      <c r="E186" s="15" t="s">
        <v>18904</v>
      </c>
      <c r="F186" s="15" t="s">
        <v>11679</v>
      </c>
      <c r="G186" s="15" t="s">
        <v>18905</v>
      </c>
      <c r="H186" s="16" t="s">
        <v>18906</v>
      </c>
    </row>
    <row r="187" spans="1:8" ht="33.75" x14ac:dyDescent="0.3">
      <c r="A187" s="13">
        <v>40606</v>
      </c>
      <c r="B187" s="22" t="s">
        <v>19705</v>
      </c>
      <c r="C187" s="15" t="s">
        <v>18907</v>
      </c>
      <c r="D187" s="15"/>
      <c r="E187" s="15" t="s">
        <v>18908</v>
      </c>
      <c r="F187" s="15" t="s">
        <v>18909</v>
      </c>
      <c r="G187" s="15" t="s">
        <v>18910</v>
      </c>
      <c r="H187" s="16" t="s">
        <v>18911</v>
      </c>
    </row>
    <row r="188" spans="1:8" ht="22.5" x14ac:dyDescent="0.3">
      <c r="A188" s="13">
        <v>40607</v>
      </c>
      <c r="B188" s="22" t="s">
        <v>19706</v>
      </c>
      <c r="C188" s="15" t="s">
        <v>18912</v>
      </c>
      <c r="D188" s="15"/>
      <c r="E188" s="15"/>
      <c r="F188" s="15" t="s">
        <v>18913</v>
      </c>
      <c r="G188" s="15" t="s">
        <v>18914</v>
      </c>
      <c r="H188" s="16" t="s">
        <v>18915</v>
      </c>
    </row>
    <row r="189" spans="1:8" ht="90" x14ac:dyDescent="0.3">
      <c r="A189" s="13">
        <v>40608</v>
      </c>
      <c r="B189" s="22" t="s">
        <v>19707</v>
      </c>
      <c r="C189" s="15" t="s">
        <v>18916</v>
      </c>
      <c r="D189" s="15" t="s">
        <v>18917</v>
      </c>
      <c r="E189" s="15" t="s">
        <v>18918</v>
      </c>
      <c r="F189" s="15" t="s">
        <v>18919</v>
      </c>
      <c r="G189" s="15" t="s">
        <v>18920</v>
      </c>
      <c r="H189" s="16" t="s">
        <v>18921</v>
      </c>
    </row>
    <row r="190" spans="1:8" ht="101.25" x14ac:dyDescent="0.3">
      <c r="A190" s="13">
        <v>40609</v>
      </c>
      <c r="B190" s="22" t="s">
        <v>19708</v>
      </c>
      <c r="C190" s="15" t="s">
        <v>18922</v>
      </c>
      <c r="D190" s="15"/>
      <c r="E190" s="15"/>
      <c r="F190" s="15" t="s">
        <v>57</v>
      </c>
      <c r="G190" s="15" t="s">
        <v>18923</v>
      </c>
      <c r="H190" s="16" t="s">
        <v>18924</v>
      </c>
    </row>
    <row r="191" spans="1:8" ht="33.75" x14ac:dyDescent="0.3">
      <c r="A191" s="13">
        <v>40610</v>
      </c>
      <c r="B191" s="22" t="s">
        <v>18925</v>
      </c>
      <c r="C191" s="15" t="s">
        <v>18926</v>
      </c>
      <c r="D191" s="15" t="s">
        <v>18927</v>
      </c>
      <c r="E191" s="15" t="s">
        <v>18928</v>
      </c>
      <c r="F191" s="15" t="s">
        <v>18929</v>
      </c>
      <c r="G191" s="15" t="s">
        <v>18930</v>
      </c>
      <c r="H191" s="16" t="s">
        <v>18931</v>
      </c>
    </row>
    <row r="192" spans="1:8" ht="56.25" x14ac:dyDescent="0.3">
      <c r="A192" s="13">
        <v>40611</v>
      </c>
      <c r="B192" s="22" t="s">
        <v>18932</v>
      </c>
      <c r="C192" s="15" t="s">
        <v>18933</v>
      </c>
      <c r="D192" s="15" t="s">
        <v>18934</v>
      </c>
      <c r="E192" s="15" t="s">
        <v>18935</v>
      </c>
      <c r="F192" s="15" t="s">
        <v>18936</v>
      </c>
      <c r="G192" s="15" t="s">
        <v>18937</v>
      </c>
      <c r="H192" s="16" t="s">
        <v>18938</v>
      </c>
    </row>
    <row r="193" spans="1:8" ht="22.5" x14ac:dyDescent="0.3">
      <c r="A193" s="13">
        <v>40612</v>
      </c>
      <c r="B193" s="22" t="s">
        <v>18939</v>
      </c>
      <c r="C193" s="15" t="s">
        <v>18940</v>
      </c>
      <c r="D193" s="15"/>
      <c r="E193" s="15" t="s">
        <v>18941</v>
      </c>
      <c r="F193" s="15"/>
      <c r="G193" s="15" t="s">
        <v>18942</v>
      </c>
      <c r="H193" s="16" t="s">
        <v>18943</v>
      </c>
    </row>
    <row r="194" spans="1:8" ht="22.5" x14ac:dyDescent="0.3">
      <c r="A194" s="13">
        <v>40613</v>
      </c>
      <c r="B194" s="22" t="s">
        <v>18944</v>
      </c>
      <c r="C194" s="15" t="s">
        <v>18945</v>
      </c>
      <c r="D194" s="15"/>
      <c r="E194" s="15" t="s">
        <v>18946</v>
      </c>
      <c r="F194" s="15" t="s">
        <v>18947</v>
      </c>
      <c r="G194" s="15" t="s">
        <v>18946</v>
      </c>
      <c r="H194" s="16" t="s">
        <v>18948</v>
      </c>
    </row>
    <row r="195" spans="1:8" ht="45" x14ac:dyDescent="0.3">
      <c r="A195" s="13">
        <v>40614</v>
      </c>
      <c r="B195" s="22" t="s">
        <v>18949</v>
      </c>
      <c r="C195" s="15" t="s">
        <v>18950</v>
      </c>
      <c r="D195" s="15"/>
      <c r="E195" s="15" t="s">
        <v>18951</v>
      </c>
      <c r="F195" s="15" t="s">
        <v>18952</v>
      </c>
      <c r="G195" s="15" t="s">
        <v>18953</v>
      </c>
      <c r="H195" s="16" t="s">
        <v>18954</v>
      </c>
    </row>
    <row r="196" spans="1:8" ht="22.5" x14ac:dyDescent="0.3">
      <c r="A196" s="13">
        <v>40615</v>
      </c>
      <c r="B196" s="22" t="s">
        <v>18955</v>
      </c>
      <c r="C196" s="15" t="s">
        <v>18956</v>
      </c>
      <c r="D196" s="15" t="s">
        <v>18957</v>
      </c>
      <c r="E196" s="15" t="s">
        <v>18958</v>
      </c>
      <c r="F196" s="15" t="s">
        <v>18959</v>
      </c>
      <c r="G196" s="15" t="s">
        <v>18960</v>
      </c>
      <c r="H196" s="16" t="s">
        <v>18961</v>
      </c>
    </row>
    <row r="197" spans="1:8" ht="33.75" x14ac:dyDescent="0.3">
      <c r="A197" s="13">
        <v>40616</v>
      </c>
      <c r="B197" s="22" t="s">
        <v>18962</v>
      </c>
      <c r="C197" s="15" t="s">
        <v>57</v>
      </c>
      <c r="D197" s="15"/>
      <c r="E197" s="15" t="s">
        <v>18963</v>
      </c>
      <c r="F197" s="15" t="s">
        <v>18964</v>
      </c>
      <c r="G197" s="15" t="s">
        <v>18965</v>
      </c>
      <c r="H197" s="16" t="s">
        <v>18966</v>
      </c>
    </row>
    <row r="198" spans="1:8" ht="33.75" x14ac:dyDescent="0.3">
      <c r="A198" s="13">
        <v>40617</v>
      </c>
      <c r="B198" s="22" t="s">
        <v>19709</v>
      </c>
      <c r="C198" s="15" t="s">
        <v>18967</v>
      </c>
      <c r="D198" s="15" t="s">
        <v>18968</v>
      </c>
      <c r="E198" s="15" t="s">
        <v>18969</v>
      </c>
      <c r="F198" s="15"/>
      <c r="G198" s="15" t="s">
        <v>18970</v>
      </c>
      <c r="H198" s="16" t="s">
        <v>18971</v>
      </c>
    </row>
    <row r="199" spans="1:8" ht="67.5" x14ac:dyDescent="0.3">
      <c r="A199" s="13">
        <v>40618</v>
      </c>
      <c r="B199" s="22" t="s">
        <v>19710</v>
      </c>
      <c r="C199" s="15" t="s">
        <v>18972</v>
      </c>
      <c r="D199" s="15" t="s">
        <v>18973</v>
      </c>
      <c r="E199" s="15" t="s">
        <v>18974</v>
      </c>
      <c r="F199" s="15" t="s">
        <v>18975</v>
      </c>
      <c r="G199" s="15"/>
      <c r="H199" s="16" t="s">
        <v>18976</v>
      </c>
    </row>
    <row r="200" spans="1:8" ht="90" x14ac:dyDescent="0.3">
      <c r="A200" s="13">
        <v>40701</v>
      </c>
      <c r="B200" s="22" t="s">
        <v>18977</v>
      </c>
      <c r="C200" s="15" t="s">
        <v>18978</v>
      </c>
      <c r="D200" s="15" t="s">
        <v>18979</v>
      </c>
      <c r="E200" s="15" t="s">
        <v>18980</v>
      </c>
      <c r="F200" s="15" t="s">
        <v>18981</v>
      </c>
      <c r="G200" s="15" t="s">
        <v>18982</v>
      </c>
      <c r="H200" s="16" t="s">
        <v>18983</v>
      </c>
    </row>
    <row r="201" spans="1:8" ht="67.5" x14ac:dyDescent="0.3">
      <c r="A201" s="13">
        <v>40702</v>
      </c>
      <c r="B201" s="22" t="s">
        <v>18984</v>
      </c>
      <c r="C201" s="15" t="s">
        <v>18985</v>
      </c>
      <c r="D201" s="15" t="s">
        <v>18986</v>
      </c>
      <c r="E201" s="15" t="s">
        <v>18987</v>
      </c>
      <c r="F201" s="15" t="s">
        <v>18988</v>
      </c>
      <c r="G201" s="15" t="s">
        <v>18989</v>
      </c>
      <c r="H201" s="16" t="s">
        <v>18990</v>
      </c>
    </row>
    <row r="202" spans="1:8" ht="45" x14ac:dyDescent="0.3">
      <c r="A202" s="13">
        <v>40703</v>
      </c>
      <c r="B202" s="22" t="s">
        <v>18991</v>
      </c>
      <c r="C202" s="15" t="s">
        <v>18992</v>
      </c>
      <c r="D202" s="15"/>
      <c r="E202" s="15" t="s">
        <v>18993</v>
      </c>
      <c r="F202" s="15" t="s">
        <v>18994</v>
      </c>
      <c r="G202" s="15" t="s">
        <v>18995</v>
      </c>
      <c r="H202" s="16" t="s">
        <v>18996</v>
      </c>
    </row>
    <row r="203" spans="1:8" ht="45" x14ac:dyDescent="0.3">
      <c r="A203" s="13">
        <v>40704</v>
      </c>
      <c r="B203" s="22" t="s">
        <v>18997</v>
      </c>
      <c r="C203" s="15" t="s">
        <v>18998</v>
      </c>
      <c r="D203" s="15" t="s">
        <v>18999</v>
      </c>
      <c r="E203" s="15" t="s">
        <v>19000</v>
      </c>
      <c r="F203" s="15" t="s">
        <v>19001</v>
      </c>
      <c r="G203" s="15" t="s">
        <v>19002</v>
      </c>
      <c r="H203" s="16" t="s">
        <v>19003</v>
      </c>
    </row>
    <row r="204" spans="1:8" ht="56.25" x14ac:dyDescent="0.3">
      <c r="A204" s="13">
        <v>40705</v>
      </c>
      <c r="B204" s="22" t="s">
        <v>19004</v>
      </c>
      <c r="C204" s="15" t="s">
        <v>19005</v>
      </c>
      <c r="D204" s="15" t="s">
        <v>19006</v>
      </c>
      <c r="E204" s="15" t="s">
        <v>19007</v>
      </c>
      <c r="F204" s="15" t="s">
        <v>57</v>
      </c>
      <c r="G204" s="15" t="s">
        <v>19008</v>
      </c>
      <c r="H204" s="16" t="s">
        <v>19009</v>
      </c>
    </row>
    <row r="205" spans="1:8" ht="33.75" x14ac:dyDescent="0.3">
      <c r="A205" s="13">
        <v>40706</v>
      </c>
      <c r="B205" s="22" t="s">
        <v>19010</v>
      </c>
      <c r="C205" s="15" t="s">
        <v>19011</v>
      </c>
      <c r="D205" s="15"/>
      <c r="E205" s="15" t="s">
        <v>19012</v>
      </c>
      <c r="F205" s="15" t="s">
        <v>19013</v>
      </c>
      <c r="G205" s="15" t="s">
        <v>19014</v>
      </c>
      <c r="H205" s="16" t="s">
        <v>19015</v>
      </c>
    </row>
    <row r="206" spans="1:8" ht="22.5" x14ac:dyDescent="0.3">
      <c r="A206" s="13" t="s">
        <v>19016</v>
      </c>
      <c r="B206" s="22" t="s">
        <v>19017</v>
      </c>
      <c r="C206" s="15"/>
      <c r="D206" s="15"/>
      <c r="E206" s="15"/>
      <c r="F206" s="15" t="s">
        <v>57</v>
      </c>
      <c r="G206" s="15"/>
      <c r="H206" s="16" t="s">
        <v>57</v>
      </c>
    </row>
    <row r="207" spans="1:8" ht="123.75" x14ac:dyDescent="0.3">
      <c r="A207" s="13">
        <v>40707</v>
      </c>
      <c r="B207" s="22" t="s">
        <v>19018</v>
      </c>
      <c r="C207" s="15" t="s">
        <v>19019</v>
      </c>
      <c r="D207" s="15" t="s">
        <v>19020</v>
      </c>
      <c r="E207" s="15" t="s">
        <v>19021</v>
      </c>
      <c r="F207" s="15" t="s">
        <v>19022</v>
      </c>
      <c r="G207" s="15" t="s">
        <v>19023</v>
      </c>
      <c r="H207" s="16" t="s">
        <v>19024</v>
      </c>
    </row>
    <row r="208" spans="1:8" ht="33.75" x14ac:dyDescent="0.3">
      <c r="A208" s="13">
        <v>40708</v>
      </c>
      <c r="B208" s="22" t="s">
        <v>19025</v>
      </c>
      <c r="C208" s="15" t="s">
        <v>19026</v>
      </c>
      <c r="D208" s="15"/>
      <c r="E208" s="15" t="s">
        <v>19027</v>
      </c>
      <c r="F208" s="15" t="s">
        <v>57</v>
      </c>
      <c r="G208" s="15" t="s">
        <v>19028</v>
      </c>
      <c r="H208" s="16" t="s">
        <v>19029</v>
      </c>
    </row>
    <row r="209" spans="1:8" ht="67.5" x14ac:dyDescent="0.3">
      <c r="A209" s="13">
        <v>40801</v>
      </c>
      <c r="B209" s="22" t="s">
        <v>19030</v>
      </c>
      <c r="C209" s="15" t="s">
        <v>19031</v>
      </c>
      <c r="D209" s="15" t="s">
        <v>19032</v>
      </c>
      <c r="E209" s="15" t="s">
        <v>19033</v>
      </c>
      <c r="F209" s="15" t="s">
        <v>19034</v>
      </c>
      <c r="G209" s="15" t="s">
        <v>19035</v>
      </c>
      <c r="H209" s="16" t="s">
        <v>19036</v>
      </c>
    </row>
    <row r="210" spans="1:8" ht="33.75" x14ac:dyDescent="0.3">
      <c r="A210" s="13">
        <v>40802</v>
      </c>
      <c r="B210" s="22" t="s">
        <v>19037</v>
      </c>
      <c r="C210" s="15" t="s">
        <v>19038</v>
      </c>
      <c r="D210" s="15" t="s">
        <v>19039</v>
      </c>
      <c r="E210" s="15" t="s">
        <v>19040</v>
      </c>
      <c r="F210" s="15" t="s">
        <v>19041</v>
      </c>
      <c r="G210" s="15" t="s">
        <v>19042</v>
      </c>
      <c r="H210" s="16" t="s">
        <v>19043</v>
      </c>
    </row>
    <row r="211" spans="1:8" ht="90" x14ac:dyDescent="0.3">
      <c r="A211" s="13">
        <v>40803</v>
      </c>
      <c r="B211" s="22" t="s">
        <v>19044</v>
      </c>
      <c r="C211" s="15" t="s">
        <v>19045</v>
      </c>
      <c r="D211" s="15" t="s">
        <v>19046</v>
      </c>
      <c r="E211" s="15" t="s">
        <v>19047</v>
      </c>
      <c r="F211" s="15" t="s">
        <v>19048</v>
      </c>
      <c r="G211" s="15" t="s">
        <v>19049</v>
      </c>
      <c r="H211" s="16" t="s">
        <v>19050</v>
      </c>
    </row>
    <row r="212" spans="1:8" ht="67.5" x14ac:dyDescent="0.3">
      <c r="A212" s="13">
        <v>40804</v>
      </c>
      <c r="B212" s="22" t="s">
        <v>19051</v>
      </c>
      <c r="C212" s="15" t="s">
        <v>19052</v>
      </c>
      <c r="D212" s="15" t="s">
        <v>19053</v>
      </c>
      <c r="E212" s="15" t="s">
        <v>19054</v>
      </c>
      <c r="F212" s="15" t="s">
        <v>19055</v>
      </c>
      <c r="G212" s="15" t="s">
        <v>19056</v>
      </c>
      <c r="H212" s="16" t="s">
        <v>19057</v>
      </c>
    </row>
    <row r="213" spans="1:8" ht="45" x14ac:dyDescent="0.3">
      <c r="A213" s="13">
        <v>40805</v>
      </c>
      <c r="B213" s="22" t="s">
        <v>19058</v>
      </c>
      <c r="C213" s="15" t="s">
        <v>19059</v>
      </c>
      <c r="D213" s="15" t="s">
        <v>19060</v>
      </c>
      <c r="E213" s="15" t="s">
        <v>19061</v>
      </c>
      <c r="F213" s="15" t="s">
        <v>19062</v>
      </c>
      <c r="G213" s="15" t="s">
        <v>19062</v>
      </c>
      <c r="H213" s="16" t="s">
        <v>19063</v>
      </c>
    </row>
    <row r="214" spans="1:8" ht="22.5" x14ac:dyDescent="0.3">
      <c r="A214" s="13">
        <v>40806</v>
      </c>
      <c r="B214" s="22" t="s">
        <v>19064</v>
      </c>
      <c r="C214" s="15" t="s">
        <v>19065</v>
      </c>
      <c r="D214" s="15" t="s">
        <v>19066</v>
      </c>
      <c r="E214" s="15" t="s">
        <v>19067</v>
      </c>
      <c r="F214" s="15" t="s">
        <v>19068</v>
      </c>
      <c r="G214" s="15" t="s">
        <v>19069</v>
      </c>
      <c r="H214" s="16" t="s">
        <v>19070</v>
      </c>
    </row>
    <row r="215" spans="1:8" ht="33.75" x14ac:dyDescent="0.3">
      <c r="A215" s="13">
        <v>40807</v>
      </c>
      <c r="B215" s="22" t="s">
        <v>19071</v>
      </c>
      <c r="C215" s="15" t="s">
        <v>19072</v>
      </c>
      <c r="D215" s="15" t="s">
        <v>19073</v>
      </c>
      <c r="E215" s="15" t="s">
        <v>19074</v>
      </c>
      <c r="F215" s="15" t="s">
        <v>19075</v>
      </c>
      <c r="G215" s="15" t="s">
        <v>19076</v>
      </c>
      <c r="H215" s="16" t="s">
        <v>19077</v>
      </c>
    </row>
    <row r="216" spans="1:8" ht="67.5" x14ac:dyDescent="0.3">
      <c r="A216" s="13">
        <v>40808</v>
      </c>
      <c r="B216" s="22" t="s">
        <v>19078</v>
      </c>
      <c r="C216" s="15" t="s">
        <v>19079</v>
      </c>
      <c r="D216" s="15" t="s">
        <v>19080</v>
      </c>
      <c r="E216" s="15" t="s">
        <v>19081</v>
      </c>
      <c r="F216" s="15" t="s">
        <v>19082</v>
      </c>
      <c r="G216" s="15" t="s">
        <v>19083</v>
      </c>
      <c r="H216" s="16" t="s">
        <v>19084</v>
      </c>
    </row>
    <row r="217" spans="1:8" ht="45" x14ac:dyDescent="0.3">
      <c r="A217" s="13">
        <v>40809</v>
      </c>
      <c r="B217" s="22" t="s">
        <v>19085</v>
      </c>
      <c r="C217" s="15" t="s">
        <v>19086</v>
      </c>
      <c r="D217" s="15" t="s">
        <v>19087</v>
      </c>
      <c r="E217" s="15" t="s">
        <v>19088</v>
      </c>
      <c r="F217" s="15" t="s">
        <v>19089</v>
      </c>
      <c r="G217" s="15" t="s">
        <v>19090</v>
      </c>
      <c r="H217" s="16" t="s">
        <v>19091</v>
      </c>
    </row>
    <row r="218" spans="1:8" ht="45" x14ac:dyDescent="0.3">
      <c r="A218" s="13">
        <v>40810</v>
      </c>
      <c r="B218" s="22" t="s">
        <v>19092</v>
      </c>
      <c r="C218" s="15" t="s">
        <v>19093</v>
      </c>
      <c r="D218" s="15" t="s">
        <v>19094</v>
      </c>
      <c r="E218" s="15" t="s">
        <v>19095</v>
      </c>
      <c r="F218" s="15" t="s">
        <v>19096</v>
      </c>
      <c r="G218" s="15" t="s">
        <v>19097</v>
      </c>
      <c r="H218" s="16" t="s">
        <v>19098</v>
      </c>
    </row>
    <row r="219" spans="1:8" ht="78.75" x14ac:dyDescent="0.3">
      <c r="A219" s="13">
        <v>40811</v>
      </c>
      <c r="B219" s="22" t="s">
        <v>19099</v>
      </c>
      <c r="C219" s="15" t="s">
        <v>19100</v>
      </c>
      <c r="D219" s="15" t="s">
        <v>19101</v>
      </c>
      <c r="E219" s="15" t="s">
        <v>19102</v>
      </c>
      <c r="F219" s="15" t="s">
        <v>19103</v>
      </c>
      <c r="G219" s="15" t="s">
        <v>19104</v>
      </c>
      <c r="H219" s="16" t="s">
        <v>19105</v>
      </c>
    </row>
    <row r="220" spans="1:8" ht="56.25" x14ac:dyDescent="0.3">
      <c r="A220" s="13">
        <v>40812</v>
      </c>
      <c r="B220" s="22" t="s">
        <v>19106</v>
      </c>
      <c r="C220" s="15" t="s">
        <v>19107</v>
      </c>
      <c r="D220" s="15" t="s">
        <v>19108</v>
      </c>
      <c r="E220" s="15" t="s">
        <v>19109</v>
      </c>
      <c r="F220" s="15" t="s">
        <v>19110</v>
      </c>
      <c r="G220" s="15" t="s">
        <v>19111</v>
      </c>
      <c r="H220" s="16" t="s">
        <v>19112</v>
      </c>
    </row>
    <row r="221" spans="1:8" ht="33.75" x14ac:dyDescent="0.3">
      <c r="A221" s="13">
        <v>40813</v>
      </c>
      <c r="B221" s="22" t="s">
        <v>19113</v>
      </c>
      <c r="C221" s="15" t="s">
        <v>19114</v>
      </c>
      <c r="D221" s="15" t="s">
        <v>19115</v>
      </c>
      <c r="E221" s="15" t="s">
        <v>19116</v>
      </c>
      <c r="F221" s="15" t="s">
        <v>19117</v>
      </c>
      <c r="G221" s="15" t="s">
        <v>19118</v>
      </c>
      <c r="H221" s="16" t="s">
        <v>19119</v>
      </c>
    </row>
    <row r="222" spans="1:8" ht="33.75" x14ac:dyDescent="0.3">
      <c r="A222" s="13">
        <v>40814</v>
      </c>
      <c r="B222" s="22" t="s">
        <v>19120</v>
      </c>
      <c r="C222" s="15" t="s">
        <v>19121</v>
      </c>
      <c r="D222" s="15"/>
      <c r="E222" s="15" t="s">
        <v>19122</v>
      </c>
      <c r="F222" s="15" t="s">
        <v>19123</v>
      </c>
      <c r="G222" s="15" t="s">
        <v>19124</v>
      </c>
      <c r="H222" s="16" t="s">
        <v>19125</v>
      </c>
    </row>
    <row r="223" spans="1:8" ht="22.5" x14ac:dyDescent="0.3">
      <c r="A223" s="13">
        <v>40815</v>
      </c>
      <c r="B223" s="22" t="s">
        <v>19126</v>
      </c>
      <c r="C223" s="15" t="s">
        <v>19127</v>
      </c>
      <c r="D223" s="15"/>
      <c r="E223" s="15" t="s">
        <v>19128</v>
      </c>
      <c r="F223" s="15" t="s">
        <v>19129</v>
      </c>
      <c r="G223" s="15" t="s">
        <v>19129</v>
      </c>
      <c r="H223" s="16" t="s">
        <v>19130</v>
      </c>
    </row>
    <row r="224" spans="1:8" ht="45" x14ac:dyDescent="0.3">
      <c r="A224" s="13">
        <v>40816</v>
      </c>
      <c r="B224" s="22" t="s">
        <v>19131</v>
      </c>
      <c r="C224" s="15" t="s">
        <v>19132</v>
      </c>
      <c r="D224" s="15" t="s">
        <v>19133</v>
      </c>
      <c r="E224" s="15" t="s">
        <v>19134</v>
      </c>
      <c r="F224" s="15" t="s">
        <v>19135</v>
      </c>
      <c r="G224" s="15" t="s">
        <v>19136</v>
      </c>
      <c r="H224" s="16" t="s">
        <v>19137</v>
      </c>
    </row>
    <row r="225" spans="1:8" ht="33.75" x14ac:dyDescent="0.3">
      <c r="A225" s="13">
        <v>40817</v>
      </c>
      <c r="B225" s="22" t="s">
        <v>19138</v>
      </c>
      <c r="C225" s="15" t="s">
        <v>19139</v>
      </c>
      <c r="D225" s="15" t="s">
        <v>19140</v>
      </c>
      <c r="E225" s="15" t="s">
        <v>19141</v>
      </c>
      <c r="F225" s="15" t="s">
        <v>19142</v>
      </c>
      <c r="G225" s="15" t="s">
        <v>19143</v>
      </c>
      <c r="H225" s="16" t="s">
        <v>19144</v>
      </c>
    </row>
    <row r="226" spans="1:8" ht="45" x14ac:dyDescent="0.3">
      <c r="A226" s="13">
        <v>40818</v>
      </c>
      <c r="B226" s="22" t="s">
        <v>19145</v>
      </c>
      <c r="C226" s="15" t="s">
        <v>19146</v>
      </c>
      <c r="D226" s="15" t="s">
        <v>19147</v>
      </c>
      <c r="E226" s="15" t="s">
        <v>19148</v>
      </c>
      <c r="F226" s="15" t="s">
        <v>19149</v>
      </c>
      <c r="G226" s="15" t="s">
        <v>19150</v>
      </c>
      <c r="H226" s="16" t="s">
        <v>19151</v>
      </c>
    </row>
    <row r="227" spans="1:8" ht="56.25" x14ac:dyDescent="0.3">
      <c r="A227" s="13">
        <v>40819</v>
      </c>
      <c r="B227" s="22" t="s">
        <v>19152</v>
      </c>
      <c r="C227" s="15" t="s">
        <v>19153</v>
      </c>
      <c r="D227" s="15" t="s">
        <v>19154</v>
      </c>
      <c r="E227" s="15" t="s">
        <v>19155</v>
      </c>
      <c r="F227" s="15" t="s">
        <v>19156</v>
      </c>
      <c r="G227" s="15" t="s">
        <v>19156</v>
      </c>
      <c r="H227" s="16" t="s">
        <v>19157</v>
      </c>
    </row>
    <row r="228" spans="1:8" ht="22.5" x14ac:dyDescent="0.3">
      <c r="A228" s="13">
        <v>40820</v>
      </c>
      <c r="B228" s="22" t="s">
        <v>19158</v>
      </c>
      <c r="C228" s="15" t="s">
        <v>19159</v>
      </c>
      <c r="D228" s="15" t="s">
        <v>19160</v>
      </c>
      <c r="E228" s="15" t="s">
        <v>19161</v>
      </c>
      <c r="F228" s="15" t="s">
        <v>19162</v>
      </c>
      <c r="G228" s="15" t="s">
        <v>19163</v>
      </c>
      <c r="H228" s="16" t="s">
        <v>19164</v>
      </c>
    </row>
    <row r="229" spans="1:8" ht="33.75" x14ac:dyDescent="0.3">
      <c r="A229" s="13">
        <v>40821</v>
      </c>
      <c r="B229" s="22" t="s">
        <v>19165</v>
      </c>
      <c r="C229" s="15" t="s">
        <v>19166</v>
      </c>
      <c r="D229" s="15" t="s">
        <v>19167</v>
      </c>
      <c r="E229" s="15" t="s">
        <v>19168</v>
      </c>
      <c r="F229" s="15" t="s">
        <v>19169</v>
      </c>
      <c r="G229" s="15" t="s">
        <v>19170</v>
      </c>
      <c r="H229" s="16" t="s">
        <v>19171</v>
      </c>
    </row>
    <row r="230" spans="1:8" ht="22.5" x14ac:dyDescent="0.3">
      <c r="A230" s="13">
        <v>40822</v>
      </c>
      <c r="B230" s="22" t="s">
        <v>19172</v>
      </c>
      <c r="C230" s="15" t="s">
        <v>19173</v>
      </c>
      <c r="D230" s="15" t="s">
        <v>19174</v>
      </c>
      <c r="E230" s="15" t="s">
        <v>19175</v>
      </c>
      <c r="F230" s="15" t="s">
        <v>19176</v>
      </c>
      <c r="G230" s="15" t="s">
        <v>19177</v>
      </c>
      <c r="H230" s="16" t="s">
        <v>19178</v>
      </c>
    </row>
    <row r="231" spans="1:8" ht="33.75" x14ac:dyDescent="0.3">
      <c r="A231" s="13">
        <v>40823</v>
      </c>
      <c r="B231" s="22" t="s">
        <v>19179</v>
      </c>
      <c r="C231" s="15" t="s">
        <v>19180</v>
      </c>
      <c r="D231" s="15" t="s">
        <v>19181</v>
      </c>
      <c r="E231" s="15" t="s">
        <v>19182</v>
      </c>
      <c r="F231" s="15" t="s">
        <v>19183</v>
      </c>
      <c r="G231" s="15" t="s">
        <v>19184</v>
      </c>
      <c r="H231" s="16" t="s">
        <v>19185</v>
      </c>
    </row>
    <row r="232" spans="1:8" ht="33.75" x14ac:dyDescent="0.3">
      <c r="A232" s="13">
        <v>40824</v>
      </c>
      <c r="B232" s="22" t="s">
        <v>19186</v>
      </c>
      <c r="C232" s="15" t="s">
        <v>19187</v>
      </c>
      <c r="D232" s="15" t="s">
        <v>19188</v>
      </c>
      <c r="E232" s="15" t="s">
        <v>19189</v>
      </c>
      <c r="F232" s="15" t="s">
        <v>19190</v>
      </c>
      <c r="G232" s="15" t="s">
        <v>19191</v>
      </c>
      <c r="H232" s="16" t="s">
        <v>19192</v>
      </c>
    </row>
    <row r="233" spans="1:8" ht="33.75" x14ac:dyDescent="0.3">
      <c r="A233" s="13">
        <v>40825</v>
      </c>
      <c r="B233" s="22" t="s">
        <v>19193</v>
      </c>
      <c r="C233" s="15" t="s">
        <v>19194</v>
      </c>
      <c r="D233" s="15" t="s">
        <v>19195</v>
      </c>
      <c r="E233" s="15" t="s">
        <v>19196</v>
      </c>
      <c r="F233" s="15" t="s">
        <v>19197</v>
      </c>
      <c r="G233" s="15" t="s">
        <v>19198</v>
      </c>
      <c r="H233" s="16" t="s">
        <v>19199</v>
      </c>
    </row>
    <row r="234" spans="1:8" ht="33.75" x14ac:dyDescent="0.3">
      <c r="A234" s="13">
        <v>40826</v>
      </c>
      <c r="B234" s="22" t="s">
        <v>19200</v>
      </c>
      <c r="C234" s="15" t="s">
        <v>19201</v>
      </c>
      <c r="D234" s="15" t="s">
        <v>19202</v>
      </c>
      <c r="E234" s="15" t="s">
        <v>19203</v>
      </c>
      <c r="F234" s="15" t="s">
        <v>19204</v>
      </c>
      <c r="G234" s="15" t="s">
        <v>19205</v>
      </c>
      <c r="H234" s="16" t="s">
        <v>19206</v>
      </c>
    </row>
    <row r="235" spans="1:8" ht="33.75" x14ac:dyDescent="0.3">
      <c r="A235" s="13">
        <v>40827</v>
      </c>
      <c r="B235" s="22" t="s">
        <v>19207</v>
      </c>
      <c r="C235" s="15" t="s">
        <v>19208</v>
      </c>
      <c r="D235" s="15" t="s">
        <v>19209</v>
      </c>
      <c r="E235" s="15" t="s">
        <v>19210</v>
      </c>
      <c r="F235" s="15" t="s">
        <v>19211</v>
      </c>
      <c r="G235" s="15" t="s">
        <v>19212</v>
      </c>
      <c r="H235" s="16" t="s">
        <v>19213</v>
      </c>
    </row>
    <row r="236" spans="1:8" ht="33.75" x14ac:dyDescent="0.3">
      <c r="A236" s="13">
        <v>40828</v>
      </c>
      <c r="B236" s="22" t="s">
        <v>19214</v>
      </c>
      <c r="C236" s="15" t="s">
        <v>19215</v>
      </c>
      <c r="D236" s="15" t="s">
        <v>19216</v>
      </c>
      <c r="E236" s="15" t="s">
        <v>19217</v>
      </c>
      <c r="F236" s="15" t="s">
        <v>19218</v>
      </c>
      <c r="G236" s="15" t="s">
        <v>19219</v>
      </c>
      <c r="H236" s="16" t="s">
        <v>19220</v>
      </c>
    </row>
    <row r="237" spans="1:8" ht="22.5" x14ac:dyDescent="0.3">
      <c r="A237" s="13">
        <v>40829</v>
      </c>
      <c r="B237" s="22" t="s">
        <v>19221</v>
      </c>
      <c r="C237" s="15" t="s">
        <v>19222</v>
      </c>
      <c r="D237" s="15" t="s">
        <v>19223</v>
      </c>
      <c r="E237" s="15" t="s">
        <v>19224</v>
      </c>
      <c r="F237" s="15" t="s">
        <v>19225</v>
      </c>
      <c r="G237" s="15" t="s">
        <v>19226</v>
      </c>
      <c r="H237" s="16" t="s">
        <v>19227</v>
      </c>
    </row>
    <row r="238" spans="1:8" ht="22.5" x14ac:dyDescent="0.3">
      <c r="A238" s="13">
        <v>40830</v>
      </c>
      <c r="B238" s="22" t="s">
        <v>19228</v>
      </c>
      <c r="C238" s="15" t="s">
        <v>19229</v>
      </c>
      <c r="D238" s="15" t="s">
        <v>19230</v>
      </c>
      <c r="E238" s="15" t="s">
        <v>19231</v>
      </c>
      <c r="F238" s="15" t="s">
        <v>19232</v>
      </c>
      <c r="G238" s="15" t="s">
        <v>19231</v>
      </c>
      <c r="H238" s="16" t="s">
        <v>19233</v>
      </c>
    </row>
    <row r="239" spans="1:8" ht="67.5" x14ac:dyDescent="0.3">
      <c r="A239" s="13">
        <v>40831</v>
      </c>
      <c r="B239" s="22" t="s">
        <v>19234</v>
      </c>
      <c r="C239" s="15" t="s">
        <v>19235</v>
      </c>
      <c r="D239" s="15" t="s">
        <v>19236</v>
      </c>
      <c r="E239" s="15" t="s">
        <v>19237</v>
      </c>
      <c r="F239" s="15" t="s">
        <v>19238</v>
      </c>
      <c r="G239" s="15" t="s">
        <v>19239</v>
      </c>
      <c r="H239" s="16" t="s">
        <v>19239</v>
      </c>
    </row>
    <row r="240" spans="1:8" ht="22.5" x14ac:dyDescent="0.3">
      <c r="A240" s="13">
        <v>40832</v>
      </c>
      <c r="B240" s="22" t="s">
        <v>19240</v>
      </c>
      <c r="C240" s="15" t="s">
        <v>19241</v>
      </c>
      <c r="D240" s="15" t="s">
        <v>19242</v>
      </c>
      <c r="E240" s="15" t="s">
        <v>19243</v>
      </c>
      <c r="F240" s="15" t="s">
        <v>19244</v>
      </c>
      <c r="G240" s="15" t="s">
        <v>19245</v>
      </c>
      <c r="H240" s="16" t="s">
        <v>19246</v>
      </c>
    </row>
    <row r="241" spans="1:8" ht="22.5" x14ac:dyDescent="0.3">
      <c r="A241" s="13">
        <v>40833</v>
      </c>
      <c r="B241" s="22" t="s">
        <v>19247</v>
      </c>
      <c r="C241" s="15" t="s">
        <v>19248</v>
      </c>
      <c r="D241" s="15" t="s">
        <v>19249</v>
      </c>
      <c r="E241" s="15" t="s">
        <v>19250</v>
      </c>
      <c r="F241" s="15" t="s">
        <v>19251</v>
      </c>
      <c r="G241" s="15" t="s">
        <v>19252</v>
      </c>
      <c r="H241" s="16" t="s">
        <v>19253</v>
      </c>
    </row>
    <row r="242" spans="1:8" ht="45" x14ac:dyDescent="0.3">
      <c r="A242" s="13">
        <v>40834</v>
      </c>
      <c r="B242" s="22" t="s">
        <v>19254</v>
      </c>
      <c r="C242" s="15" t="s">
        <v>19255</v>
      </c>
      <c r="D242" s="15" t="s">
        <v>19256</v>
      </c>
      <c r="E242" s="15" t="s">
        <v>19257</v>
      </c>
      <c r="F242" s="15" t="s">
        <v>19258</v>
      </c>
      <c r="G242" s="15" t="s">
        <v>19259</v>
      </c>
      <c r="H242" s="16" t="s">
        <v>19260</v>
      </c>
    </row>
    <row r="243" spans="1:8" ht="123.75" x14ac:dyDescent="0.3">
      <c r="A243" s="13">
        <v>40901</v>
      </c>
      <c r="B243" s="22" t="s">
        <v>19261</v>
      </c>
      <c r="C243" s="15" t="s">
        <v>19262</v>
      </c>
      <c r="D243" s="15" t="s">
        <v>19263</v>
      </c>
      <c r="E243" s="15" t="s">
        <v>19264</v>
      </c>
      <c r="F243" s="15" t="s">
        <v>19265</v>
      </c>
      <c r="G243" s="15" t="s">
        <v>19266</v>
      </c>
      <c r="H243" s="16" t="s">
        <v>19267</v>
      </c>
    </row>
    <row r="244" spans="1:8" ht="67.5" x14ac:dyDescent="0.3">
      <c r="A244" s="13">
        <v>40902</v>
      </c>
      <c r="B244" s="22" t="s">
        <v>19268</v>
      </c>
      <c r="C244" s="15" t="s">
        <v>19269</v>
      </c>
      <c r="D244" s="15" t="s">
        <v>19270</v>
      </c>
      <c r="E244" s="15" t="s">
        <v>19271</v>
      </c>
      <c r="F244" s="15" t="s">
        <v>19272</v>
      </c>
      <c r="G244" s="15" t="s">
        <v>19273</v>
      </c>
      <c r="H244" s="16" t="s">
        <v>19274</v>
      </c>
    </row>
    <row r="245" spans="1:8" ht="45" x14ac:dyDescent="0.3">
      <c r="A245" s="13">
        <v>40903</v>
      </c>
      <c r="B245" s="22" t="s">
        <v>19275</v>
      </c>
      <c r="C245" s="15" t="s">
        <v>19276</v>
      </c>
      <c r="D245" s="15" t="s">
        <v>19277</v>
      </c>
      <c r="E245" s="15" t="s">
        <v>19278</v>
      </c>
      <c r="F245" s="15" t="s">
        <v>19279</v>
      </c>
      <c r="G245" s="15" t="s">
        <v>19280</v>
      </c>
      <c r="H245" s="16" t="s">
        <v>19281</v>
      </c>
    </row>
    <row r="246" spans="1:8" ht="101.25" x14ac:dyDescent="0.3">
      <c r="A246" s="13">
        <v>40904</v>
      </c>
      <c r="B246" s="22" t="s">
        <v>19282</v>
      </c>
      <c r="C246" s="15" t="s">
        <v>19283</v>
      </c>
      <c r="D246" s="15" t="s">
        <v>19284</v>
      </c>
      <c r="E246" s="15" t="s">
        <v>19285</v>
      </c>
      <c r="F246" s="15" t="s">
        <v>19286</v>
      </c>
      <c r="G246" s="15" t="s">
        <v>19287</v>
      </c>
      <c r="H246" s="16" t="s">
        <v>19288</v>
      </c>
    </row>
    <row r="247" spans="1:8" ht="67.5" x14ac:dyDescent="0.3">
      <c r="A247" s="13">
        <v>40905</v>
      </c>
      <c r="B247" s="22" t="s">
        <v>19289</v>
      </c>
      <c r="C247" s="15" t="s">
        <v>19290</v>
      </c>
      <c r="D247" s="15" t="s">
        <v>19291</v>
      </c>
      <c r="E247" s="15" t="s">
        <v>19292</v>
      </c>
      <c r="F247" s="15" t="s">
        <v>19293</v>
      </c>
      <c r="G247" s="15" t="s">
        <v>19294</v>
      </c>
      <c r="H247" s="16" t="s">
        <v>19295</v>
      </c>
    </row>
    <row r="248" spans="1:8" ht="33.75" x14ac:dyDescent="0.3">
      <c r="A248" s="13">
        <v>40906</v>
      </c>
      <c r="B248" s="22" t="s">
        <v>19711</v>
      </c>
      <c r="C248" s="15" t="s">
        <v>19296</v>
      </c>
      <c r="D248" s="15"/>
      <c r="E248" s="15" t="s">
        <v>19297</v>
      </c>
      <c r="F248" s="15" t="s">
        <v>19298</v>
      </c>
      <c r="G248" s="15" t="s">
        <v>19299</v>
      </c>
      <c r="H248" s="16" t="s">
        <v>19300</v>
      </c>
    </row>
    <row r="249" spans="1:8" ht="33.75" x14ac:dyDescent="0.3">
      <c r="A249" s="13">
        <v>40907</v>
      </c>
      <c r="B249" s="22" t="s">
        <v>19712</v>
      </c>
      <c r="C249" s="15" t="s">
        <v>19301</v>
      </c>
      <c r="D249" s="15" t="s">
        <v>19302</v>
      </c>
      <c r="E249" s="15"/>
      <c r="F249" s="15" t="s">
        <v>19303</v>
      </c>
      <c r="G249" s="15" t="s">
        <v>19304</v>
      </c>
      <c r="H249" s="16" t="s">
        <v>19305</v>
      </c>
    </row>
    <row r="250" spans="1:8" ht="101.25" x14ac:dyDescent="0.3">
      <c r="A250" s="13">
        <v>40908</v>
      </c>
      <c r="B250" s="22" t="s">
        <v>19713</v>
      </c>
      <c r="C250" s="15" t="s">
        <v>19306</v>
      </c>
      <c r="D250" s="15" t="s">
        <v>19307</v>
      </c>
      <c r="E250" s="15" t="s">
        <v>19308</v>
      </c>
      <c r="F250" s="15" t="s">
        <v>19309</v>
      </c>
      <c r="G250" s="15" t="s">
        <v>19310</v>
      </c>
      <c r="H250" s="16" t="s">
        <v>19311</v>
      </c>
    </row>
    <row r="251" spans="1:8" ht="33.75" x14ac:dyDescent="0.3">
      <c r="A251" s="13">
        <v>41001</v>
      </c>
      <c r="B251" s="22" t="s">
        <v>19312</v>
      </c>
      <c r="C251" s="15" t="s">
        <v>19313</v>
      </c>
      <c r="D251" s="15" t="s">
        <v>19314</v>
      </c>
      <c r="E251" s="15" t="s">
        <v>19315</v>
      </c>
      <c r="F251" s="15" t="s">
        <v>19316</v>
      </c>
      <c r="G251" s="15" t="s">
        <v>19317</v>
      </c>
      <c r="H251" s="16" t="s">
        <v>19318</v>
      </c>
    </row>
    <row r="252" spans="1:8" ht="78.75" x14ac:dyDescent="0.3">
      <c r="A252" s="13">
        <v>41002</v>
      </c>
      <c r="B252" s="22" t="s">
        <v>19319</v>
      </c>
      <c r="C252" s="15" t="s">
        <v>19320</v>
      </c>
      <c r="D252" s="15" t="s">
        <v>19321</v>
      </c>
      <c r="E252" s="15" t="s">
        <v>19322</v>
      </c>
      <c r="F252" s="15" t="s">
        <v>19323</v>
      </c>
      <c r="G252" s="15" t="s">
        <v>19324</v>
      </c>
      <c r="H252" s="16" t="s">
        <v>19325</v>
      </c>
    </row>
    <row r="253" spans="1:8" ht="56.25" x14ac:dyDescent="0.3">
      <c r="A253" s="13">
        <v>41003</v>
      </c>
      <c r="B253" s="22" t="s">
        <v>19326</v>
      </c>
      <c r="C253" s="15" t="s">
        <v>19327</v>
      </c>
      <c r="D253" s="15" t="s">
        <v>19328</v>
      </c>
      <c r="E253" s="15" t="s">
        <v>19329</v>
      </c>
      <c r="F253" s="15" t="s">
        <v>19330</v>
      </c>
      <c r="G253" s="15" t="s">
        <v>19331</v>
      </c>
      <c r="H253" s="16" t="s">
        <v>19332</v>
      </c>
    </row>
    <row r="254" spans="1:8" ht="90" x14ac:dyDescent="0.3">
      <c r="A254" s="13">
        <v>41004</v>
      </c>
      <c r="B254" s="22" t="s">
        <v>19333</v>
      </c>
      <c r="C254" s="15" t="s">
        <v>19334</v>
      </c>
      <c r="D254" s="15" t="s">
        <v>19335</v>
      </c>
      <c r="E254" s="15" t="s">
        <v>19336</v>
      </c>
      <c r="F254" s="15" t="s">
        <v>19337</v>
      </c>
      <c r="G254" s="15" t="s">
        <v>19338</v>
      </c>
      <c r="H254" s="16" t="s">
        <v>19339</v>
      </c>
    </row>
    <row r="255" spans="1:8" ht="56.25" x14ac:dyDescent="0.3">
      <c r="A255" s="13">
        <v>41005</v>
      </c>
      <c r="B255" s="22" t="s">
        <v>19340</v>
      </c>
      <c r="C255" s="15" t="s">
        <v>19341</v>
      </c>
      <c r="D255" s="15" t="s">
        <v>19342</v>
      </c>
      <c r="E255" s="15" t="s">
        <v>19343</v>
      </c>
      <c r="F255" s="15" t="s">
        <v>19344</v>
      </c>
      <c r="G255" s="15" t="s">
        <v>19344</v>
      </c>
      <c r="H255" s="16" t="s">
        <v>19345</v>
      </c>
    </row>
    <row r="256" spans="1:8" ht="45" x14ac:dyDescent="0.3">
      <c r="A256" s="13">
        <v>41006</v>
      </c>
      <c r="B256" s="22" t="s">
        <v>19346</v>
      </c>
      <c r="C256" s="15" t="s">
        <v>19347</v>
      </c>
      <c r="D256" s="15" t="s">
        <v>19348</v>
      </c>
      <c r="E256" s="15" t="s">
        <v>19349</v>
      </c>
      <c r="F256" s="15" t="s">
        <v>19350</v>
      </c>
      <c r="G256" s="15" t="s">
        <v>19351</v>
      </c>
      <c r="H256" s="16" t="s">
        <v>19352</v>
      </c>
    </row>
    <row r="257" spans="1:8" ht="78.75" x14ac:dyDescent="0.3">
      <c r="A257" s="13">
        <v>41007</v>
      </c>
      <c r="B257" s="22" t="s">
        <v>19353</v>
      </c>
      <c r="C257" s="15" t="s">
        <v>19354</v>
      </c>
      <c r="D257" s="15" t="s">
        <v>19355</v>
      </c>
      <c r="E257" s="15" t="s">
        <v>19356</v>
      </c>
      <c r="F257" s="15" t="s">
        <v>19357</v>
      </c>
      <c r="G257" s="15" t="s">
        <v>19358</v>
      </c>
      <c r="H257" s="16" t="s">
        <v>19359</v>
      </c>
    </row>
    <row r="258" spans="1:8" ht="33.75" x14ac:dyDescent="0.3">
      <c r="A258" s="13">
        <v>41008</v>
      </c>
      <c r="B258" s="22" t="s">
        <v>19360</v>
      </c>
      <c r="C258" s="15" t="s">
        <v>19361</v>
      </c>
      <c r="D258" s="15" t="s">
        <v>19362</v>
      </c>
      <c r="E258" s="15" t="s">
        <v>19363</v>
      </c>
      <c r="F258" s="15" t="s">
        <v>19364</v>
      </c>
      <c r="G258" s="15" t="s">
        <v>19364</v>
      </c>
      <c r="H258" s="16" t="s">
        <v>19365</v>
      </c>
    </row>
    <row r="259" spans="1:8" ht="33.75" x14ac:dyDescent="0.3">
      <c r="A259" s="13">
        <v>41009</v>
      </c>
      <c r="B259" s="22" t="s">
        <v>19366</v>
      </c>
      <c r="C259" s="15" t="s">
        <v>19367</v>
      </c>
      <c r="D259" s="15" t="s">
        <v>19368</v>
      </c>
      <c r="E259" s="15" t="s">
        <v>19369</v>
      </c>
      <c r="F259" s="15" t="s">
        <v>19370</v>
      </c>
      <c r="G259" s="15" t="s">
        <v>19371</v>
      </c>
      <c r="H259" s="16" t="s">
        <v>19371</v>
      </c>
    </row>
    <row r="260" spans="1:8" ht="67.5" x14ac:dyDescent="0.3">
      <c r="A260" s="13">
        <v>41010</v>
      </c>
      <c r="B260" s="22" t="s">
        <v>19372</v>
      </c>
      <c r="C260" s="15" t="s">
        <v>19373</v>
      </c>
      <c r="D260" s="15" t="s">
        <v>19374</v>
      </c>
      <c r="E260" s="15" t="s">
        <v>19375</v>
      </c>
      <c r="F260" s="15" t="s">
        <v>19376</v>
      </c>
      <c r="G260" s="15" t="s">
        <v>19377</v>
      </c>
      <c r="H260" s="16" t="s">
        <v>19378</v>
      </c>
    </row>
    <row r="261" spans="1:8" ht="67.5" x14ac:dyDescent="0.3">
      <c r="A261" s="13">
        <v>41011</v>
      </c>
      <c r="B261" s="22" t="s">
        <v>19379</v>
      </c>
      <c r="C261" s="15" t="s">
        <v>19380</v>
      </c>
      <c r="D261" s="15" t="s">
        <v>19381</v>
      </c>
      <c r="E261" s="15" t="s">
        <v>19382</v>
      </c>
      <c r="F261" s="15" t="s">
        <v>19383</v>
      </c>
      <c r="G261" s="15" t="s">
        <v>19384</v>
      </c>
      <c r="H261" s="16" t="s">
        <v>19385</v>
      </c>
    </row>
    <row r="262" spans="1:8" ht="33.75" x14ac:dyDescent="0.3">
      <c r="A262" s="13">
        <v>41012</v>
      </c>
      <c r="B262" s="22" t="s">
        <v>19386</v>
      </c>
      <c r="C262" s="15" t="s">
        <v>19387</v>
      </c>
      <c r="D262" s="15" t="s">
        <v>19388</v>
      </c>
      <c r="E262" s="15" t="s">
        <v>19389</v>
      </c>
      <c r="F262" s="15" t="s">
        <v>19390</v>
      </c>
      <c r="G262" s="15" t="s">
        <v>19391</v>
      </c>
      <c r="H262" s="16" t="s">
        <v>19392</v>
      </c>
    </row>
    <row r="263" spans="1:8" ht="45" x14ac:dyDescent="0.3">
      <c r="A263" s="13">
        <v>41013</v>
      </c>
      <c r="B263" s="22" t="s">
        <v>19393</v>
      </c>
      <c r="C263" s="15" t="s">
        <v>19394</v>
      </c>
      <c r="D263" s="15" t="s">
        <v>19395</v>
      </c>
      <c r="E263" s="15" t="s">
        <v>19396</v>
      </c>
      <c r="F263" s="15" t="s">
        <v>19397</v>
      </c>
      <c r="G263" s="15" t="s">
        <v>19398</v>
      </c>
      <c r="H263" s="16" t="s">
        <v>19399</v>
      </c>
    </row>
    <row r="264" spans="1:8" ht="123.75" x14ac:dyDescent="0.3">
      <c r="A264" s="13">
        <v>41014</v>
      </c>
      <c r="B264" s="22" t="s">
        <v>19400</v>
      </c>
      <c r="C264" s="15" t="s">
        <v>19401</v>
      </c>
      <c r="D264" s="15" t="s">
        <v>19402</v>
      </c>
      <c r="E264" s="15" t="s">
        <v>19403</v>
      </c>
      <c r="F264" s="15" t="s">
        <v>19404</v>
      </c>
      <c r="G264" s="15" t="s">
        <v>19405</v>
      </c>
      <c r="H264" s="16" t="s">
        <v>19406</v>
      </c>
    </row>
    <row r="265" spans="1:8" ht="33.75" x14ac:dyDescent="0.3">
      <c r="A265" s="13">
        <v>41015</v>
      </c>
      <c r="B265" s="22" t="s">
        <v>19407</v>
      </c>
      <c r="C265" s="15" t="s">
        <v>19408</v>
      </c>
      <c r="D265" s="15" t="s">
        <v>19409</v>
      </c>
      <c r="E265" s="15" t="s">
        <v>19410</v>
      </c>
      <c r="F265" s="15" t="s">
        <v>19411</v>
      </c>
      <c r="G265" s="15" t="s">
        <v>19412</v>
      </c>
      <c r="H265" s="16" t="s">
        <v>19413</v>
      </c>
    </row>
    <row r="266" spans="1:8" ht="22.5" x14ac:dyDescent="0.3">
      <c r="A266" s="13">
        <v>41016</v>
      </c>
      <c r="B266" s="22" t="s">
        <v>19414</v>
      </c>
      <c r="C266" s="15" t="s">
        <v>19415</v>
      </c>
      <c r="D266" s="15"/>
      <c r="E266" s="15" t="s">
        <v>19416</v>
      </c>
      <c r="F266" s="15" t="s">
        <v>19417</v>
      </c>
      <c r="G266" s="15" t="s">
        <v>19416</v>
      </c>
      <c r="H266" s="16" t="s">
        <v>19418</v>
      </c>
    </row>
    <row r="267" spans="1:8" ht="90" x14ac:dyDescent="0.3">
      <c r="A267" s="13">
        <v>41017</v>
      </c>
      <c r="B267" s="22" t="s">
        <v>19419</v>
      </c>
      <c r="C267" s="15" t="s">
        <v>19420</v>
      </c>
      <c r="D267" s="15" t="s">
        <v>19421</v>
      </c>
      <c r="E267" s="15" t="s">
        <v>19422</v>
      </c>
      <c r="F267" s="15" t="s">
        <v>19423</v>
      </c>
      <c r="G267" s="15" t="s">
        <v>19424</v>
      </c>
      <c r="H267" s="16" t="s">
        <v>19425</v>
      </c>
    </row>
    <row r="268" spans="1:8" ht="56.25" x14ac:dyDescent="0.3">
      <c r="A268" s="13">
        <v>41018</v>
      </c>
      <c r="B268" s="22" t="s">
        <v>19426</v>
      </c>
      <c r="C268" s="15" t="s">
        <v>19427</v>
      </c>
      <c r="D268" s="15" t="s">
        <v>19428</v>
      </c>
      <c r="E268" s="15" t="s">
        <v>19429</v>
      </c>
      <c r="F268" s="15" t="s">
        <v>19430</v>
      </c>
      <c r="G268" s="15" t="s">
        <v>19431</v>
      </c>
      <c r="H268" s="16" t="s">
        <v>19431</v>
      </c>
    </row>
    <row r="269" spans="1:8" ht="45" x14ac:dyDescent="0.3">
      <c r="A269" s="13">
        <v>41019</v>
      </c>
      <c r="B269" s="22" t="s">
        <v>19432</v>
      </c>
      <c r="C269" s="15" t="s">
        <v>19433</v>
      </c>
      <c r="D269" s="15"/>
      <c r="E269" s="15" t="s">
        <v>19434</v>
      </c>
      <c r="F269" s="15" t="s">
        <v>19435</v>
      </c>
      <c r="G269" s="15" t="s">
        <v>19436</v>
      </c>
      <c r="H269" s="16" t="s">
        <v>19437</v>
      </c>
    </row>
    <row r="270" spans="1:8" ht="33.75" x14ac:dyDescent="0.3">
      <c r="A270" s="13">
        <v>41020</v>
      </c>
      <c r="B270" s="22" t="s">
        <v>19438</v>
      </c>
      <c r="C270" s="15" t="s">
        <v>19439</v>
      </c>
      <c r="D270" s="15" t="s">
        <v>19440</v>
      </c>
      <c r="E270" s="15" t="s">
        <v>19441</v>
      </c>
      <c r="F270" s="15" t="s">
        <v>19442</v>
      </c>
      <c r="G270" s="15" t="s">
        <v>19443</v>
      </c>
      <c r="H270" s="16" t="s">
        <v>19444</v>
      </c>
    </row>
    <row r="271" spans="1:8" ht="101.25" x14ac:dyDescent="0.3">
      <c r="A271" s="13">
        <v>41021</v>
      </c>
      <c r="B271" s="22" t="s">
        <v>19445</v>
      </c>
      <c r="C271" s="15" t="s">
        <v>19446</v>
      </c>
      <c r="D271" s="15" t="s">
        <v>19447</v>
      </c>
      <c r="E271" s="15" t="s">
        <v>19448</v>
      </c>
      <c r="F271" s="15" t="s">
        <v>19448</v>
      </c>
      <c r="G271" s="15" t="s">
        <v>19449</v>
      </c>
      <c r="H271" s="16" t="s">
        <v>19448</v>
      </c>
    </row>
    <row r="272" spans="1:8" ht="22.5" x14ac:dyDescent="0.3">
      <c r="A272" s="13">
        <v>41022</v>
      </c>
      <c r="B272" s="22" t="s">
        <v>19450</v>
      </c>
      <c r="C272" s="15" t="s">
        <v>19451</v>
      </c>
      <c r="D272" s="15" t="s">
        <v>19452</v>
      </c>
      <c r="E272" s="15" t="s">
        <v>19453</v>
      </c>
      <c r="F272" s="15" t="s">
        <v>19454</v>
      </c>
      <c r="G272" s="15" t="s">
        <v>19455</v>
      </c>
      <c r="H272" s="16" t="s">
        <v>14821</v>
      </c>
    </row>
    <row r="273" spans="1:8" ht="45" x14ac:dyDescent="0.3">
      <c r="A273" s="13">
        <v>41023</v>
      </c>
      <c r="B273" s="22" t="s">
        <v>19456</v>
      </c>
      <c r="C273" s="15" t="s">
        <v>19457</v>
      </c>
      <c r="D273" s="15" t="s">
        <v>19458</v>
      </c>
      <c r="E273" s="15" t="s">
        <v>19459</v>
      </c>
      <c r="F273" s="15" t="s">
        <v>19460</v>
      </c>
      <c r="G273" s="15" t="s">
        <v>19461</v>
      </c>
      <c r="H273" s="16" t="s">
        <v>19462</v>
      </c>
    </row>
    <row r="274" spans="1:8" ht="33.75" x14ac:dyDescent="0.3">
      <c r="A274" s="13">
        <v>41024</v>
      </c>
      <c r="B274" s="22" t="s">
        <v>19463</v>
      </c>
      <c r="C274" s="15" t="s">
        <v>19464</v>
      </c>
      <c r="D274" s="15"/>
      <c r="E274" s="15" t="s">
        <v>19465</v>
      </c>
      <c r="F274" s="15" t="s">
        <v>19466</v>
      </c>
      <c r="G274" s="15" t="s">
        <v>19467</v>
      </c>
      <c r="H274" s="16" t="s">
        <v>19468</v>
      </c>
    </row>
    <row r="275" spans="1:8" ht="56.25" x14ac:dyDescent="0.3">
      <c r="A275" s="13">
        <v>41025</v>
      </c>
      <c r="B275" s="22" t="s">
        <v>19469</v>
      </c>
      <c r="C275" s="15" t="s">
        <v>19470</v>
      </c>
      <c r="D275" s="15" t="s">
        <v>19471</v>
      </c>
      <c r="E275" s="15" t="s">
        <v>19472</v>
      </c>
      <c r="F275" s="15" t="s">
        <v>19473</v>
      </c>
      <c r="G275" s="15" t="s">
        <v>19474</v>
      </c>
      <c r="H275" s="16" t="s">
        <v>19475</v>
      </c>
    </row>
    <row r="276" spans="1:8" ht="56.25" x14ac:dyDescent="0.3">
      <c r="A276" s="13">
        <v>41026</v>
      </c>
      <c r="B276" s="22" t="s">
        <v>19476</v>
      </c>
      <c r="C276" s="15" t="s">
        <v>19477</v>
      </c>
      <c r="D276" s="15" t="s">
        <v>19478</v>
      </c>
      <c r="E276" s="15" t="s">
        <v>19479</v>
      </c>
      <c r="F276" s="15" t="s">
        <v>19480</v>
      </c>
      <c r="G276" s="15" t="s">
        <v>19481</v>
      </c>
      <c r="H276" s="16" t="s">
        <v>19482</v>
      </c>
    </row>
    <row r="277" spans="1:8" ht="56.25" x14ac:dyDescent="0.3">
      <c r="A277" s="13">
        <v>41027</v>
      </c>
      <c r="B277" s="22" t="s">
        <v>19483</v>
      </c>
      <c r="C277" s="15" t="s">
        <v>19484</v>
      </c>
      <c r="D277" s="15" t="s">
        <v>19485</v>
      </c>
      <c r="E277" s="15" t="s">
        <v>19486</v>
      </c>
      <c r="F277" s="15" t="s">
        <v>19487</v>
      </c>
      <c r="G277" s="15" t="s">
        <v>19488</v>
      </c>
      <c r="H277" s="16" t="s">
        <v>19489</v>
      </c>
    </row>
    <row r="278" spans="1:8" ht="22.5" x14ac:dyDescent="0.3">
      <c r="A278" s="13">
        <v>41028</v>
      </c>
      <c r="B278" s="22" t="s">
        <v>19490</v>
      </c>
      <c r="C278" s="15" t="s">
        <v>19491</v>
      </c>
      <c r="D278" s="15"/>
      <c r="E278" s="15" t="s">
        <v>19492</v>
      </c>
      <c r="F278" s="15" t="s">
        <v>19493</v>
      </c>
      <c r="G278" s="15" t="s">
        <v>19494</v>
      </c>
      <c r="H278" s="16" t="s">
        <v>19495</v>
      </c>
    </row>
    <row r="279" spans="1:8" ht="33.75" x14ac:dyDescent="0.3">
      <c r="A279" s="13">
        <v>41029</v>
      </c>
      <c r="B279" s="22" t="s">
        <v>19496</v>
      </c>
      <c r="C279" s="15" t="s">
        <v>19497</v>
      </c>
      <c r="D279" s="15" t="s">
        <v>19498</v>
      </c>
      <c r="E279" s="15"/>
      <c r="F279" s="15" t="s">
        <v>19499</v>
      </c>
      <c r="G279" s="15" t="s">
        <v>19500</v>
      </c>
      <c r="H279" s="16" t="s">
        <v>19501</v>
      </c>
    </row>
    <row r="280" spans="1:8" ht="67.5" x14ac:dyDescent="0.3">
      <c r="A280" s="13">
        <v>41030</v>
      </c>
      <c r="B280" s="22" t="s">
        <v>19502</v>
      </c>
      <c r="C280" s="15" t="s">
        <v>19503</v>
      </c>
      <c r="D280" s="15" t="s">
        <v>19504</v>
      </c>
      <c r="E280" s="15" t="s">
        <v>19505</v>
      </c>
      <c r="F280" s="15" t="s">
        <v>19506</v>
      </c>
      <c r="G280" s="15" t="s">
        <v>19507</v>
      </c>
      <c r="H280" s="16" t="s">
        <v>19508</v>
      </c>
    </row>
    <row r="281" spans="1:8" ht="33.75" x14ac:dyDescent="0.3">
      <c r="A281" s="13">
        <v>41031</v>
      </c>
      <c r="B281" s="22" t="s">
        <v>19509</v>
      </c>
      <c r="C281" s="15" t="s">
        <v>19510</v>
      </c>
      <c r="D281" s="15"/>
      <c r="E281" s="15" t="s">
        <v>19511</v>
      </c>
      <c r="F281" s="15" t="s">
        <v>57</v>
      </c>
      <c r="G281" s="15" t="s">
        <v>19512</v>
      </c>
      <c r="H281" s="16" t="s">
        <v>19513</v>
      </c>
    </row>
    <row r="282" spans="1:8" ht="22.5" x14ac:dyDescent="0.3">
      <c r="A282" s="13">
        <v>41032</v>
      </c>
      <c r="B282" s="22" t="s">
        <v>19514</v>
      </c>
      <c r="C282" s="15" t="s">
        <v>19515</v>
      </c>
      <c r="D282" s="15"/>
      <c r="E282" s="15" t="s">
        <v>19516</v>
      </c>
      <c r="F282" s="15" t="s">
        <v>19517</v>
      </c>
      <c r="G282" s="15" t="s">
        <v>19518</v>
      </c>
      <c r="H282" s="16" t="s">
        <v>19517</v>
      </c>
    </row>
    <row r="283" spans="1:8" ht="33.75" x14ac:dyDescent="0.3">
      <c r="A283" s="13">
        <v>41033</v>
      </c>
      <c r="B283" s="22" t="s">
        <v>19519</v>
      </c>
      <c r="C283" s="15" t="s">
        <v>19520</v>
      </c>
      <c r="D283" s="15" t="s">
        <v>19521</v>
      </c>
      <c r="E283" s="15" t="s">
        <v>19522</v>
      </c>
      <c r="F283" s="15" t="s">
        <v>19523</v>
      </c>
      <c r="G283" s="15" t="s">
        <v>19524</v>
      </c>
      <c r="H283" s="16" t="s">
        <v>19525</v>
      </c>
    </row>
    <row r="284" spans="1:8" ht="45" x14ac:dyDescent="0.3">
      <c r="A284" s="13">
        <v>41034</v>
      </c>
      <c r="B284" s="22" t="s">
        <v>19526</v>
      </c>
      <c r="C284" s="15" t="s">
        <v>19527</v>
      </c>
      <c r="D284" s="15" t="s">
        <v>19528</v>
      </c>
      <c r="E284" s="15" t="s">
        <v>19529</v>
      </c>
      <c r="F284" s="15" t="s">
        <v>19530</v>
      </c>
      <c r="G284" s="15" t="s">
        <v>19531</v>
      </c>
      <c r="H284" s="16" t="s">
        <v>19532</v>
      </c>
    </row>
    <row r="285" spans="1:8" ht="123.75" x14ac:dyDescent="0.3">
      <c r="A285" s="13">
        <v>41101</v>
      </c>
      <c r="B285" s="22" t="s">
        <v>19533</v>
      </c>
      <c r="C285" s="15" t="s">
        <v>19534</v>
      </c>
      <c r="D285" s="15" t="s">
        <v>19535</v>
      </c>
      <c r="E285" s="15"/>
      <c r="F285" s="15" t="s">
        <v>19536</v>
      </c>
      <c r="G285" s="15" t="s">
        <v>19537</v>
      </c>
      <c r="H285" s="16" t="s">
        <v>19538</v>
      </c>
    </row>
    <row r="286" spans="1:8" ht="123.75" x14ac:dyDescent="0.3">
      <c r="A286" s="13">
        <v>41102</v>
      </c>
      <c r="B286" s="22" t="s">
        <v>19539</v>
      </c>
      <c r="C286" s="15" t="s">
        <v>19540</v>
      </c>
      <c r="D286" s="15" t="s">
        <v>19541</v>
      </c>
      <c r="E286" s="15"/>
      <c r="F286" s="15" t="s">
        <v>19542</v>
      </c>
      <c r="G286" s="15" t="s">
        <v>19543</v>
      </c>
      <c r="H286" s="16" t="s">
        <v>19544</v>
      </c>
    </row>
    <row r="287" spans="1:8" ht="45" x14ac:dyDescent="0.3">
      <c r="A287" s="13">
        <v>41103</v>
      </c>
      <c r="B287" s="22" t="s">
        <v>19545</v>
      </c>
      <c r="C287" s="15" t="s">
        <v>19546</v>
      </c>
      <c r="D287" s="15" t="s">
        <v>19547</v>
      </c>
      <c r="E287" s="15"/>
      <c r="F287" s="15" t="s">
        <v>19548</v>
      </c>
      <c r="G287" s="15" t="s">
        <v>19549</v>
      </c>
      <c r="H287" s="16" t="s">
        <v>19550</v>
      </c>
    </row>
    <row r="288" spans="1:8" ht="67.5" x14ac:dyDescent="0.3">
      <c r="A288" s="13">
        <v>41104</v>
      </c>
      <c r="B288" s="22" t="s">
        <v>19551</v>
      </c>
      <c r="C288" s="15" t="s">
        <v>19552</v>
      </c>
      <c r="D288" s="15" t="s">
        <v>19553</v>
      </c>
      <c r="E288" s="15"/>
      <c r="F288" s="15" t="s">
        <v>19554</v>
      </c>
      <c r="G288" s="15" t="s">
        <v>19555</v>
      </c>
      <c r="H288" s="16" t="s">
        <v>19556</v>
      </c>
    </row>
    <row r="289" spans="1:8" ht="90" x14ac:dyDescent="0.3">
      <c r="A289" s="13">
        <v>41105</v>
      </c>
      <c r="B289" s="22" t="s">
        <v>19557</v>
      </c>
      <c r="C289" s="15" t="s">
        <v>19558</v>
      </c>
      <c r="D289" s="15" t="s">
        <v>19559</v>
      </c>
      <c r="E289" s="15"/>
      <c r="F289" s="15" t="s">
        <v>19560</v>
      </c>
      <c r="G289" s="15" t="s">
        <v>19561</v>
      </c>
      <c r="H289" s="16" t="s">
        <v>19562</v>
      </c>
    </row>
    <row r="290" spans="1:8" ht="112.5" x14ac:dyDescent="0.3">
      <c r="A290" s="13">
        <v>41106</v>
      </c>
      <c r="B290" s="22" t="s">
        <v>19563</v>
      </c>
      <c r="C290" s="15" t="s">
        <v>19564</v>
      </c>
      <c r="D290" s="15" t="s">
        <v>19565</v>
      </c>
      <c r="E290" s="15"/>
      <c r="F290" s="15" t="s">
        <v>19566</v>
      </c>
      <c r="G290" s="15" t="s">
        <v>19567</v>
      </c>
      <c r="H290" s="16" t="s">
        <v>19568</v>
      </c>
    </row>
    <row r="291" spans="1:8" ht="78.75" x14ac:dyDescent="0.3">
      <c r="A291" s="13">
        <v>41107</v>
      </c>
      <c r="B291" s="22" t="s">
        <v>19569</v>
      </c>
      <c r="C291" s="15" t="s">
        <v>19570</v>
      </c>
      <c r="D291" s="15" t="s">
        <v>19571</v>
      </c>
      <c r="E291" s="15"/>
      <c r="F291" s="15"/>
      <c r="G291" s="15" t="s">
        <v>19572</v>
      </c>
      <c r="H291" s="16" t="s">
        <v>19573</v>
      </c>
    </row>
    <row r="292" spans="1:8" ht="67.5" x14ac:dyDescent="0.3">
      <c r="A292" s="13">
        <v>41108</v>
      </c>
      <c r="B292" s="22" t="s">
        <v>19574</v>
      </c>
      <c r="C292" s="15" t="s">
        <v>19575</v>
      </c>
      <c r="D292" s="15" t="s">
        <v>19576</v>
      </c>
      <c r="E292" s="15"/>
      <c r="F292" s="15" t="s">
        <v>19577</v>
      </c>
      <c r="G292" s="15" t="s">
        <v>19578</v>
      </c>
      <c r="H292" s="16" t="s">
        <v>19579</v>
      </c>
    </row>
    <row r="293" spans="1:8" ht="225" x14ac:dyDescent="0.3">
      <c r="A293" s="13">
        <v>41109</v>
      </c>
      <c r="B293" s="22" t="s">
        <v>19580</v>
      </c>
      <c r="C293" s="15" t="s">
        <v>19581</v>
      </c>
      <c r="D293" s="15" t="s">
        <v>19582</v>
      </c>
      <c r="E293" s="15"/>
      <c r="F293" s="15" t="s">
        <v>19583</v>
      </c>
      <c r="G293" s="15" t="s">
        <v>19584</v>
      </c>
      <c r="H293" s="16" t="s">
        <v>19585</v>
      </c>
    </row>
    <row r="294" spans="1:8" ht="56.25" x14ac:dyDescent="0.3">
      <c r="A294" s="13">
        <v>41110</v>
      </c>
      <c r="B294" s="22" t="s">
        <v>19586</v>
      </c>
      <c r="C294" s="15" t="s">
        <v>19587</v>
      </c>
      <c r="D294" s="15" t="s">
        <v>19588</v>
      </c>
      <c r="E294" s="15"/>
      <c r="F294" s="15" t="s">
        <v>19589</v>
      </c>
      <c r="G294" s="15" t="s">
        <v>19590</v>
      </c>
      <c r="H294" s="16" t="s">
        <v>19591</v>
      </c>
    </row>
    <row r="295" spans="1:8" ht="33.75" x14ac:dyDescent="0.3">
      <c r="A295" s="13">
        <v>41111</v>
      </c>
      <c r="B295" s="22" t="s">
        <v>19592</v>
      </c>
      <c r="C295" s="15" t="s">
        <v>19593</v>
      </c>
      <c r="D295" s="15" t="s">
        <v>19594</v>
      </c>
      <c r="E295" s="15"/>
      <c r="F295" s="15" t="s">
        <v>19595</v>
      </c>
      <c r="G295" s="15" t="s">
        <v>19596</v>
      </c>
      <c r="H295" s="16" t="s">
        <v>19597</v>
      </c>
    </row>
    <row r="296" spans="1:8" ht="67.5" x14ac:dyDescent="0.3">
      <c r="A296" s="13">
        <v>41112</v>
      </c>
      <c r="B296" s="22" t="s">
        <v>19598</v>
      </c>
      <c r="C296" s="15" t="s">
        <v>19599</v>
      </c>
      <c r="D296" s="15" t="s">
        <v>19600</v>
      </c>
      <c r="E296" s="15"/>
      <c r="F296" s="15" t="s">
        <v>19601</v>
      </c>
      <c r="G296" s="15" t="s">
        <v>19602</v>
      </c>
      <c r="H296" s="16" t="s">
        <v>19603</v>
      </c>
    </row>
    <row r="297" spans="1:8" ht="45" x14ac:dyDescent="0.3">
      <c r="A297" s="13">
        <v>41113</v>
      </c>
      <c r="B297" s="22" t="s">
        <v>19604</v>
      </c>
      <c r="C297" s="15" t="s">
        <v>19605</v>
      </c>
      <c r="D297" s="15" t="s">
        <v>57</v>
      </c>
      <c r="E297" s="15"/>
      <c r="F297" s="15" t="s">
        <v>57</v>
      </c>
      <c r="G297" s="15" t="s">
        <v>19606</v>
      </c>
      <c r="H297" s="16" t="s">
        <v>57</v>
      </c>
    </row>
    <row r="298" spans="1:8" ht="56.25" x14ac:dyDescent="0.3">
      <c r="A298" s="13">
        <v>41114</v>
      </c>
      <c r="B298" s="22" t="s">
        <v>19607</v>
      </c>
      <c r="C298" s="15" t="s">
        <v>19608</v>
      </c>
      <c r="D298" s="15" t="s">
        <v>19609</v>
      </c>
      <c r="E298" s="15"/>
      <c r="F298" s="15" t="s">
        <v>19610</v>
      </c>
      <c r="G298" s="15" t="s">
        <v>19611</v>
      </c>
      <c r="H298" s="16" t="s">
        <v>19612</v>
      </c>
    </row>
    <row r="299" spans="1:8" ht="33.75" x14ac:dyDescent="0.3">
      <c r="A299" s="13">
        <v>41115</v>
      </c>
      <c r="B299" s="22" t="s">
        <v>19613</v>
      </c>
      <c r="C299" s="15" t="s">
        <v>19614</v>
      </c>
      <c r="D299" s="15" t="s">
        <v>19615</v>
      </c>
      <c r="E299" s="15"/>
      <c r="F299" s="15" t="s">
        <v>19616</v>
      </c>
      <c r="G299" s="15" t="s">
        <v>19617</v>
      </c>
      <c r="H299" s="16" t="s">
        <v>19618</v>
      </c>
    </row>
    <row r="300" spans="1:8" ht="45.75" thickBot="1" x14ac:dyDescent="0.35">
      <c r="A300" s="17">
        <v>41116</v>
      </c>
      <c r="B300" s="23" t="s">
        <v>19619</v>
      </c>
      <c r="C300" s="19" t="s">
        <v>19620</v>
      </c>
      <c r="D300" s="19" t="s">
        <v>19621</v>
      </c>
      <c r="E300" s="19"/>
      <c r="F300" s="19" t="s">
        <v>19622</v>
      </c>
      <c r="G300" s="19" t="s">
        <v>19623</v>
      </c>
      <c r="H300" s="20" t="s">
        <v>19624</v>
      </c>
    </row>
  </sheetData>
  <mergeCells count="1">
    <mergeCell ref="A1:H1"/>
  </mergeCells>
  <phoneticPr fontId="18" type="noConversion"/>
  <printOptions horizontalCentered="1"/>
  <pageMargins left="1.1811023622047243" right="1.1811023622047243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27"/>
  <sheetViews>
    <sheetView topLeftCell="A3603" workbookViewId="0">
      <selection activeCell="A3330" sqref="A3330:XFD3627"/>
    </sheetView>
  </sheetViews>
  <sheetFormatPr defaultRowHeight="12" x14ac:dyDescent="0.3"/>
  <cols>
    <col min="1" max="1" width="9.5" style="2" customWidth="1"/>
    <col min="2" max="2" width="16.5" style="1" customWidth="1"/>
    <col min="3" max="5" width="17.875" style="1" customWidth="1"/>
    <col min="6" max="7" width="18" style="1" customWidth="1"/>
    <col min="8" max="8" width="17.875" style="1" customWidth="1"/>
    <col min="9" max="16384" width="9" style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x14ac:dyDescent="0.3">
      <c r="A3" s="2">
        <v>20101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 x14ac:dyDescent="0.3">
      <c r="A4" s="2">
        <v>20102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spans="1:8" x14ac:dyDescent="0.3">
      <c r="A5" s="2">
        <v>20103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24</v>
      </c>
      <c r="G5" s="1" t="s">
        <v>26</v>
      </c>
      <c r="H5" s="1" t="s">
        <v>27</v>
      </c>
    </row>
    <row r="6" spans="1:8" x14ac:dyDescent="0.3">
      <c r="A6" s="2">
        <v>20104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</row>
    <row r="7" spans="1:8" x14ac:dyDescent="0.3">
      <c r="A7" s="2">
        <v>20105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</row>
    <row r="8" spans="1:8" x14ac:dyDescent="0.3">
      <c r="A8" s="2">
        <v>20106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</row>
    <row r="9" spans="1:8" x14ac:dyDescent="0.3">
      <c r="A9" s="2">
        <v>20107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</row>
    <row r="10" spans="1:8" x14ac:dyDescent="0.3">
      <c r="A10" s="2">
        <v>20108</v>
      </c>
      <c r="B10" s="1" t="s">
        <v>56</v>
      </c>
      <c r="C10" s="1" t="s">
        <v>57</v>
      </c>
      <c r="D10" s="1" t="s">
        <v>57</v>
      </c>
      <c r="E10" s="1" t="s">
        <v>58</v>
      </c>
      <c r="F10" s="1" t="s">
        <v>59</v>
      </c>
      <c r="G10" s="1" t="s">
        <v>57</v>
      </c>
      <c r="H10" s="1" t="s">
        <v>60</v>
      </c>
    </row>
    <row r="11" spans="1:8" x14ac:dyDescent="0.3">
      <c r="A11" s="2" t="s">
        <v>61</v>
      </c>
      <c r="B11" s="1" t="e">
        <f>-이</f>
        <v>#NAME?</v>
      </c>
      <c r="C11" s="1" t="s">
        <v>57</v>
      </c>
      <c r="D11" s="1" t="s">
        <v>57</v>
      </c>
      <c r="E11" s="1" t="s">
        <v>62</v>
      </c>
      <c r="F11" s="1" t="s">
        <v>63</v>
      </c>
      <c r="G11" s="1" t="s">
        <v>57</v>
      </c>
      <c r="H11" s="1" t="s">
        <v>64</v>
      </c>
    </row>
    <row r="12" spans="1:8" x14ac:dyDescent="0.3">
      <c r="A12" s="2">
        <v>20109</v>
      </c>
      <c r="B12" s="1" t="s">
        <v>65</v>
      </c>
      <c r="C12" s="1" t="s">
        <v>66</v>
      </c>
      <c r="E12" s="1" t="s">
        <v>67</v>
      </c>
      <c r="F12" s="1" t="s">
        <v>68</v>
      </c>
      <c r="G12" s="1" t="s">
        <v>69</v>
      </c>
      <c r="H12" s="1" t="s">
        <v>70</v>
      </c>
    </row>
    <row r="13" spans="1:8" x14ac:dyDescent="0.3">
      <c r="A13" s="2">
        <v>20110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  <c r="H13" s="1" t="s">
        <v>77</v>
      </c>
    </row>
    <row r="14" spans="1:8" x14ac:dyDescent="0.3">
      <c r="A14" s="2">
        <v>20111</v>
      </c>
      <c r="B14" s="1" t="s">
        <v>78</v>
      </c>
      <c r="C14" s="1" t="s">
        <v>57</v>
      </c>
      <c r="D14" s="1" t="s">
        <v>79</v>
      </c>
      <c r="E14" s="1" t="s">
        <v>80</v>
      </c>
      <c r="F14" s="1" t="s">
        <v>81</v>
      </c>
      <c r="G14" s="1" t="s">
        <v>78</v>
      </c>
      <c r="H14" s="1" t="s">
        <v>82</v>
      </c>
    </row>
    <row r="15" spans="1:8" x14ac:dyDescent="0.3">
      <c r="A15" s="2">
        <v>20112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83</v>
      </c>
    </row>
    <row r="16" spans="1:8" x14ac:dyDescent="0.3">
      <c r="A16" s="2">
        <v>20113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95</v>
      </c>
    </row>
    <row r="17" spans="1:8" x14ac:dyDescent="0.3">
      <c r="A17" s="2">
        <v>20114</v>
      </c>
      <c r="B17" s="1" t="s">
        <v>96</v>
      </c>
      <c r="C17" s="1" t="s">
        <v>97</v>
      </c>
      <c r="D17" s="1" t="s">
        <v>98</v>
      </c>
      <c r="E17" s="1" t="s">
        <v>57</v>
      </c>
      <c r="F17" s="1" t="s">
        <v>99</v>
      </c>
      <c r="G17" s="1" t="s">
        <v>100</v>
      </c>
      <c r="H17" s="1" t="s">
        <v>101</v>
      </c>
    </row>
    <row r="18" spans="1:8" x14ac:dyDescent="0.3">
      <c r="A18" s="2" t="s">
        <v>102</v>
      </c>
      <c r="B18" s="1" t="s">
        <v>103</v>
      </c>
      <c r="C18" s="1" t="s">
        <v>104</v>
      </c>
      <c r="E18" s="1" t="s">
        <v>105</v>
      </c>
      <c r="F18" s="1" t="s">
        <v>57</v>
      </c>
      <c r="G18" s="1" t="s">
        <v>106</v>
      </c>
      <c r="H18" s="1" t="s">
        <v>107</v>
      </c>
    </row>
    <row r="19" spans="1:8" x14ac:dyDescent="0.3">
      <c r="A19" s="2" t="s">
        <v>108</v>
      </c>
      <c r="B19" s="1" t="s">
        <v>109</v>
      </c>
      <c r="C19" s="1" t="s">
        <v>110</v>
      </c>
      <c r="D19" s="1" t="s">
        <v>111</v>
      </c>
      <c r="E19" s="1" t="s">
        <v>57</v>
      </c>
      <c r="F19" s="1" t="s">
        <v>57</v>
      </c>
      <c r="G19" s="1" t="s">
        <v>57</v>
      </c>
      <c r="H19" s="1" t="s">
        <v>112</v>
      </c>
    </row>
    <row r="20" spans="1:8" x14ac:dyDescent="0.3">
      <c r="A20" s="2" t="s">
        <v>113</v>
      </c>
      <c r="B20" s="1" t="s">
        <v>114</v>
      </c>
      <c r="C20" s="1" t="s">
        <v>115</v>
      </c>
      <c r="E20" s="1" t="s">
        <v>116</v>
      </c>
      <c r="F20" s="1" t="s">
        <v>57</v>
      </c>
      <c r="G20" s="1" t="s">
        <v>117</v>
      </c>
      <c r="H20" s="1" t="s">
        <v>118</v>
      </c>
    </row>
    <row r="21" spans="1:8" x14ac:dyDescent="0.3">
      <c r="A21" s="2" t="s">
        <v>119</v>
      </c>
      <c r="B21" s="1" t="s">
        <v>120</v>
      </c>
      <c r="C21" s="1" t="s">
        <v>57</v>
      </c>
      <c r="E21" s="1" t="s">
        <v>57</v>
      </c>
      <c r="F21" s="1" t="s">
        <v>57</v>
      </c>
      <c r="G21" s="1" t="s">
        <v>121</v>
      </c>
      <c r="H21" s="1" t="s">
        <v>122</v>
      </c>
    </row>
    <row r="22" spans="1:8" x14ac:dyDescent="0.3">
      <c r="A22" s="2" t="s">
        <v>123</v>
      </c>
      <c r="B22" s="1" t="s">
        <v>124</v>
      </c>
      <c r="C22" s="1" t="s">
        <v>57</v>
      </c>
      <c r="E22" s="1" t="s">
        <v>57</v>
      </c>
      <c r="F22" s="1" t="s">
        <v>57</v>
      </c>
      <c r="G22" s="1" t="s">
        <v>57</v>
      </c>
      <c r="H22" s="1" t="s">
        <v>57</v>
      </c>
    </row>
    <row r="23" spans="1:8" x14ac:dyDescent="0.3">
      <c r="A23" s="2">
        <v>20115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  <c r="G23" s="1" t="s">
        <v>130</v>
      </c>
      <c r="H23" s="1" t="s">
        <v>131</v>
      </c>
    </row>
    <row r="24" spans="1:8" x14ac:dyDescent="0.3">
      <c r="A24" s="2">
        <v>20116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136</v>
      </c>
      <c r="G24" s="1" t="s">
        <v>137</v>
      </c>
      <c r="H24" s="1" t="s">
        <v>138</v>
      </c>
    </row>
    <row r="25" spans="1:8" x14ac:dyDescent="0.3">
      <c r="A25" s="2">
        <v>20117</v>
      </c>
      <c r="B25" s="1" t="s">
        <v>139</v>
      </c>
      <c r="C25" s="1" t="s">
        <v>140</v>
      </c>
      <c r="D25" s="1" t="s">
        <v>141</v>
      </c>
      <c r="E25" s="1" t="s">
        <v>142</v>
      </c>
      <c r="F25" s="1" t="s">
        <v>143</v>
      </c>
      <c r="G25" s="1" t="s">
        <v>144</v>
      </c>
      <c r="H25" s="1" t="s">
        <v>145</v>
      </c>
    </row>
    <row r="26" spans="1:8" x14ac:dyDescent="0.3">
      <c r="A26" s="2">
        <v>20118</v>
      </c>
      <c r="B26" s="1" t="s">
        <v>146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151</v>
      </c>
      <c r="H26" s="1" t="s">
        <v>152</v>
      </c>
    </row>
    <row r="27" spans="1:8" x14ac:dyDescent="0.3">
      <c r="A27" s="2">
        <v>20119</v>
      </c>
      <c r="B27" s="1" t="s">
        <v>153</v>
      </c>
      <c r="C27" s="1" t="s">
        <v>154</v>
      </c>
      <c r="D27" s="1" t="s">
        <v>155</v>
      </c>
      <c r="E27" s="1" t="s">
        <v>156</v>
      </c>
      <c r="F27" s="1" t="s">
        <v>157</v>
      </c>
      <c r="G27" s="1" t="s">
        <v>158</v>
      </c>
      <c r="H27" s="1" t="s">
        <v>159</v>
      </c>
    </row>
    <row r="28" spans="1:8" x14ac:dyDescent="0.3">
      <c r="A28" s="2">
        <v>20120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164</v>
      </c>
      <c r="G28" s="1" t="s">
        <v>165</v>
      </c>
      <c r="H28" s="1" t="s">
        <v>166</v>
      </c>
    </row>
    <row r="29" spans="1:8" x14ac:dyDescent="0.3">
      <c r="A29" s="2">
        <v>20121</v>
      </c>
      <c r="B29" s="1" t="s">
        <v>167</v>
      </c>
      <c r="C29" s="1" t="s">
        <v>168</v>
      </c>
      <c r="D29" s="1" t="s">
        <v>169</v>
      </c>
      <c r="E29" s="1" t="s">
        <v>170</v>
      </c>
      <c r="F29" s="1" t="s">
        <v>171</v>
      </c>
      <c r="G29" s="1" t="s">
        <v>172</v>
      </c>
      <c r="H29" s="1" t="s">
        <v>173</v>
      </c>
    </row>
    <row r="30" spans="1:8" x14ac:dyDescent="0.3">
      <c r="A30" s="2">
        <v>20122</v>
      </c>
      <c r="B30" s="1" t="s">
        <v>174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179</v>
      </c>
      <c r="H30" s="1" t="s">
        <v>180</v>
      </c>
    </row>
    <row r="31" spans="1:8" x14ac:dyDescent="0.3">
      <c r="A31" s="2">
        <v>20123</v>
      </c>
      <c r="B31" s="1" t="s">
        <v>181</v>
      </c>
      <c r="C31" s="1" t="s">
        <v>182</v>
      </c>
      <c r="D31" s="1" t="s">
        <v>183</v>
      </c>
      <c r="E31" s="1" t="s">
        <v>184</v>
      </c>
      <c r="F31" s="1" t="s">
        <v>185</v>
      </c>
      <c r="G31" s="1" t="s">
        <v>186</v>
      </c>
      <c r="H31" s="1" t="s">
        <v>187</v>
      </c>
    </row>
    <row r="32" spans="1:8" x14ac:dyDescent="0.3">
      <c r="A32" s="2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 s="1" t="s">
        <v>193</v>
      </c>
      <c r="G32" s="1" t="s">
        <v>194</v>
      </c>
      <c r="H32" s="1" t="s">
        <v>195</v>
      </c>
    </row>
    <row r="33" spans="1:8" x14ac:dyDescent="0.3">
      <c r="A33" s="2" t="s">
        <v>196</v>
      </c>
      <c r="B33" s="1" t="s">
        <v>197</v>
      </c>
      <c r="C33" s="1" t="s">
        <v>198</v>
      </c>
      <c r="D33" s="1" t="s">
        <v>199</v>
      </c>
      <c r="E33" s="1" t="s">
        <v>200</v>
      </c>
      <c r="F33" s="1" t="s">
        <v>201</v>
      </c>
      <c r="G33" s="1" t="s">
        <v>202</v>
      </c>
      <c r="H33" s="1" t="s">
        <v>203</v>
      </c>
    </row>
    <row r="34" spans="1:8" x14ac:dyDescent="0.3">
      <c r="A34" s="2">
        <v>20124</v>
      </c>
      <c r="B34" s="1" t="s">
        <v>204</v>
      </c>
      <c r="C34" s="1" t="s">
        <v>205</v>
      </c>
      <c r="D34" s="1" t="s">
        <v>206</v>
      </c>
      <c r="E34" s="1" t="s">
        <v>207</v>
      </c>
      <c r="F34" s="1" t="s">
        <v>208</v>
      </c>
      <c r="G34" s="1" t="s">
        <v>206</v>
      </c>
      <c r="H34" s="1" t="s">
        <v>206</v>
      </c>
    </row>
    <row r="35" spans="1:8" x14ac:dyDescent="0.3">
      <c r="A35" s="2" t="s">
        <v>209</v>
      </c>
      <c r="B35" s="1" t="s">
        <v>210</v>
      </c>
      <c r="C35" s="1" t="s">
        <v>211</v>
      </c>
      <c r="D35" s="1" t="s">
        <v>212</v>
      </c>
      <c r="E35" s="1" t="s">
        <v>57</v>
      </c>
      <c r="F35" s="1" t="s">
        <v>213</v>
      </c>
      <c r="G35" s="1" t="s">
        <v>214</v>
      </c>
      <c r="H35" s="1" t="s">
        <v>215</v>
      </c>
    </row>
    <row r="36" spans="1:8" x14ac:dyDescent="0.3">
      <c r="A36" s="2">
        <v>20125</v>
      </c>
      <c r="B36" s="1" t="s">
        <v>216</v>
      </c>
      <c r="C36" s="1" t="s">
        <v>217</v>
      </c>
      <c r="D36" s="1" t="s">
        <v>218</v>
      </c>
      <c r="E36" s="1" t="s">
        <v>219</v>
      </c>
      <c r="F36" s="1" t="s">
        <v>220</v>
      </c>
      <c r="G36" s="1" t="s">
        <v>221</v>
      </c>
      <c r="H36" s="1" t="s">
        <v>222</v>
      </c>
    </row>
    <row r="37" spans="1:8" x14ac:dyDescent="0.3">
      <c r="A37" s="2">
        <v>20126</v>
      </c>
      <c r="B37" s="1" t="s">
        <v>223</v>
      </c>
      <c r="C37" s="1" t="s">
        <v>224</v>
      </c>
      <c r="D37" s="1" t="s">
        <v>219</v>
      </c>
      <c r="E37" s="1" t="s">
        <v>225</v>
      </c>
      <c r="G37" s="1" t="s">
        <v>226</v>
      </c>
      <c r="H37" s="1" t="s">
        <v>227</v>
      </c>
    </row>
    <row r="38" spans="1:8" x14ac:dyDescent="0.3">
      <c r="A38" s="2">
        <v>20127</v>
      </c>
      <c r="B38" s="1" t="s">
        <v>228</v>
      </c>
      <c r="C38" s="1" t="s">
        <v>229</v>
      </c>
      <c r="D38" s="1" t="s">
        <v>230</v>
      </c>
      <c r="E38" s="1" t="s">
        <v>231</v>
      </c>
      <c r="F38" s="1" t="s">
        <v>232</v>
      </c>
      <c r="G38" s="1" t="s">
        <v>233</v>
      </c>
      <c r="H38" s="1" t="s">
        <v>234</v>
      </c>
    </row>
    <row r="39" spans="1:8" x14ac:dyDescent="0.3">
      <c r="A39" s="2">
        <v>20128</v>
      </c>
      <c r="B39" s="1" t="s">
        <v>235</v>
      </c>
      <c r="C39" s="1" t="s">
        <v>236</v>
      </c>
      <c r="E39" s="1" t="s">
        <v>237</v>
      </c>
      <c r="F39" s="1" t="s">
        <v>238</v>
      </c>
      <c r="G39" s="1" t="s">
        <v>239</v>
      </c>
      <c r="H39" s="1" t="s">
        <v>57</v>
      </c>
    </row>
    <row r="40" spans="1:8" x14ac:dyDescent="0.3">
      <c r="A40" s="2" t="s">
        <v>240</v>
      </c>
      <c r="B40" s="1" t="s">
        <v>241</v>
      </c>
      <c r="C40" s="1" t="s">
        <v>242</v>
      </c>
      <c r="E40" s="1" t="s">
        <v>243</v>
      </c>
      <c r="F40" s="1" t="s">
        <v>244</v>
      </c>
      <c r="G40" s="1" t="s">
        <v>245</v>
      </c>
      <c r="H40" s="1" t="s">
        <v>246</v>
      </c>
    </row>
    <row r="41" spans="1:8" x14ac:dyDescent="0.3">
      <c r="A41" s="2" t="s">
        <v>247</v>
      </c>
      <c r="B41" s="1" t="s">
        <v>248</v>
      </c>
      <c r="C41" s="1" t="s">
        <v>249</v>
      </c>
      <c r="E41" s="1" t="s">
        <v>57</v>
      </c>
      <c r="F41" s="1" t="s">
        <v>250</v>
      </c>
      <c r="G41" s="1" t="s">
        <v>57</v>
      </c>
      <c r="H41" s="1" t="s">
        <v>251</v>
      </c>
    </row>
    <row r="42" spans="1:8" x14ac:dyDescent="0.3">
      <c r="A42" s="2">
        <v>20129</v>
      </c>
      <c r="B42" s="1" t="s">
        <v>252</v>
      </c>
      <c r="C42" s="1" t="s">
        <v>253</v>
      </c>
      <c r="D42" s="1" t="s">
        <v>254</v>
      </c>
      <c r="E42" s="1" t="s">
        <v>255</v>
      </c>
      <c r="F42" s="1" t="s">
        <v>256</v>
      </c>
      <c r="G42" s="1" t="s">
        <v>257</v>
      </c>
      <c r="H42" s="1" t="s">
        <v>258</v>
      </c>
    </row>
    <row r="43" spans="1:8" x14ac:dyDescent="0.3">
      <c r="A43" s="2" t="s">
        <v>259</v>
      </c>
      <c r="B43" s="1" t="s">
        <v>260</v>
      </c>
      <c r="C43" s="1" t="s">
        <v>261</v>
      </c>
      <c r="D43" s="1" t="s">
        <v>57</v>
      </c>
      <c r="F43" s="1" t="s">
        <v>262</v>
      </c>
      <c r="G43" s="1" t="s">
        <v>263</v>
      </c>
      <c r="H43" s="1" t="s">
        <v>264</v>
      </c>
    </row>
    <row r="44" spans="1:8" x14ac:dyDescent="0.3">
      <c r="A44" s="2" t="s">
        <v>265</v>
      </c>
      <c r="B44" s="1" t="s">
        <v>266</v>
      </c>
      <c r="C44" s="1" t="s">
        <v>267</v>
      </c>
      <c r="D44" s="1" t="s">
        <v>268</v>
      </c>
      <c r="E44" s="1" t="s">
        <v>269</v>
      </c>
      <c r="F44" s="1" t="s">
        <v>270</v>
      </c>
      <c r="G44" s="1" t="s">
        <v>271</v>
      </c>
      <c r="H44" s="1" t="s">
        <v>266</v>
      </c>
    </row>
    <row r="45" spans="1:8" x14ac:dyDescent="0.3">
      <c r="A45" s="2">
        <v>20130</v>
      </c>
      <c r="B45" s="1" t="s">
        <v>272</v>
      </c>
      <c r="C45" s="1" t="s">
        <v>273</v>
      </c>
      <c r="D45" s="1" t="s">
        <v>274</v>
      </c>
      <c r="E45" s="1" t="s">
        <v>272</v>
      </c>
      <c r="F45" s="1" t="s">
        <v>275</v>
      </c>
      <c r="G45" s="1" t="s">
        <v>276</v>
      </c>
      <c r="H45" s="1" t="s">
        <v>274</v>
      </c>
    </row>
    <row r="46" spans="1:8" x14ac:dyDescent="0.3">
      <c r="A46" s="2">
        <v>20131</v>
      </c>
      <c r="B46" s="1" t="s">
        <v>277</v>
      </c>
      <c r="C46" s="1" t="s">
        <v>278</v>
      </c>
      <c r="D46" s="1" t="s">
        <v>279</v>
      </c>
      <c r="E46" s="1" t="s">
        <v>280</v>
      </c>
      <c r="F46" s="1" t="s">
        <v>281</v>
      </c>
      <c r="G46" s="1" t="s">
        <v>282</v>
      </c>
      <c r="H46" s="1" t="s">
        <v>280</v>
      </c>
    </row>
    <row r="47" spans="1:8" x14ac:dyDescent="0.3">
      <c r="A47" s="2">
        <v>20132</v>
      </c>
      <c r="B47" s="1" t="s">
        <v>283</v>
      </c>
      <c r="C47" s="1" t="s">
        <v>284</v>
      </c>
      <c r="D47" s="1" t="s">
        <v>285</v>
      </c>
      <c r="E47" s="1" t="s">
        <v>286</v>
      </c>
      <c r="F47" s="1" t="s">
        <v>287</v>
      </c>
      <c r="G47" s="1" t="s">
        <v>283</v>
      </c>
      <c r="H47" s="1" t="s">
        <v>288</v>
      </c>
    </row>
    <row r="48" spans="1:8" x14ac:dyDescent="0.3">
      <c r="A48" s="2">
        <v>20133</v>
      </c>
      <c r="B48" s="1" t="s">
        <v>289</v>
      </c>
      <c r="C48" s="1" t="s">
        <v>57</v>
      </c>
      <c r="D48" s="1" t="s">
        <v>290</v>
      </c>
      <c r="E48" s="1" t="s">
        <v>291</v>
      </c>
      <c r="F48" s="1" t="s">
        <v>292</v>
      </c>
      <c r="G48" s="1" t="s">
        <v>57</v>
      </c>
      <c r="H48" s="1" t="s">
        <v>293</v>
      </c>
    </row>
    <row r="49" spans="1:8" x14ac:dyDescent="0.3">
      <c r="A49" s="2">
        <v>20134</v>
      </c>
      <c r="B49" s="1" t="s">
        <v>294</v>
      </c>
      <c r="C49" s="1" t="s">
        <v>295</v>
      </c>
      <c r="D49" s="1" t="s">
        <v>296</v>
      </c>
      <c r="E49" s="1" t="s">
        <v>297</v>
      </c>
      <c r="F49" s="1" t="s">
        <v>298</v>
      </c>
      <c r="G49" s="1" t="s">
        <v>294</v>
      </c>
      <c r="H49" s="1" t="s">
        <v>299</v>
      </c>
    </row>
    <row r="50" spans="1:8" x14ac:dyDescent="0.3">
      <c r="A50" s="2">
        <v>20201</v>
      </c>
      <c r="B50" s="1" t="s">
        <v>300</v>
      </c>
      <c r="C50" s="1" t="s">
        <v>301</v>
      </c>
      <c r="D50" s="1" t="s">
        <v>302</v>
      </c>
      <c r="E50" s="1" t="s">
        <v>303</v>
      </c>
      <c r="F50" s="1" t="s">
        <v>304</v>
      </c>
      <c r="G50" s="1" t="s">
        <v>305</v>
      </c>
      <c r="H50" s="1" t="s">
        <v>306</v>
      </c>
    </row>
    <row r="51" spans="1:8" x14ac:dyDescent="0.3">
      <c r="A51" s="2">
        <v>20202</v>
      </c>
      <c r="B51" s="1" t="s">
        <v>307</v>
      </c>
      <c r="C51" s="1" t="s">
        <v>308</v>
      </c>
      <c r="D51" s="1" t="s">
        <v>309</v>
      </c>
      <c r="E51" s="1" t="s">
        <v>310</v>
      </c>
      <c r="F51" s="1" t="s">
        <v>311</v>
      </c>
      <c r="G51" s="1" t="s">
        <v>312</v>
      </c>
      <c r="H51" s="1" t="s">
        <v>313</v>
      </c>
    </row>
    <row r="52" spans="1:8" x14ac:dyDescent="0.3">
      <c r="A52" s="2" t="s">
        <v>314</v>
      </c>
      <c r="B52" s="1" t="s">
        <v>307</v>
      </c>
      <c r="C52" s="1" t="s">
        <v>315</v>
      </c>
      <c r="D52" s="1" t="s">
        <v>316</v>
      </c>
      <c r="E52" s="1" t="s">
        <v>317</v>
      </c>
      <c r="G52" s="1" t="s">
        <v>318</v>
      </c>
      <c r="H52" s="1" t="s">
        <v>319</v>
      </c>
    </row>
    <row r="53" spans="1:8" x14ac:dyDescent="0.3">
      <c r="A53" s="2" t="s">
        <v>320</v>
      </c>
      <c r="B53" s="1" t="s">
        <v>307</v>
      </c>
      <c r="C53" s="1" t="s">
        <v>57</v>
      </c>
      <c r="D53" s="1" t="s">
        <v>57</v>
      </c>
      <c r="F53" s="1" t="s">
        <v>321</v>
      </c>
      <c r="G53" s="1" t="s">
        <v>57</v>
      </c>
      <c r="H53" s="1" t="s">
        <v>322</v>
      </c>
    </row>
    <row r="54" spans="1:8" x14ac:dyDescent="0.3">
      <c r="A54" s="2" t="s">
        <v>323</v>
      </c>
      <c r="B54" s="1" t="s">
        <v>307</v>
      </c>
      <c r="C54" s="1" t="s">
        <v>324</v>
      </c>
      <c r="D54" s="1" t="s">
        <v>325</v>
      </c>
      <c r="F54" s="1" t="s">
        <v>326</v>
      </c>
      <c r="G54" s="1" t="s">
        <v>57</v>
      </c>
      <c r="H54" s="1" t="s">
        <v>327</v>
      </c>
    </row>
    <row r="55" spans="1:8" x14ac:dyDescent="0.3">
      <c r="A55" s="2">
        <v>20203</v>
      </c>
      <c r="B55" s="1" t="s">
        <v>328</v>
      </c>
      <c r="C55" s="1" t="s">
        <v>329</v>
      </c>
      <c r="D55" s="1" t="s">
        <v>330</v>
      </c>
      <c r="E55" s="1" t="s">
        <v>331</v>
      </c>
      <c r="F55" s="1" t="s">
        <v>332</v>
      </c>
      <c r="G55" s="1" t="s">
        <v>333</v>
      </c>
      <c r="H55" s="1" t="s">
        <v>334</v>
      </c>
    </row>
    <row r="56" spans="1:8" x14ac:dyDescent="0.3">
      <c r="A56" s="2">
        <v>20204</v>
      </c>
      <c r="B56" s="1" t="s">
        <v>335</v>
      </c>
      <c r="C56" s="1" t="s">
        <v>336</v>
      </c>
      <c r="D56" s="1" t="s">
        <v>337</v>
      </c>
      <c r="E56" s="1" t="s">
        <v>338</v>
      </c>
      <c r="F56" s="1" t="s">
        <v>339</v>
      </c>
      <c r="G56" s="1" t="s">
        <v>340</v>
      </c>
      <c r="H56" s="1" t="s">
        <v>341</v>
      </c>
    </row>
    <row r="57" spans="1:8" x14ac:dyDescent="0.3">
      <c r="A57" s="2">
        <v>20205</v>
      </c>
      <c r="B57" s="1" t="s">
        <v>342</v>
      </c>
      <c r="C57" s="1" t="s">
        <v>343</v>
      </c>
      <c r="D57" s="1" t="s">
        <v>344</v>
      </c>
      <c r="E57" s="1" t="s">
        <v>345</v>
      </c>
      <c r="F57" s="1" t="s">
        <v>346</v>
      </c>
      <c r="G57" s="1" t="s">
        <v>347</v>
      </c>
      <c r="H57" s="1" t="s">
        <v>348</v>
      </c>
    </row>
    <row r="58" spans="1:8" x14ac:dyDescent="0.3">
      <c r="A58" s="2">
        <v>20206</v>
      </c>
      <c r="B58" s="1" t="s">
        <v>349</v>
      </c>
      <c r="C58" s="1" t="s">
        <v>57</v>
      </c>
      <c r="D58" s="1" t="s">
        <v>350</v>
      </c>
      <c r="E58" s="1" t="s">
        <v>351</v>
      </c>
      <c r="F58" s="1" t="s">
        <v>352</v>
      </c>
      <c r="G58" s="1" t="s">
        <v>353</v>
      </c>
      <c r="H58" s="1" t="s">
        <v>354</v>
      </c>
    </row>
    <row r="59" spans="1:8" x14ac:dyDescent="0.3">
      <c r="A59" s="2">
        <v>20207</v>
      </c>
      <c r="B59" s="1" t="s">
        <v>355</v>
      </c>
      <c r="C59" s="1" t="s">
        <v>356</v>
      </c>
      <c r="D59" s="1" t="s">
        <v>357</v>
      </c>
      <c r="E59" s="1" t="s">
        <v>358</v>
      </c>
      <c r="F59" s="1" t="s">
        <v>359</v>
      </c>
      <c r="G59" s="1" t="s">
        <v>360</v>
      </c>
      <c r="H59" s="1" t="s">
        <v>361</v>
      </c>
    </row>
    <row r="60" spans="1:8" x14ac:dyDescent="0.3">
      <c r="A60" s="2">
        <v>20208</v>
      </c>
      <c r="B60" s="1" t="s">
        <v>362</v>
      </c>
      <c r="C60" s="1" t="s">
        <v>363</v>
      </c>
      <c r="D60" s="1" t="s">
        <v>364</v>
      </c>
      <c r="E60" s="1" t="s">
        <v>365</v>
      </c>
      <c r="F60" s="1" t="s">
        <v>366</v>
      </c>
      <c r="G60" s="1" t="s">
        <v>367</v>
      </c>
      <c r="H60" s="1" t="s">
        <v>368</v>
      </c>
    </row>
    <row r="61" spans="1:8" x14ac:dyDescent="0.3">
      <c r="A61" s="2" t="s">
        <v>369</v>
      </c>
      <c r="B61" s="1" t="s">
        <v>370</v>
      </c>
      <c r="C61" s="1" t="s">
        <v>57</v>
      </c>
      <c r="D61" s="1" t="s">
        <v>371</v>
      </c>
      <c r="F61" s="1" t="s">
        <v>372</v>
      </c>
      <c r="G61" s="1" t="s">
        <v>373</v>
      </c>
      <c r="H61" s="1" t="s">
        <v>374</v>
      </c>
    </row>
    <row r="62" spans="1:8" x14ac:dyDescent="0.3">
      <c r="A62" s="2">
        <v>20209</v>
      </c>
      <c r="B62" s="1" t="s">
        <v>375</v>
      </c>
      <c r="C62" s="1" t="s">
        <v>376</v>
      </c>
      <c r="D62" s="1" t="s">
        <v>377</v>
      </c>
      <c r="E62" s="1" t="s">
        <v>378</v>
      </c>
      <c r="F62" s="1" t="s">
        <v>379</v>
      </c>
      <c r="G62" s="1" t="s">
        <v>380</v>
      </c>
      <c r="H62" s="1" t="s">
        <v>381</v>
      </c>
    </row>
    <row r="63" spans="1:8" x14ac:dyDescent="0.3">
      <c r="A63" s="2" t="s">
        <v>382</v>
      </c>
      <c r="B63" s="1" t="s">
        <v>383</v>
      </c>
      <c r="C63" s="1" t="s">
        <v>384</v>
      </c>
      <c r="D63" s="1" t="s">
        <v>385</v>
      </c>
      <c r="E63" s="1" t="s">
        <v>386</v>
      </c>
      <c r="F63" s="1" t="s">
        <v>387</v>
      </c>
      <c r="G63" s="1" t="s">
        <v>388</v>
      </c>
      <c r="H63" s="1" t="s">
        <v>386</v>
      </c>
    </row>
    <row r="64" spans="1:8" x14ac:dyDescent="0.3">
      <c r="A64" s="2" t="s">
        <v>389</v>
      </c>
      <c r="B64" s="1" t="s">
        <v>390</v>
      </c>
      <c r="C64" s="1" t="s">
        <v>391</v>
      </c>
      <c r="E64" s="1" t="s">
        <v>392</v>
      </c>
      <c r="F64" s="1" t="s">
        <v>393</v>
      </c>
      <c r="G64" s="1" t="s">
        <v>394</v>
      </c>
      <c r="H64" s="1" t="s">
        <v>395</v>
      </c>
    </row>
    <row r="65" spans="1:8" x14ac:dyDescent="0.3">
      <c r="A65" s="2">
        <v>20210</v>
      </c>
      <c r="B65" s="1" t="s">
        <v>396</v>
      </c>
      <c r="C65" s="1" t="s">
        <v>397</v>
      </c>
      <c r="D65" s="1" t="s">
        <v>398</v>
      </c>
      <c r="E65" s="1" t="s">
        <v>399</v>
      </c>
      <c r="F65" s="1" t="s">
        <v>400</v>
      </c>
      <c r="G65" s="1" t="s">
        <v>401</v>
      </c>
      <c r="H65" s="1" t="s">
        <v>396</v>
      </c>
    </row>
    <row r="66" spans="1:8" x14ac:dyDescent="0.3">
      <c r="A66" s="2" t="s">
        <v>402</v>
      </c>
      <c r="B66" s="1" t="s">
        <v>403</v>
      </c>
      <c r="C66" s="1" t="s">
        <v>404</v>
      </c>
      <c r="D66" s="1" t="s">
        <v>405</v>
      </c>
      <c r="E66" s="1" t="s">
        <v>406</v>
      </c>
      <c r="F66" s="1" t="s">
        <v>407</v>
      </c>
      <c r="G66" s="1" t="s">
        <v>408</v>
      </c>
      <c r="H66" s="1" t="s">
        <v>406</v>
      </c>
    </row>
    <row r="67" spans="1:8" x14ac:dyDescent="0.3">
      <c r="A67" s="2" t="s">
        <v>409</v>
      </c>
      <c r="B67" s="1" t="s">
        <v>410</v>
      </c>
      <c r="C67" s="1" t="s">
        <v>411</v>
      </c>
      <c r="D67" s="1" t="s">
        <v>412</v>
      </c>
      <c r="E67" s="1" t="s">
        <v>413</v>
      </c>
      <c r="F67" s="1" t="s">
        <v>414</v>
      </c>
      <c r="G67" s="1" t="s">
        <v>415</v>
      </c>
      <c r="H67" s="1" t="s">
        <v>413</v>
      </c>
    </row>
    <row r="68" spans="1:8" x14ac:dyDescent="0.3">
      <c r="A68" s="2" t="s">
        <v>416</v>
      </c>
      <c r="B68" s="1" t="s">
        <v>417</v>
      </c>
      <c r="C68" s="1" t="s">
        <v>418</v>
      </c>
      <c r="D68" s="1" t="s">
        <v>419</v>
      </c>
      <c r="E68" s="1" t="s">
        <v>420</v>
      </c>
      <c r="F68" s="1" t="s">
        <v>421</v>
      </c>
      <c r="G68" s="1" t="s">
        <v>422</v>
      </c>
      <c r="H68" s="1" t="s">
        <v>57</v>
      </c>
    </row>
    <row r="69" spans="1:8" x14ac:dyDescent="0.3">
      <c r="A69" s="2">
        <v>20211</v>
      </c>
      <c r="B69" s="1" t="s">
        <v>423</v>
      </c>
      <c r="C69" s="1" t="s">
        <v>424</v>
      </c>
      <c r="D69" s="1" t="s">
        <v>425</v>
      </c>
      <c r="E69" s="1" t="s">
        <v>426</v>
      </c>
      <c r="F69" s="1" t="s">
        <v>425</v>
      </c>
      <c r="G69" s="1" t="s">
        <v>425</v>
      </c>
      <c r="H69" s="1" t="s">
        <v>427</v>
      </c>
    </row>
    <row r="70" spans="1:8" x14ac:dyDescent="0.3">
      <c r="A70" s="2" t="s">
        <v>428</v>
      </c>
      <c r="B70" s="1" t="e">
        <f>-을</f>
        <v>#NAME?</v>
      </c>
      <c r="C70" s="1" t="s">
        <v>429</v>
      </c>
      <c r="D70" s="1" t="s">
        <v>430</v>
      </c>
      <c r="E70" s="1" t="s">
        <v>431</v>
      </c>
      <c r="F70" s="1" t="s">
        <v>432</v>
      </c>
      <c r="G70" s="1" t="s">
        <v>433</v>
      </c>
      <c r="H70" s="1" t="s">
        <v>434</v>
      </c>
    </row>
    <row r="71" spans="1:8" x14ac:dyDescent="0.3">
      <c r="A71" s="2" t="s">
        <v>435</v>
      </c>
      <c r="B71" s="1" t="e">
        <f>-에</f>
        <v>#NAME?</v>
      </c>
      <c r="C71" s="1" t="s">
        <v>436</v>
      </c>
      <c r="D71" s="1" t="s">
        <v>437</v>
      </c>
      <c r="E71" s="1" t="s">
        <v>438</v>
      </c>
      <c r="F71" s="1" t="s">
        <v>439</v>
      </c>
      <c r="G71" s="1" t="s">
        <v>440</v>
      </c>
      <c r="H71" s="1" t="s">
        <v>441</v>
      </c>
    </row>
    <row r="72" spans="1:8" x14ac:dyDescent="0.3">
      <c r="A72" s="2">
        <v>20212</v>
      </c>
      <c r="B72" s="1" t="s">
        <v>442</v>
      </c>
      <c r="C72" s="1" t="s">
        <v>443</v>
      </c>
      <c r="D72" s="1" t="s">
        <v>444</v>
      </c>
      <c r="E72" s="1" t="s">
        <v>445</v>
      </c>
      <c r="F72" s="1" t="s">
        <v>446</v>
      </c>
      <c r="G72" s="1" t="s">
        <v>447</v>
      </c>
      <c r="H72" s="1" t="s">
        <v>448</v>
      </c>
    </row>
    <row r="73" spans="1:8" x14ac:dyDescent="0.3">
      <c r="A73" s="2">
        <v>20213</v>
      </c>
      <c r="B73" s="1" t="s">
        <v>449</v>
      </c>
      <c r="C73" s="1" t="s">
        <v>450</v>
      </c>
      <c r="D73" s="1" t="s">
        <v>451</v>
      </c>
      <c r="E73" s="1" t="s">
        <v>452</v>
      </c>
      <c r="F73" s="1" t="s">
        <v>453</v>
      </c>
      <c r="G73" s="1" t="s">
        <v>454</v>
      </c>
      <c r="H73" s="1" t="s">
        <v>453</v>
      </c>
    </row>
    <row r="74" spans="1:8" x14ac:dyDescent="0.3">
      <c r="A74" s="2">
        <v>20214</v>
      </c>
      <c r="B74" s="1" t="s">
        <v>455</v>
      </c>
      <c r="C74" s="1" t="s">
        <v>456</v>
      </c>
      <c r="D74" s="1" t="s">
        <v>457</v>
      </c>
      <c r="E74" s="1" t="s">
        <v>458</v>
      </c>
      <c r="F74" s="1" t="s">
        <v>459</v>
      </c>
      <c r="G74" s="1" t="s">
        <v>460</v>
      </c>
      <c r="H74" s="1" t="s">
        <v>461</v>
      </c>
    </row>
    <row r="75" spans="1:8" x14ac:dyDescent="0.3">
      <c r="A75" s="2">
        <v>20215</v>
      </c>
      <c r="B75" s="1" t="s">
        <v>462</v>
      </c>
      <c r="C75" s="1" t="s">
        <v>463</v>
      </c>
      <c r="D75" s="1" t="s">
        <v>464</v>
      </c>
      <c r="E75" s="1" t="s">
        <v>465</v>
      </c>
      <c r="F75" s="1" t="s">
        <v>466</v>
      </c>
      <c r="G75" s="1" t="s">
        <v>467</v>
      </c>
      <c r="H75" s="1" t="s">
        <v>468</v>
      </c>
    </row>
    <row r="76" spans="1:8" x14ac:dyDescent="0.3">
      <c r="A76" s="2">
        <v>20216</v>
      </c>
      <c r="B76" s="1" t="s">
        <v>469</v>
      </c>
      <c r="C76" s="1" t="s">
        <v>470</v>
      </c>
      <c r="D76" s="1" t="s">
        <v>471</v>
      </c>
      <c r="E76" s="1" t="s">
        <v>472</v>
      </c>
      <c r="F76" s="1" t="s">
        <v>473</v>
      </c>
      <c r="G76" s="1" t="s">
        <v>473</v>
      </c>
      <c r="H76" s="1" t="s">
        <v>474</v>
      </c>
    </row>
    <row r="77" spans="1:8" x14ac:dyDescent="0.3">
      <c r="A77" s="2">
        <v>20217</v>
      </c>
      <c r="B77" s="1" t="s">
        <v>475</v>
      </c>
      <c r="C77" s="1" t="s">
        <v>476</v>
      </c>
      <c r="D77" s="1" t="s">
        <v>477</v>
      </c>
      <c r="E77" s="1" t="s">
        <v>478</v>
      </c>
      <c r="F77" s="1" t="s">
        <v>479</v>
      </c>
      <c r="G77" s="1" t="s">
        <v>480</v>
      </c>
      <c r="H77" s="1" t="s">
        <v>481</v>
      </c>
    </row>
    <row r="78" spans="1:8" x14ac:dyDescent="0.3">
      <c r="A78" s="2">
        <v>20218</v>
      </c>
      <c r="B78" s="1" t="s">
        <v>482</v>
      </c>
      <c r="C78" s="1" t="s">
        <v>483</v>
      </c>
      <c r="D78" s="1" t="s">
        <v>482</v>
      </c>
      <c r="E78" s="1" t="s">
        <v>484</v>
      </c>
      <c r="F78" s="1" t="s">
        <v>485</v>
      </c>
      <c r="G78" s="1" t="s">
        <v>486</v>
      </c>
      <c r="H78" s="1" t="s">
        <v>487</v>
      </c>
    </row>
    <row r="79" spans="1:8" x14ac:dyDescent="0.3">
      <c r="A79" s="2">
        <v>20219</v>
      </c>
      <c r="B79" s="1" t="s">
        <v>488</v>
      </c>
      <c r="C79" s="1" t="s">
        <v>489</v>
      </c>
      <c r="D79" s="1" t="s">
        <v>490</v>
      </c>
      <c r="E79" s="1" t="s">
        <v>491</v>
      </c>
      <c r="F79" s="1" t="s">
        <v>492</v>
      </c>
      <c r="G79" s="1" t="s">
        <v>493</v>
      </c>
      <c r="H79" s="1" t="s">
        <v>494</v>
      </c>
    </row>
    <row r="80" spans="1:8" x14ac:dyDescent="0.3">
      <c r="A80" s="2">
        <v>20220</v>
      </c>
      <c r="B80" s="1" t="s">
        <v>495</v>
      </c>
      <c r="C80" s="1" t="s">
        <v>496</v>
      </c>
      <c r="D80" s="1" t="s">
        <v>497</v>
      </c>
      <c r="E80" s="1" t="s">
        <v>498</v>
      </c>
      <c r="F80" s="1" t="s">
        <v>499</v>
      </c>
      <c r="G80" s="1" t="s">
        <v>500</v>
      </c>
      <c r="H80" s="1" t="s">
        <v>495</v>
      </c>
    </row>
    <row r="81" spans="1:8" x14ac:dyDescent="0.3">
      <c r="A81" s="2">
        <v>20221</v>
      </c>
      <c r="B81" s="1" t="s">
        <v>501</v>
      </c>
      <c r="C81" s="1" t="s">
        <v>502</v>
      </c>
      <c r="D81" s="1" t="s">
        <v>503</v>
      </c>
      <c r="E81" s="1" t="s">
        <v>504</v>
      </c>
      <c r="F81" s="1" t="s">
        <v>505</v>
      </c>
      <c r="G81" s="1" t="s">
        <v>506</v>
      </c>
      <c r="H81" s="1" t="s">
        <v>507</v>
      </c>
    </row>
    <row r="82" spans="1:8" x14ac:dyDescent="0.3">
      <c r="A82" s="2" t="s">
        <v>508</v>
      </c>
      <c r="B82" s="1" t="e">
        <f>-을</f>
        <v>#NAME?</v>
      </c>
      <c r="C82" s="1" t="s">
        <v>509</v>
      </c>
      <c r="D82" s="1" t="s">
        <v>510</v>
      </c>
      <c r="E82" s="1" t="s">
        <v>511</v>
      </c>
      <c r="F82" s="1" t="s">
        <v>512</v>
      </c>
      <c r="G82" s="1" t="s">
        <v>513</v>
      </c>
      <c r="H82" s="1" t="s">
        <v>514</v>
      </c>
    </row>
    <row r="83" spans="1:8" x14ac:dyDescent="0.3">
      <c r="A83" s="2">
        <v>20222</v>
      </c>
      <c r="B83" s="1" t="s">
        <v>515</v>
      </c>
      <c r="C83" s="1" t="s">
        <v>516</v>
      </c>
      <c r="D83" s="1" t="s">
        <v>516</v>
      </c>
      <c r="E83" s="1" t="s">
        <v>516</v>
      </c>
      <c r="F83" s="1" t="s">
        <v>517</v>
      </c>
      <c r="G83" s="1" t="s">
        <v>518</v>
      </c>
      <c r="H83" s="1" t="s">
        <v>519</v>
      </c>
    </row>
    <row r="84" spans="1:8" x14ac:dyDescent="0.3">
      <c r="A84" s="2">
        <v>20223</v>
      </c>
      <c r="B84" s="1" t="s">
        <v>520</v>
      </c>
      <c r="C84" s="1" t="s">
        <v>521</v>
      </c>
      <c r="D84" s="1" t="s">
        <v>522</v>
      </c>
      <c r="E84" s="1" t="s">
        <v>523</v>
      </c>
      <c r="F84" s="1" t="s">
        <v>524</v>
      </c>
      <c r="G84" s="1" t="s">
        <v>525</v>
      </c>
      <c r="H84" s="1" t="s">
        <v>526</v>
      </c>
    </row>
    <row r="85" spans="1:8" x14ac:dyDescent="0.3">
      <c r="A85" s="2" t="s">
        <v>527</v>
      </c>
      <c r="B85" s="1" t="e">
        <f>-으로</f>
        <v>#NAME?</v>
      </c>
      <c r="C85" s="1" t="s">
        <v>528</v>
      </c>
      <c r="D85" s="1" t="s">
        <v>529</v>
      </c>
      <c r="E85" s="1" t="s">
        <v>530</v>
      </c>
      <c r="F85" s="1" t="s">
        <v>531</v>
      </c>
      <c r="G85" s="1" t="s">
        <v>532</v>
      </c>
      <c r="H85" s="1" t="s">
        <v>533</v>
      </c>
    </row>
    <row r="86" spans="1:8" x14ac:dyDescent="0.3">
      <c r="A86" s="2">
        <v>20301</v>
      </c>
      <c r="B86" s="1" t="s">
        <v>534</v>
      </c>
      <c r="C86" s="1" t="s">
        <v>535</v>
      </c>
      <c r="D86" s="1" t="s">
        <v>536</v>
      </c>
      <c r="E86" s="1" t="s">
        <v>537</v>
      </c>
      <c r="F86" s="1" t="s">
        <v>538</v>
      </c>
      <c r="G86" s="1" t="s">
        <v>539</v>
      </c>
      <c r="H86" s="1" t="s">
        <v>540</v>
      </c>
    </row>
    <row r="87" spans="1:8" x14ac:dyDescent="0.3">
      <c r="A87" s="2">
        <v>20302</v>
      </c>
      <c r="B87" s="1" t="s">
        <v>541</v>
      </c>
      <c r="C87" s="1" t="s">
        <v>542</v>
      </c>
      <c r="D87" s="1" t="s">
        <v>543</v>
      </c>
      <c r="E87" s="1" t="s">
        <v>544</v>
      </c>
      <c r="F87" s="1" t="s">
        <v>545</v>
      </c>
      <c r="G87" s="1" t="s">
        <v>546</v>
      </c>
      <c r="H87" s="1" t="s">
        <v>544</v>
      </c>
    </row>
    <row r="88" spans="1:8" x14ac:dyDescent="0.3">
      <c r="A88" s="2">
        <v>20303</v>
      </c>
      <c r="B88" s="1" t="s">
        <v>547</v>
      </c>
      <c r="C88" s="1" t="s">
        <v>548</v>
      </c>
      <c r="D88" s="1" t="s">
        <v>549</v>
      </c>
      <c r="E88" s="1" t="s">
        <v>550</v>
      </c>
      <c r="F88" s="1" t="s">
        <v>551</v>
      </c>
      <c r="G88" s="1" t="s">
        <v>552</v>
      </c>
      <c r="H88" s="1" t="s">
        <v>553</v>
      </c>
    </row>
    <row r="89" spans="1:8" x14ac:dyDescent="0.3">
      <c r="A89" s="2">
        <v>20304</v>
      </c>
      <c r="B89" s="1" t="s">
        <v>554</v>
      </c>
      <c r="C89" s="1" t="s">
        <v>555</v>
      </c>
      <c r="D89" s="1" t="s">
        <v>556</v>
      </c>
      <c r="E89" s="1" t="s">
        <v>557</v>
      </c>
      <c r="F89" s="1" t="s">
        <v>558</v>
      </c>
      <c r="G89" s="1" t="s">
        <v>559</v>
      </c>
      <c r="H89" s="1" t="s">
        <v>560</v>
      </c>
    </row>
    <row r="90" spans="1:8" x14ac:dyDescent="0.3">
      <c r="A90" s="2">
        <v>20305</v>
      </c>
      <c r="B90" s="1" t="s">
        <v>561</v>
      </c>
      <c r="C90" s="1" t="s">
        <v>562</v>
      </c>
      <c r="D90" s="1" t="s">
        <v>563</v>
      </c>
      <c r="E90" s="1" t="s">
        <v>564</v>
      </c>
      <c r="F90" s="1" t="s">
        <v>565</v>
      </c>
      <c r="G90" s="1" t="s">
        <v>566</v>
      </c>
      <c r="H90" s="1" t="s">
        <v>567</v>
      </c>
    </row>
    <row r="91" spans="1:8" x14ac:dyDescent="0.3">
      <c r="A91" s="2">
        <v>20306</v>
      </c>
      <c r="B91" s="1" t="s">
        <v>568</v>
      </c>
      <c r="C91" s="1" t="s">
        <v>569</v>
      </c>
      <c r="D91" s="1" t="s">
        <v>570</v>
      </c>
      <c r="E91" s="1" t="s">
        <v>571</v>
      </c>
      <c r="F91" s="1" t="s">
        <v>572</v>
      </c>
      <c r="G91" s="1" t="s">
        <v>57</v>
      </c>
      <c r="H91" s="1" t="s">
        <v>573</v>
      </c>
    </row>
    <row r="92" spans="1:8" x14ac:dyDescent="0.3">
      <c r="A92" s="2">
        <v>20307</v>
      </c>
      <c r="B92" s="1" t="s">
        <v>574</v>
      </c>
      <c r="C92" s="1" t="s">
        <v>575</v>
      </c>
      <c r="D92" s="1" t="s">
        <v>576</v>
      </c>
      <c r="E92" s="1" t="s">
        <v>577</v>
      </c>
      <c r="F92" s="1" t="s">
        <v>578</v>
      </c>
      <c r="G92" s="1" t="s">
        <v>579</v>
      </c>
      <c r="H92" s="1" t="s">
        <v>580</v>
      </c>
    </row>
    <row r="93" spans="1:8" x14ac:dyDescent="0.3">
      <c r="A93" s="2">
        <v>20308</v>
      </c>
      <c r="B93" s="1" t="s">
        <v>581</v>
      </c>
      <c r="C93" s="1" t="s">
        <v>582</v>
      </c>
      <c r="D93" s="1" t="s">
        <v>583</v>
      </c>
      <c r="E93" s="1" t="s">
        <v>584</v>
      </c>
      <c r="F93" s="1" t="s">
        <v>585</v>
      </c>
      <c r="G93" s="1" t="s">
        <v>581</v>
      </c>
      <c r="H93" s="1" t="s">
        <v>581</v>
      </c>
    </row>
    <row r="94" spans="1:8" x14ac:dyDescent="0.3">
      <c r="A94" s="2">
        <v>20309</v>
      </c>
      <c r="B94" s="1" t="s">
        <v>586</v>
      </c>
      <c r="C94" s="1" t="s">
        <v>587</v>
      </c>
      <c r="D94" s="1" t="s">
        <v>588</v>
      </c>
      <c r="E94" s="1" t="s">
        <v>589</v>
      </c>
      <c r="F94" s="1" t="s">
        <v>590</v>
      </c>
      <c r="G94" s="1" t="s">
        <v>591</v>
      </c>
      <c r="H94" s="1" t="s">
        <v>592</v>
      </c>
    </row>
    <row r="95" spans="1:8" x14ac:dyDescent="0.3">
      <c r="A95" s="2">
        <v>20310</v>
      </c>
      <c r="B95" s="1" t="s">
        <v>593</v>
      </c>
      <c r="C95" s="1" t="s">
        <v>594</v>
      </c>
      <c r="D95" s="1" t="s">
        <v>595</v>
      </c>
      <c r="E95" s="1" t="s">
        <v>596</v>
      </c>
      <c r="F95" s="1" t="s">
        <v>597</v>
      </c>
      <c r="G95" s="1" t="s">
        <v>598</v>
      </c>
      <c r="H95" s="1" t="s">
        <v>593</v>
      </c>
    </row>
    <row r="96" spans="1:8" x14ac:dyDescent="0.3">
      <c r="A96" s="2">
        <v>20311</v>
      </c>
      <c r="B96" s="1" t="s">
        <v>599</v>
      </c>
      <c r="C96" s="1" t="s">
        <v>600</v>
      </c>
      <c r="D96" s="1" t="s">
        <v>601</v>
      </c>
      <c r="E96" s="1" t="s">
        <v>602</v>
      </c>
      <c r="F96" s="1" t="s">
        <v>603</v>
      </c>
      <c r="G96" s="1" t="s">
        <v>604</v>
      </c>
      <c r="H96" s="1" t="s">
        <v>605</v>
      </c>
    </row>
    <row r="97" spans="1:8" x14ac:dyDescent="0.3">
      <c r="A97" s="2">
        <v>20312</v>
      </c>
      <c r="B97" s="1" t="s">
        <v>606</v>
      </c>
      <c r="C97" s="1" t="s">
        <v>607</v>
      </c>
      <c r="D97" s="1" t="s">
        <v>608</v>
      </c>
      <c r="E97" s="1" t="s">
        <v>609</v>
      </c>
      <c r="F97" s="1" t="s">
        <v>610</v>
      </c>
      <c r="G97" s="1" t="s">
        <v>611</v>
      </c>
      <c r="H97" s="1" t="s">
        <v>612</v>
      </c>
    </row>
    <row r="98" spans="1:8" x14ac:dyDescent="0.3">
      <c r="A98" s="2">
        <v>20313</v>
      </c>
      <c r="B98" s="1" t="s">
        <v>613</v>
      </c>
      <c r="C98" s="1" t="s">
        <v>614</v>
      </c>
      <c r="D98" s="1" t="s">
        <v>615</v>
      </c>
      <c r="E98" s="1" t="s">
        <v>616</v>
      </c>
      <c r="F98" s="1" t="s">
        <v>617</v>
      </c>
      <c r="G98" s="1" t="s">
        <v>618</v>
      </c>
      <c r="H98" s="1" t="s">
        <v>619</v>
      </c>
    </row>
    <row r="99" spans="1:8" x14ac:dyDescent="0.3">
      <c r="A99" s="2">
        <v>20314</v>
      </c>
      <c r="B99" s="1" t="s">
        <v>620</v>
      </c>
      <c r="C99" s="1" t="s">
        <v>621</v>
      </c>
      <c r="D99" s="1" t="s">
        <v>622</v>
      </c>
      <c r="E99" s="1" t="s">
        <v>623</v>
      </c>
      <c r="F99" s="1" t="s">
        <v>624</v>
      </c>
      <c r="G99" s="1" t="s">
        <v>625</v>
      </c>
      <c r="H99" s="1" t="s">
        <v>626</v>
      </c>
    </row>
    <row r="100" spans="1:8" x14ac:dyDescent="0.3">
      <c r="A100" s="2">
        <v>20315</v>
      </c>
      <c r="B100" s="1" t="s">
        <v>627</v>
      </c>
      <c r="C100" s="1" t="s">
        <v>628</v>
      </c>
      <c r="D100" s="1" t="s">
        <v>629</v>
      </c>
      <c r="E100" s="1" t="s">
        <v>630</v>
      </c>
      <c r="F100" s="1" t="s">
        <v>631</v>
      </c>
      <c r="G100" s="1" t="s">
        <v>632</v>
      </c>
      <c r="H100" s="1" t="s">
        <v>633</v>
      </c>
    </row>
    <row r="101" spans="1:8" x14ac:dyDescent="0.3">
      <c r="A101" s="2">
        <v>20316</v>
      </c>
      <c r="B101" s="1" t="s">
        <v>634</v>
      </c>
      <c r="C101" s="1" t="s">
        <v>635</v>
      </c>
      <c r="D101" s="1" t="s">
        <v>636</v>
      </c>
      <c r="E101" s="1" t="s">
        <v>637</v>
      </c>
      <c r="F101" s="1" t="s">
        <v>638</v>
      </c>
      <c r="G101" s="1" t="s">
        <v>639</v>
      </c>
      <c r="H101" s="1" t="s">
        <v>640</v>
      </c>
    </row>
    <row r="102" spans="1:8" x14ac:dyDescent="0.3">
      <c r="A102" s="2">
        <v>20401</v>
      </c>
      <c r="B102" s="1" t="s">
        <v>641</v>
      </c>
      <c r="C102" s="1" t="s">
        <v>642</v>
      </c>
      <c r="D102" s="1" t="s">
        <v>643</v>
      </c>
      <c r="E102" s="1" t="s">
        <v>644</v>
      </c>
      <c r="F102" s="1" t="s">
        <v>645</v>
      </c>
      <c r="G102" s="1" t="s">
        <v>646</v>
      </c>
      <c r="H102" s="1" t="s">
        <v>647</v>
      </c>
    </row>
    <row r="103" spans="1:8" x14ac:dyDescent="0.3">
      <c r="A103" s="2">
        <v>20402</v>
      </c>
      <c r="B103" s="1" t="s">
        <v>648</v>
      </c>
      <c r="C103" s="1" t="s">
        <v>649</v>
      </c>
      <c r="D103" s="1" t="s">
        <v>648</v>
      </c>
      <c r="E103" s="1" t="s">
        <v>650</v>
      </c>
      <c r="F103" s="1" t="s">
        <v>651</v>
      </c>
      <c r="G103" s="1" t="s">
        <v>652</v>
      </c>
      <c r="H103" s="1" t="s">
        <v>648</v>
      </c>
    </row>
    <row r="104" spans="1:8" x14ac:dyDescent="0.3">
      <c r="A104" s="2">
        <v>20403</v>
      </c>
      <c r="B104" s="1" t="s">
        <v>653</v>
      </c>
      <c r="C104" s="1" t="s">
        <v>654</v>
      </c>
      <c r="D104" s="1" t="s">
        <v>653</v>
      </c>
      <c r="E104" s="1" t="s">
        <v>655</v>
      </c>
      <c r="F104" s="1" t="s">
        <v>656</v>
      </c>
      <c r="G104" s="1" t="s">
        <v>657</v>
      </c>
      <c r="H104" s="1" t="s">
        <v>653</v>
      </c>
    </row>
    <row r="105" spans="1:8" x14ac:dyDescent="0.3">
      <c r="A105" s="2">
        <v>20404</v>
      </c>
      <c r="B105" s="1" t="s">
        <v>658</v>
      </c>
      <c r="C105" s="1" t="s">
        <v>659</v>
      </c>
      <c r="D105" s="1" t="s">
        <v>660</v>
      </c>
      <c r="E105" s="1" t="s">
        <v>661</v>
      </c>
      <c r="F105" s="1" t="s">
        <v>662</v>
      </c>
      <c r="G105" s="1" t="s">
        <v>658</v>
      </c>
      <c r="H105" s="1" t="s">
        <v>663</v>
      </c>
    </row>
    <row r="106" spans="1:8" x14ac:dyDescent="0.3">
      <c r="A106" s="2">
        <v>20405</v>
      </c>
      <c r="B106" s="1" t="s">
        <v>664</v>
      </c>
      <c r="C106" s="1" t="s">
        <v>665</v>
      </c>
      <c r="D106" s="1" t="s">
        <v>666</v>
      </c>
      <c r="E106" s="1" t="s">
        <v>667</v>
      </c>
      <c r="F106" s="1" t="s">
        <v>668</v>
      </c>
      <c r="G106" s="1" t="s">
        <v>669</v>
      </c>
      <c r="H106" s="1" t="s">
        <v>669</v>
      </c>
    </row>
    <row r="107" spans="1:8" x14ac:dyDescent="0.3">
      <c r="A107" s="2">
        <v>20406</v>
      </c>
      <c r="B107" s="1" t="s">
        <v>670</v>
      </c>
      <c r="C107" s="1" t="s">
        <v>671</v>
      </c>
      <c r="D107" s="1" t="s">
        <v>670</v>
      </c>
      <c r="E107" s="1" t="s">
        <v>672</v>
      </c>
      <c r="F107" s="1" t="s">
        <v>673</v>
      </c>
      <c r="G107" s="1" t="s">
        <v>674</v>
      </c>
      <c r="H107" s="1" t="s">
        <v>670</v>
      </c>
    </row>
    <row r="108" spans="1:8" x14ac:dyDescent="0.3">
      <c r="A108" s="2">
        <v>20407</v>
      </c>
      <c r="B108" s="1" t="s">
        <v>675</v>
      </c>
      <c r="C108" s="1" t="s">
        <v>676</v>
      </c>
      <c r="D108" s="1" t="s">
        <v>675</v>
      </c>
      <c r="E108" s="1" t="s">
        <v>677</v>
      </c>
      <c r="F108" s="1" t="s">
        <v>678</v>
      </c>
      <c r="G108" s="1" t="s">
        <v>679</v>
      </c>
      <c r="H108" s="1" t="s">
        <v>675</v>
      </c>
    </row>
    <row r="109" spans="1:8" x14ac:dyDescent="0.3">
      <c r="A109" s="2">
        <v>20408</v>
      </c>
      <c r="B109" s="1" t="s">
        <v>680</v>
      </c>
      <c r="C109" s="1" t="s">
        <v>681</v>
      </c>
      <c r="D109" s="1" t="s">
        <v>682</v>
      </c>
      <c r="E109" s="1" t="s">
        <v>680</v>
      </c>
      <c r="F109" s="1" t="s">
        <v>683</v>
      </c>
      <c r="G109" s="1" t="s">
        <v>684</v>
      </c>
      <c r="H109" s="1" t="s">
        <v>685</v>
      </c>
    </row>
    <row r="110" spans="1:8" x14ac:dyDescent="0.3">
      <c r="A110" s="2">
        <v>20409</v>
      </c>
      <c r="B110" s="1" t="s">
        <v>686</v>
      </c>
      <c r="C110" s="1" t="s">
        <v>687</v>
      </c>
      <c r="D110" s="1" t="s">
        <v>688</v>
      </c>
      <c r="E110" s="1" t="s">
        <v>689</v>
      </c>
      <c r="F110" s="1" t="s">
        <v>690</v>
      </c>
      <c r="G110" s="1" t="s">
        <v>691</v>
      </c>
      <c r="H110" s="1" t="s">
        <v>692</v>
      </c>
    </row>
    <row r="111" spans="1:8" x14ac:dyDescent="0.3">
      <c r="A111" s="2">
        <v>20410</v>
      </c>
      <c r="B111" s="1" t="s">
        <v>693</v>
      </c>
      <c r="C111" s="1" t="s">
        <v>694</v>
      </c>
      <c r="D111" s="1" t="s">
        <v>693</v>
      </c>
      <c r="E111" s="1" t="s">
        <v>695</v>
      </c>
      <c r="F111" s="1" t="s">
        <v>696</v>
      </c>
      <c r="G111" s="1" t="s">
        <v>697</v>
      </c>
      <c r="H111" s="1" t="s">
        <v>693</v>
      </c>
    </row>
    <row r="112" spans="1:8" x14ac:dyDescent="0.3">
      <c r="A112" s="2">
        <v>20411</v>
      </c>
      <c r="B112" s="1" t="s">
        <v>698</v>
      </c>
      <c r="C112" s="1" t="s">
        <v>699</v>
      </c>
      <c r="D112" s="1" t="s">
        <v>700</v>
      </c>
      <c r="E112" s="1" t="s">
        <v>698</v>
      </c>
      <c r="F112" s="1" t="s">
        <v>701</v>
      </c>
      <c r="G112" s="1" t="s">
        <v>702</v>
      </c>
      <c r="H112" s="1" t="s">
        <v>703</v>
      </c>
    </row>
    <row r="113" spans="1:8" x14ac:dyDescent="0.3">
      <c r="A113" s="2" t="s">
        <v>704</v>
      </c>
      <c r="B113" s="1" t="s">
        <v>705</v>
      </c>
      <c r="C113" s="1" t="s">
        <v>706</v>
      </c>
      <c r="D113" s="1" t="s">
        <v>707</v>
      </c>
      <c r="E113" s="1" t="s">
        <v>708</v>
      </c>
      <c r="G113" s="1" t="s">
        <v>709</v>
      </c>
      <c r="H113" s="1" t="s">
        <v>710</v>
      </c>
    </row>
    <row r="114" spans="1:8" x14ac:dyDescent="0.3">
      <c r="A114" s="2" t="s">
        <v>711</v>
      </c>
      <c r="B114" s="1" t="s">
        <v>712</v>
      </c>
      <c r="C114" s="1" t="s">
        <v>713</v>
      </c>
      <c r="D114" s="1" t="s">
        <v>714</v>
      </c>
      <c r="F114" s="1" t="s">
        <v>715</v>
      </c>
      <c r="G114" s="1" t="s">
        <v>716</v>
      </c>
      <c r="H114" s="1" t="s">
        <v>717</v>
      </c>
    </row>
    <row r="115" spans="1:8" x14ac:dyDescent="0.3">
      <c r="A115" s="2" t="s">
        <v>718</v>
      </c>
      <c r="B115" s="1" t="s">
        <v>719</v>
      </c>
      <c r="C115" s="1" t="s">
        <v>720</v>
      </c>
      <c r="D115" s="1" t="s">
        <v>721</v>
      </c>
      <c r="E115" s="1" t="s">
        <v>719</v>
      </c>
      <c r="F115" s="1" t="s">
        <v>719</v>
      </c>
      <c r="G115" s="1" t="s">
        <v>722</v>
      </c>
      <c r="H115" s="1" t="s">
        <v>723</v>
      </c>
    </row>
    <row r="116" spans="1:8" x14ac:dyDescent="0.3">
      <c r="A116" s="2" t="s">
        <v>724</v>
      </c>
      <c r="B116" s="1" t="s">
        <v>725</v>
      </c>
      <c r="C116" s="1" t="s">
        <v>726</v>
      </c>
      <c r="D116" s="1" t="s">
        <v>727</v>
      </c>
      <c r="E116" s="1" t="s">
        <v>725</v>
      </c>
      <c r="F116" s="1" t="s">
        <v>725</v>
      </c>
      <c r="G116" s="1" t="s">
        <v>728</v>
      </c>
      <c r="H116" s="1" t="s">
        <v>729</v>
      </c>
    </row>
    <row r="117" spans="1:8" x14ac:dyDescent="0.3">
      <c r="A117" s="2">
        <v>20412</v>
      </c>
      <c r="B117" s="1" t="s">
        <v>730</v>
      </c>
      <c r="C117" s="1" t="s">
        <v>731</v>
      </c>
      <c r="D117" s="1" t="s">
        <v>732</v>
      </c>
      <c r="E117" s="1" t="s">
        <v>733</v>
      </c>
      <c r="F117" s="1" t="s">
        <v>734</v>
      </c>
      <c r="G117" s="1" t="s">
        <v>735</v>
      </c>
      <c r="H117" s="1" t="s">
        <v>736</v>
      </c>
    </row>
    <row r="118" spans="1:8" x14ac:dyDescent="0.3">
      <c r="A118" s="2">
        <v>20413</v>
      </c>
      <c r="B118" s="1" t="s">
        <v>737</v>
      </c>
      <c r="C118" s="1" t="s">
        <v>738</v>
      </c>
      <c r="D118" s="1" t="s">
        <v>739</v>
      </c>
      <c r="E118" s="1" t="s">
        <v>740</v>
      </c>
      <c r="F118" s="1" t="s">
        <v>741</v>
      </c>
      <c r="G118" s="1" t="s">
        <v>742</v>
      </c>
      <c r="H118" s="1" t="s">
        <v>743</v>
      </c>
    </row>
    <row r="119" spans="1:8" x14ac:dyDescent="0.3">
      <c r="A119" s="2" t="s">
        <v>744</v>
      </c>
      <c r="B119" s="1" t="s">
        <v>745</v>
      </c>
      <c r="D119" s="1" t="s">
        <v>746</v>
      </c>
      <c r="E119" s="1" t="s">
        <v>747</v>
      </c>
      <c r="F119" s="1" t="s">
        <v>748</v>
      </c>
      <c r="G119" s="1" t="s">
        <v>749</v>
      </c>
      <c r="H119" s="1" t="s">
        <v>747</v>
      </c>
    </row>
    <row r="120" spans="1:8" x14ac:dyDescent="0.3">
      <c r="A120" s="2" t="s">
        <v>750</v>
      </c>
      <c r="B120" s="1" t="s">
        <v>751</v>
      </c>
      <c r="D120" s="1" t="s">
        <v>752</v>
      </c>
      <c r="E120" s="1" t="s">
        <v>753</v>
      </c>
      <c r="F120" s="1" t="s">
        <v>754</v>
      </c>
      <c r="G120" s="1" t="s">
        <v>755</v>
      </c>
      <c r="H120" s="1" t="s">
        <v>753</v>
      </c>
    </row>
    <row r="121" spans="1:8" x14ac:dyDescent="0.3">
      <c r="A121" s="2">
        <v>20414</v>
      </c>
      <c r="B121" s="1" t="s">
        <v>756</v>
      </c>
      <c r="C121" s="1" t="s">
        <v>757</v>
      </c>
      <c r="D121" s="1" t="s">
        <v>758</v>
      </c>
      <c r="E121" s="1" t="s">
        <v>759</v>
      </c>
      <c r="F121" s="1" t="s">
        <v>760</v>
      </c>
      <c r="G121" s="1" t="s">
        <v>761</v>
      </c>
      <c r="H121" s="1" t="s">
        <v>759</v>
      </c>
    </row>
    <row r="122" spans="1:8" x14ac:dyDescent="0.3">
      <c r="A122" s="2">
        <v>20415</v>
      </c>
      <c r="B122" s="1" t="s">
        <v>762</v>
      </c>
      <c r="C122" s="1" t="s">
        <v>763</v>
      </c>
      <c r="D122" s="1" t="s">
        <v>764</v>
      </c>
      <c r="E122" s="1" t="s">
        <v>764</v>
      </c>
      <c r="F122" s="1" t="s">
        <v>765</v>
      </c>
      <c r="G122" s="1" t="s">
        <v>766</v>
      </c>
      <c r="H122" s="1" t="s">
        <v>764</v>
      </c>
    </row>
    <row r="123" spans="1:8" x14ac:dyDescent="0.3">
      <c r="A123" s="2">
        <v>20416</v>
      </c>
      <c r="B123" s="1" t="s">
        <v>767</v>
      </c>
      <c r="C123" s="1" t="s">
        <v>767</v>
      </c>
      <c r="D123" s="1" t="s">
        <v>768</v>
      </c>
      <c r="E123" s="1" t="s">
        <v>769</v>
      </c>
      <c r="F123" s="1" t="s">
        <v>770</v>
      </c>
      <c r="G123" s="1" t="s">
        <v>767</v>
      </c>
      <c r="H123" s="1" t="s">
        <v>771</v>
      </c>
    </row>
    <row r="124" spans="1:8" x14ac:dyDescent="0.3">
      <c r="A124" s="2">
        <v>20417</v>
      </c>
      <c r="B124" s="1" t="s">
        <v>772</v>
      </c>
      <c r="C124" s="1" t="s">
        <v>773</v>
      </c>
      <c r="D124" s="1" t="s">
        <v>774</v>
      </c>
      <c r="E124" s="1" t="s">
        <v>775</v>
      </c>
      <c r="F124" s="1" t="s">
        <v>776</v>
      </c>
      <c r="G124" s="1" t="s">
        <v>777</v>
      </c>
      <c r="H124" s="1" t="s">
        <v>775</v>
      </c>
    </row>
    <row r="125" spans="1:8" x14ac:dyDescent="0.3">
      <c r="A125" s="2">
        <v>20418</v>
      </c>
      <c r="B125" s="1" t="s">
        <v>778</v>
      </c>
      <c r="C125" s="1" t="s">
        <v>779</v>
      </c>
      <c r="D125" s="1" t="s">
        <v>778</v>
      </c>
      <c r="E125" s="1" t="s">
        <v>780</v>
      </c>
      <c r="F125" s="1" t="s">
        <v>781</v>
      </c>
      <c r="G125" s="1" t="s">
        <v>782</v>
      </c>
      <c r="H125" s="1" t="s">
        <v>783</v>
      </c>
    </row>
    <row r="126" spans="1:8" x14ac:dyDescent="0.3">
      <c r="A126" s="2">
        <v>20419</v>
      </c>
      <c r="B126" s="1" t="s">
        <v>784</v>
      </c>
      <c r="C126" s="1" t="s">
        <v>785</v>
      </c>
      <c r="D126" s="1" t="s">
        <v>786</v>
      </c>
      <c r="E126" s="1" t="s">
        <v>787</v>
      </c>
      <c r="F126" s="1" t="s">
        <v>788</v>
      </c>
      <c r="G126" s="1" t="s">
        <v>789</v>
      </c>
      <c r="H126" s="1" t="s">
        <v>790</v>
      </c>
    </row>
    <row r="127" spans="1:8" x14ac:dyDescent="0.3">
      <c r="A127" s="2">
        <v>20420</v>
      </c>
      <c r="B127" s="1" t="s">
        <v>791</v>
      </c>
      <c r="C127" s="1" t="s">
        <v>792</v>
      </c>
      <c r="D127" s="1" t="s">
        <v>793</v>
      </c>
      <c r="E127" s="1" t="s">
        <v>794</v>
      </c>
      <c r="F127" s="1" t="s">
        <v>795</v>
      </c>
      <c r="G127" s="1" t="s">
        <v>796</v>
      </c>
      <c r="H127" s="1" t="s">
        <v>797</v>
      </c>
    </row>
    <row r="128" spans="1:8" x14ac:dyDescent="0.3">
      <c r="A128" s="2">
        <v>20421</v>
      </c>
      <c r="B128" s="1" t="s">
        <v>798</v>
      </c>
      <c r="C128" s="1" t="s">
        <v>799</v>
      </c>
      <c r="D128" s="1" t="s">
        <v>800</v>
      </c>
      <c r="E128" s="1" t="s">
        <v>801</v>
      </c>
      <c r="F128" s="1" t="s">
        <v>802</v>
      </c>
      <c r="G128" s="1" t="s">
        <v>803</v>
      </c>
      <c r="H128" s="1" t="s">
        <v>804</v>
      </c>
    </row>
    <row r="129" spans="1:8" x14ac:dyDescent="0.3">
      <c r="A129" s="2">
        <v>20422</v>
      </c>
      <c r="B129" s="1" t="s">
        <v>805</v>
      </c>
      <c r="C129" s="1" t="s">
        <v>806</v>
      </c>
      <c r="D129" s="1" t="s">
        <v>807</v>
      </c>
      <c r="E129" s="1" t="s">
        <v>808</v>
      </c>
      <c r="G129" s="1" t="s">
        <v>809</v>
      </c>
      <c r="H129" s="1" t="s">
        <v>805</v>
      </c>
    </row>
    <row r="130" spans="1:8" x14ac:dyDescent="0.3">
      <c r="A130" s="2">
        <v>20423</v>
      </c>
      <c r="B130" s="1" t="s">
        <v>810</v>
      </c>
      <c r="C130" s="1" t="s">
        <v>811</v>
      </c>
      <c r="D130" s="1" t="s">
        <v>810</v>
      </c>
      <c r="E130" s="1" t="s">
        <v>812</v>
      </c>
      <c r="F130" s="1" t="s">
        <v>810</v>
      </c>
      <c r="G130" s="1" t="s">
        <v>812</v>
      </c>
      <c r="H130" s="1" t="s">
        <v>810</v>
      </c>
    </row>
    <row r="131" spans="1:8" x14ac:dyDescent="0.3">
      <c r="A131" s="2">
        <v>20424</v>
      </c>
      <c r="B131" s="1" t="s">
        <v>813</v>
      </c>
      <c r="C131" s="1" t="s">
        <v>814</v>
      </c>
      <c r="E131" s="1" t="s">
        <v>813</v>
      </c>
      <c r="F131" s="1" t="s">
        <v>815</v>
      </c>
      <c r="G131" s="1" t="s">
        <v>813</v>
      </c>
      <c r="H131" s="1" t="s">
        <v>816</v>
      </c>
    </row>
    <row r="132" spans="1:8" x14ac:dyDescent="0.3">
      <c r="A132" s="2" t="s">
        <v>817</v>
      </c>
      <c r="B132" s="1" t="s">
        <v>818</v>
      </c>
      <c r="C132" s="1" t="s">
        <v>819</v>
      </c>
      <c r="D132" s="1" t="s">
        <v>820</v>
      </c>
      <c r="E132" s="1" t="s">
        <v>821</v>
      </c>
      <c r="F132" s="1" t="s">
        <v>822</v>
      </c>
      <c r="G132" s="1" t="s">
        <v>823</v>
      </c>
      <c r="H132" s="1" t="s">
        <v>824</v>
      </c>
    </row>
    <row r="133" spans="1:8" x14ac:dyDescent="0.3">
      <c r="A133" s="2" t="s">
        <v>825</v>
      </c>
      <c r="B133" s="1" t="s">
        <v>826</v>
      </c>
      <c r="C133" s="1" t="s">
        <v>827</v>
      </c>
      <c r="D133" s="1" t="s">
        <v>828</v>
      </c>
      <c r="E133" s="1" t="s">
        <v>829</v>
      </c>
      <c r="F133" s="1" t="s">
        <v>830</v>
      </c>
      <c r="G133" s="1" t="s">
        <v>826</v>
      </c>
      <c r="H133" s="1" t="s">
        <v>829</v>
      </c>
    </row>
    <row r="134" spans="1:8" x14ac:dyDescent="0.3">
      <c r="A134" s="2">
        <v>20425</v>
      </c>
      <c r="B134" s="1" t="s">
        <v>831</v>
      </c>
      <c r="C134" s="1" t="s">
        <v>832</v>
      </c>
      <c r="D134" s="1" t="s">
        <v>833</v>
      </c>
      <c r="E134" s="1" t="s">
        <v>834</v>
      </c>
      <c r="F134" s="1" t="s">
        <v>835</v>
      </c>
      <c r="G134" s="1" t="s">
        <v>836</v>
      </c>
      <c r="H134" s="1" t="s">
        <v>837</v>
      </c>
    </row>
    <row r="135" spans="1:8" x14ac:dyDescent="0.3">
      <c r="A135" s="2">
        <v>20501</v>
      </c>
      <c r="B135" s="1" t="s">
        <v>838</v>
      </c>
      <c r="C135" s="1" t="s">
        <v>839</v>
      </c>
      <c r="D135" s="1" t="s">
        <v>840</v>
      </c>
      <c r="E135" s="1" t="s">
        <v>841</v>
      </c>
      <c r="F135" s="1" t="s">
        <v>842</v>
      </c>
      <c r="G135" s="1" t="s">
        <v>843</v>
      </c>
      <c r="H135" s="1" t="s">
        <v>844</v>
      </c>
    </row>
    <row r="136" spans="1:8" x14ac:dyDescent="0.3">
      <c r="A136" s="2">
        <v>20502</v>
      </c>
      <c r="B136" s="1" t="s">
        <v>845</v>
      </c>
      <c r="C136" s="1" t="s">
        <v>846</v>
      </c>
      <c r="D136" s="1" t="s">
        <v>845</v>
      </c>
      <c r="E136" s="1" t="s">
        <v>847</v>
      </c>
      <c r="F136" s="1" t="s">
        <v>845</v>
      </c>
      <c r="G136" s="1" t="s">
        <v>848</v>
      </c>
      <c r="H136" s="1" t="s">
        <v>849</v>
      </c>
    </row>
    <row r="137" spans="1:8" x14ac:dyDescent="0.3">
      <c r="A137" s="2" t="s">
        <v>850</v>
      </c>
      <c r="B137" s="1" t="s">
        <v>851</v>
      </c>
      <c r="C137" s="1" t="s">
        <v>57</v>
      </c>
      <c r="E137" s="1" t="s">
        <v>57</v>
      </c>
      <c r="F137" s="1" t="s">
        <v>852</v>
      </c>
      <c r="G137" s="1" t="s">
        <v>853</v>
      </c>
      <c r="H137" s="1" t="s">
        <v>57</v>
      </c>
    </row>
    <row r="138" spans="1:8" x14ac:dyDescent="0.3">
      <c r="A138" s="2" t="s">
        <v>854</v>
      </c>
      <c r="B138" s="1" t="s">
        <v>855</v>
      </c>
      <c r="C138" s="1" t="s">
        <v>57</v>
      </c>
      <c r="E138" s="1" t="s">
        <v>57</v>
      </c>
      <c r="F138" s="1" t="s">
        <v>57</v>
      </c>
      <c r="G138" s="1" t="s">
        <v>856</v>
      </c>
      <c r="H138" s="1" t="s">
        <v>57</v>
      </c>
    </row>
    <row r="139" spans="1:8" x14ac:dyDescent="0.3">
      <c r="A139" s="2" t="s">
        <v>857</v>
      </c>
      <c r="B139" s="1" t="s">
        <v>858</v>
      </c>
      <c r="C139" s="1" t="s">
        <v>57</v>
      </c>
      <c r="E139" s="1" t="s">
        <v>57</v>
      </c>
      <c r="F139" s="1" t="s">
        <v>57</v>
      </c>
      <c r="G139" s="1" t="s">
        <v>859</v>
      </c>
      <c r="H139" s="1" t="s">
        <v>57</v>
      </c>
    </row>
    <row r="140" spans="1:8" x14ac:dyDescent="0.3">
      <c r="A140" s="2" t="s">
        <v>860</v>
      </c>
      <c r="B140" s="1" t="s">
        <v>861</v>
      </c>
      <c r="C140" s="1" t="s">
        <v>57</v>
      </c>
      <c r="E140" s="1" t="s">
        <v>57</v>
      </c>
      <c r="F140" s="1" t="s">
        <v>57</v>
      </c>
      <c r="G140" s="1" t="s">
        <v>57</v>
      </c>
      <c r="H140" s="1" t="s">
        <v>862</v>
      </c>
    </row>
    <row r="141" spans="1:8" x14ac:dyDescent="0.3">
      <c r="A141" s="2" t="s">
        <v>863</v>
      </c>
      <c r="B141" s="1" t="s">
        <v>864</v>
      </c>
      <c r="C141" s="1" t="s">
        <v>865</v>
      </c>
      <c r="E141" s="1" t="s">
        <v>57</v>
      </c>
      <c r="F141" s="1" t="s">
        <v>866</v>
      </c>
      <c r="G141" s="1" t="s">
        <v>867</v>
      </c>
      <c r="H141" s="1" t="s">
        <v>868</v>
      </c>
    </row>
    <row r="142" spans="1:8" x14ac:dyDescent="0.3">
      <c r="A142" s="2" t="s">
        <v>869</v>
      </c>
      <c r="B142" s="1" t="s">
        <v>870</v>
      </c>
      <c r="C142" s="1" t="s">
        <v>871</v>
      </c>
      <c r="E142" s="1" t="s">
        <v>57</v>
      </c>
      <c r="F142" s="1" t="s">
        <v>57</v>
      </c>
      <c r="G142" s="1" t="s">
        <v>872</v>
      </c>
      <c r="H142" s="1" t="s">
        <v>873</v>
      </c>
    </row>
    <row r="143" spans="1:8" x14ac:dyDescent="0.3">
      <c r="A143" s="2">
        <v>20503</v>
      </c>
      <c r="B143" s="1" t="s">
        <v>874</v>
      </c>
      <c r="C143" s="1" t="s">
        <v>57</v>
      </c>
      <c r="D143" s="1" t="s">
        <v>875</v>
      </c>
      <c r="E143" s="1" t="s">
        <v>876</v>
      </c>
      <c r="F143" s="1" t="s">
        <v>877</v>
      </c>
      <c r="G143" s="1" t="s">
        <v>878</v>
      </c>
      <c r="H143" s="1" t="s">
        <v>879</v>
      </c>
    </row>
    <row r="144" spans="1:8" x14ac:dyDescent="0.3">
      <c r="A144" s="2">
        <v>20504</v>
      </c>
      <c r="B144" s="1" t="s">
        <v>880</v>
      </c>
      <c r="C144" s="1" t="s">
        <v>881</v>
      </c>
      <c r="D144" s="1" t="s">
        <v>882</v>
      </c>
      <c r="E144" s="1" t="s">
        <v>883</v>
      </c>
      <c r="F144" s="1" t="s">
        <v>884</v>
      </c>
      <c r="G144" s="1" t="s">
        <v>885</v>
      </c>
      <c r="H144" s="1" t="s">
        <v>886</v>
      </c>
    </row>
    <row r="145" spans="1:8" x14ac:dyDescent="0.3">
      <c r="A145" s="2">
        <v>20505</v>
      </c>
      <c r="B145" s="1" t="s">
        <v>887</v>
      </c>
      <c r="C145" s="1" t="s">
        <v>888</v>
      </c>
      <c r="D145" s="1" t="s">
        <v>889</v>
      </c>
      <c r="E145" s="1" t="s">
        <v>887</v>
      </c>
      <c r="F145" s="1" t="s">
        <v>890</v>
      </c>
      <c r="G145" s="1" t="s">
        <v>891</v>
      </c>
      <c r="H145" s="1" t="s">
        <v>887</v>
      </c>
    </row>
    <row r="146" spans="1:8" x14ac:dyDescent="0.3">
      <c r="A146" s="2">
        <v>20506</v>
      </c>
      <c r="B146" s="1" t="s">
        <v>892</v>
      </c>
      <c r="C146" s="1" t="s">
        <v>893</v>
      </c>
      <c r="D146" s="1" t="s">
        <v>894</v>
      </c>
      <c r="E146" s="1" t="s">
        <v>895</v>
      </c>
      <c r="F146" s="1" t="s">
        <v>896</v>
      </c>
      <c r="G146" s="1" t="s">
        <v>897</v>
      </c>
      <c r="H146" s="1" t="s">
        <v>896</v>
      </c>
    </row>
    <row r="147" spans="1:8" x14ac:dyDescent="0.3">
      <c r="A147" s="2">
        <v>20507</v>
      </c>
      <c r="B147" s="1" t="s">
        <v>898</v>
      </c>
      <c r="C147" s="1" t="s">
        <v>899</v>
      </c>
      <c r="D147" s="1" t="s">
        <v>900</v>
      </c>
      <c r="E147" s="1" t="s">
        <v>901</v>
      </c>
      <c r="F147" s="1" t="s">
        <v>902</v>
      </c>
      <c r="G147" s="1" t="s">
        <v>903</v>
      </c>
      <c r="H147" s="1" t="s">
        <v>904</v>
      </c>
    </row>
    <row r="148" spans="1:8" x14ac:dyDescent="0.3">
      <c r="A148" s="2">
        <v>20508</v>
      </c>
      <c r="B148" s="1" t="s">
        <v>905</v>
      </c>
      <c r="C148" s="1" t="s">
        <v>906</v>
      </c>
      <c r="D148" s="1" t="s">
        <v>907</v>
      </c>
      <c r="E148" s="1" t="s">
        <v>908</v>
      </c>
      <c r="F148" s="1" t="s">
        <v>909</v>
      </c>
      <c r="G148" s="1" t="s">
        <v>910</v>
      </c>
      <c r="H148" s="1" t="s">
        <v>911</v>
      </c>
    </row>
    <row r="149" spans="1:8" x14ac:dyDescent="0.3">
      <c r="A149" s="2">
        <v>20509</v>
      </c>
      <c r="B149" s="1" t="s">
        <v>912</v>
      </c>
      <c r="C149" s="1" t="s">
        <v>913</v>
      </c>
      <c r="D149" s="1" t="s">
        <v>914</v>
      </c>
      <c r="E149" s="1" t="s">
        <v>915</v>
      </c>
      <c r="F149" s="1" t="s">
        <v>916</v>
      </c>
      <c r="G149" s="1" t="s">
        <v>917</v>
      </c>
      <c r="H149" s="1" t="s">
        <v>918</v>
      </c>
    </row>
    <row r="150" spans="1:8" x14ac:dyDescent="0.3">
      <c r="A150" s="2">
        <v>20510</v>
      </c>
      <c r="B150" s="1" t="s">
        <v>919</v>
      </c>
      <c r="C150" s="1" t="s">
        <v>920</v>
      </c>
      <c r="D150" s="1" t="s">
        <v>921</v>
      </c>
      <c r="E150" s="1" t="s">
        <v>922</v>
      </c>
      <c r="F150" s="1" t="s">
        <v>923</v>
      </c>
      <c r="G150" s="1" t="s">
        <v>924</v>
      </c>
      <c r="H150" s="1" t="s">
        <v>925</v>
      </c>
    </row>
    <row r="151" spans="1:8" x14ac:dyDescent="0.3">
      <c r="A151" s="2">
        <v>20511</v>
      </c>
      <c r="B151" s="1" t="s">
        <v>926</v>
      </c>
      <c r="D151" s="1" t="s">
        <v>927</v>
      </c>
      <c r="E151" s="1" t="s">
        <v>928</v>
      </c>
      <c r="F151" s="1" t="s">
        <v>929</v>
      </c>
      <c r="G151" s="1" t="s">
        <v>930</v>
      </c>
      <c r="H151" s="1" t="s">
        <v>931</v>
      </c>
    </row>
    <row r="152" spans="1:8" x14ac:dyDescent="0.3">
      <c r="A152" s="2">
        <v>20512</v>
      </c>
      <c r="B152" s="1" t="s">
        <v>932</v>
      </c>
      <c r="C152" s="1" t="s">
        <v>933</v>
      </c>
      <c r="D152" s="1" t="s">
        <v>934</v>
      </c>
      <c r="E152" s="1" t="s">
        <v>935</v>
      </c>
      <c r="F152" s="1" t="s">
        <v>936</v>
      </c>
      <c r="G152" s="1" t="s">
        <v>937</v>
      </c>
      <c r="H152" s="1" t="s">
        <v>938</v>
      </c>
    </row>
    <row r="153" spans="1:8" x14ac:dyDescent="0.3">
      <c r="A153" s="2">
        <v>20513</v>
      </c>
      <c r="B153" s="1" t="s">
        <v>939</v>
      </c>
      <c r="C153" s="1" t="s">
        <v>940</v>
      </c>
      <c r="D153" s="1" t="s">
        <v>941</v>
      </c>
      <c r="E153" s="1" t="s">
        <v>942</v>
      </c>
      <c r="F153" s="1" t="s">
        <v>943</v>
      </c>
      <c r="G153" s="1" t="s">
        <v>944</v>
      </c>
      <c r="H153" s="1" t="s">
        <v>945</v>
      </c>
    </row>
    <row r="154" spans="1:8" x14ac:dyDescent="0.3">
      <c r="A154" s="2">
        <v>20514</v>
      </c>
      <c r="B154" s="1" t="s">
        <v>946</v>
      </c>
      <c r="C154" s="1" t="s">
        <v>947</v>
      </c>
      <c r="D154" s="1" t="s">
        <v>946</v>
      </c>
      <c r="E154" s="1" t="s">
        <v>948</v>
      </c>
      <c r="F154" s="1" t="s">
        <v>946</v>
      </c>
      <c r="G154" s="1" t="s">
        <v>949</v>
      </c>
      <c r="H154" s="1" t="s">
        <v>950</v>
      </c>
    </row>
    <row r="155" spans="1:8" x14ac:dyDescent="0.3">
      <c r="A155" s="2">
        <v>20515</v>
      </c>
      <c r="B155" s="1" t="s">
        <v>951</v>
      </c>
      <c r="C155" s="1" t="s">
        <v>952</v>
      </c>
      <c r="D155" s="1" t="s">
        <v>951</v>
      </c>
      <c r="E155" s="1" t="s">
        <v>953</v>
      </c>
      <c r="F155" s="1" t="s">
        <v>954</v>
      </c>
      <c r="G155" s="1" t="s">
        <v>955</v>
      </c>
      <c r="H155" s="1" t="s">
        <v>956</v>
      </c>
    </row>
    <row r="156" spans="1:8" x14ac:dyDescent="0.3">
      <c r="A156" s="2">
        <v>20516</v>
      </c>
      <c r="B156" s="1" t="s">
        <v>957</v>
      </c>
      <c r="C156" s="1" t="s">
        <v>958</v>
      </c>
      <c r="D156" s="1" t="s">
        <v>959</v>
      </c>
      <c r="E156" s="1" t="s">
        <v>960</v>
      </c>
      <c r="F156" s="1" t="s">
        <v>961</v>
      </c>
      <c r="G156" s="1" t="s">
        <v>962</v>
      </c>
      <c r="H156" s="1" t="s">
        <v>963</v>
      </c>
    </row>
    <row r="157" spans="1:8" x14ac:dyDescent="0.3">
      <c r="A157" s="2">
        <v>20517</v>
      </c>
      <c r="B157" s="1" t="s">
        <v>964</v>
      </c>
      <c r="C157" s="1" t="s">
        <v>965</v>
      </c>
      <c r="D157" s="1" t="s">
        <v>966</v>
      </c>
      <c r="E157" s="1" t="s">
        <v>967</v>
      </c>
      <c r="F157" s="1" t="s">
        <v>964</v>
      </c>
      <c r="G157" s="1" t="s">
        <v>968</v>
      </c>
      <c r="H157" s="1" t="s">
        <v>964</v>
      </c>
    </row>
    <row r="158" spans="1:8" x14ac:dyDescent="0.3">
      <c r="A158" s="2">
        <v>20518</v>
      </c>
      <c r="B158" s="1" t="s">
        <v>969</v>
      </c>
      <c r="C158" s="1" t="s">
        <v>970</v>
      </c>
      <c r="D158" s="1" t="s">
        <v>971</v>
      </c>
      <c r="E158" s="1" t="s">
        <v>972</v>
      </c>
      <c r="F158" s="1" t="s">
        <v>973</v>
      </c>
      <c r="G158" s="1" t="s">
        <v>974</v>
      </c>
      <c r="H158" s="1" t="s">
        <v>975</v>
      </c>
    </row>
    <row r="159" spans="1:8" x14ac:dyDescent="0.3">
      <c r="A159" s="2">
        <v>20519</v>
      </c>
      <c r="B159" s="1" t="s">
        <v>976</v>
      </c>
      <c r="C159" s="1" t="s">
        <v>977</v>
      </c>
      <c r="D159" s="1" t="s">
        <v>978</v>
      </c>
      <c r="E159" s="1" t="s">
        <v>979</v>
      </c>
      <c r="F159" s="1" t="s">
        <v>976</v>
      </c>
      <c r="G159" s="1" t="s">
        <v>980</v>
      </c>
      <c r="H159" s="1" t="s">
        <v>976</v>
      </c>
    </row>
    <row r="160" spans="1:8" x14ac:dyDescent="0.3">
      <c r="A160" s="2">
        <v>20520</v>
      </c>
      <c r="B160" s="1" t="s">
        <v>981</v>
      </c>
      <c r="C160" s="1" t="s">
        <v>982</v>
      </c>
      <c r="D160" s="1" t="s">
        <v>981</v>
      </c>
      <c r="E160" s="1" t="s">
        <v>983</v>
      </c>
      <c r="F160" s="1" t="s">
        <v>984</v>
      </c>
      <c r="G160" s="1" t="s">
        <v>985</v>
      </c>
      <c r="H160" s="1" t="s">
        <v>986</v>
      </c>
    </row>
    <row r="161" spans="1:8" x14ac:dyDescent="0.3">
      <c r="A161" s="2">
        <v>20521</v>
      </c>
      <c r="B161" s="1" t="s">
        <v>987</v>
      </c>
      <c r="C161" s="1" t="s">
        <v>57</v>
      </c>
      <c r="D161" s="1" t="s">
        <v>987</v>
      </c>
      <c r="E161" s="1" t="s">
        <v>57</v>
      </c>
      <c r="F161" s="1" t="s">
        <v>57</v>
      </c>
      <c r="G161" s="1" t="s">
        <v>988</v>
      </c>
      <c r="H161" s="1" t="s">
        <v>57</v>
      </c>
    </row>
    <row r="162" spans="1:8" x14ac:dyDescent="0.3">
      <c r="A162" s="2">
        <v>20522</v>
      </c>
      <c r="B162" s="1" t="s">
        <v>989</v>
      </c>
      <c r="C162" s="1" t="s">
        <v>990</v>
      </c>
      <c r="D162" s="1" t="s">
        <v>991</v>
      </c>
      <c r="E162" s="1" t="s">
        <v>992</v>
      </c>
      <c r="F162" s="1" t="s">
        <v>993</v>
      </c>
      <c r="G162" s="1" t="s">
        <v>994</v>
      </c>
      <c r="H162" s="1" t="s">
        <v>995</v>
      </c>
    </row>
    <row r="163" spans="1:8" x14ac:dyDescent="0.3">
      <c r="A163" s="2">
        <v>20523</v>
      </c>
      <c r="B163" s="1" t="s">
        <v>996</v>
      </c>
      <c r="C163" s="1" t="s">
        <v>997</v>
      </c>
      <c r="D163" s="1" t="s">
        <v>998</v>
      </c>
      <c r="E163" s="1" t="s">
        <v>999</v>
      </c>
      <c r="F163" s="1" t="s">
        <v>1000</v>
      </c>
      <c r="G163" s="1" t="s">
        <v>1001</v>
      </c>
      <c r="H163" s="1" t="s">
        <v>1002</v>
      </c>
    </row>
    <row r="164" spans="1:8" x14ac:dyDescent="0.3">
      <c r="A164" s="2">
        <v>20524</v>
      </c>
      <c r="B164" s="1" t="s">
        <v>1003</v>
      </c>
      <c r="C164" s="1" t="s">
        <v>1004</v>
      </c>
      <c r="D164" s="1" t="s">
        <v>1005</v>
      </c>
      <c r="E164" s="1" t="s">
        <v>1006</v>
      </c>
      <c r="F164" s="1" t="s">
        <v>1003</v>
      </c>
      <c r="G164" s="1" t="s">
        <v>1007</v>
      </c>
      <c r="H164" s="1" t="s">
        <v>1003</v>
      </c>
    </row>
    <row r="165" spans="1:8" x14ac:dyDescent="0.3">
      <c r="A165" s="2">
        <v>20525</v>
      </c>
      <c r="B165" s="1" t="s">
        <v>1008</v>
      </c>
      <c r="C165" s="1" t="s">
        <v>1009</v>
      </c>
      <c r="D165" s="1" t="s">
        <v>1010</v>
      </c>
      <c r="E165" s="1" t="s">
        <v>1008</v>
      </c>
      <c r="F165" s="1" t="s">
        <v>1011</v>
      </c>
      <c r="G165" s="1" t="s">
        <v>1012</v>
      </c>
      <c r="H165" s="1" t="s">
        <v>1013</v>
      </c>
    </row>
    <row r="166" spans="1:8" x14ac:dyDescent="0.3">
      <c r="A166" s="2">
        <v>20526</v>
      </c>
      <c r="B166" s="1" t="s">
        <v>1014</v>
      </c>
      <c r="C166" s="1" t="s">
        <v>1015</v>
      </c>
      <c r="D166" s="1" t="s">
        <v>1016</v>
      </c>
      <c r="E166" s="1" t="s">
        <v>1017</v>
      </c>
      <c r="F166" s="1" t="s">
        <v>1018</v>
      </c>
      <c r="G166" s="1" t="s">
        <v>1019</v>
      </c>
      <c r="H166" s="1" t="s">
        <v>1020</v>
      </c>
    </row>
    <row r="167" spans="1:8" x14ac:dyDescent="0.3">
      <c r="A167" s="2">
        <v>20527</v>
      </c>
      <c r="B167" s="1" t="s">
        <v>1021</v>
      </c>
      <c r="C167" s="1" t="s">
        <v>1022</v>
      </c>
      <c r="D167" s="1" t="s">
        <v>1023</v>
      </c>
      <c r="E167" s="1" t="s">
        <v>1024</v>
      </c>
      <c r="F167" s="1" t="s">
        <v>1025</v>
      </c>
      <c r="G167" s="1" t="s">
        <v>1026</v>
      </c>
      <c r="H167" s="1" t="s">
        <v>1025</v>
      </c>
    </row>
    <row r="168" spans="1:8" x14ac:dyDescent="0.3">
      <c r="A168" s="2">
        <v>20528</v>
      </c>
      <c r="B168" s="1" t="s">
        <v>1027</v>
      </c>
      <c r="C168" s="1" t="s">
        <v>1028</v>
      </c>
      <c r="D168" s="1" t="s">
        <v>1029</v>
      </c>
      <c r="E168" s="1" t="s">
        <v>1030</v>
      </c>
      <c r="F168" s="1" t="s">
        <v>1031</v>
      </c>
      <c r="G168" s="1" t="s">
        <v>1032</v>
      </c>
      <c r="H168" s="1" t="s">
        <v>1033</v>
      </c>
    </row>
    <row r="169" spans="1:8" x14ac:dyDescent="0.3">
      <c r="A169" s="2">
        <v>20529</v>
      </c>
      <c r="B169" s="1" t="s">
        <v>1034</v>
      </c>
      <c r="C169" s="1" t="s">
        <v>1035</v>
      </c>
      <c r="D169" s="1" t="s">
        <v>1034</v>
      </c>
      <c r="E169" s="1" t="s">
        <v>1034</v>
      </c>
      <c r="F169" s="1" t="s">
        <v>1034</v>
      </c>
      <c r="G169" s="1" t="s">
        <v>1036</v>
      </c>
      <c r="H169" s="1" t="s">
        <v>1034</v>
      </c>
    </row>
    <row r="170" spans="1:8" x14ac:dyDescent="0.3">
      <c r="A170" s="2">
        <v>20530</v>
      </c>
      <c r="B170" s="1" t="s">
        <v>1037</v>
      </c>
      <c r="C170" s="1" t="s">
        <v>1038</v>
      </c>
      <c r="D170" s="1" t="s">
        <v>1039</v>
      </c>
      <c r="E170" s="1" t="s">
        <v>1040</v>
      </c>
      <c r="F170" s="1" t="s">
        <v>1041</v>
      </c>
      <c r="G170" s="1" t="s">
        <v>1042</v>
      </c>
      <c r="H170" s="1" t="s">
        <v>1043</v>
      </c>
    </row>
    <row r="171" spans="1:8" x14ac:dyDescent="0.3">
      <c r="A171" s="2">
        <v>20531</v>
      </c>
      <c r="B171" s="1" t="s">
        <v>1044</v>
      </c>
      <c r="C171" s="1" t="s">
        <v>1045</v>
      </c>
      <c r="D171" s="1" t="s">
        <v>1046</v>
      </c>
      <c r="E171" s="1" t="s">
        <v>1047</v>
      </c>
      <c r="F171" s="1" t="s">
        <v>1048</v>
      </c>
      <c r="G171" s="1" t="s">
        <v>1049</v>
      </c>
      <c r="H171" s="1" t="s">
        <v>1044</v>
      </c>
    </row>
    <row r="172" spans="1:8" x14ac:dyDescent="0.3">
      <c r="A172" s="2">
        <v>20532</v>
      </c>
      <c r="B172" s="1" t="s">
        <v>1050</v>
      </c>
      <c r="C172" s="1" t="s">
        <v>1051</v>
      </c>
      <c r="D172" s="1" t="s">
        <v>1050</v>
      </c>
      <c r="E172" s="1" t="s">
        <v>1052</v>
      </c>
      <c r="F172" s="1" t="s">
        <v>1050</v>
      </c>
      <c r="G172" s="1" t="s">
        <v>1053</v>
      </c>
      <c r="H172" s="1" t="s">
        <v>1050</v>
      </c>
    </row>
    <row r="173" spans="1:8" x14ac:dyDescent="0.3">
      <c r="A173" s="2">
        <v>20533</v>
      </c>
      <c r="B173" s="1" t="s">
        <v>1054</v>
      </c>
      <c r="C173" s="1" t="s">
        <v>1055</v>
      </c>
      <c r="D173" s="1" t="s">
        <v>1054</v>
      </c>
      <c r="E173" s="1" t="s">
        <v>1056</v>
      </c>
      <c r="F173" s="1" t="s">
        <v>1057</v>
      </c>
      <c r="G173" s="1" t="s">
        <v>1058</v>
      </c>
      <c r="H173" s="1" t="s">
        <v>1059</v>
      </c>
    </row>
    <row r="174" spans="1:8" x14ac:dyDescent="0.3">
      <c r="A174" s="2">
        <v>20601</v>
      </c>
      <c r="B174" s="1" t="s">
        <v>1060</v>
      </c>
      <c r="C174" s="1" t="s">
        <v>1061</v>
      </c>
      <c r="D174" s="1" t="s">
        <v>1062</v>
      </c>
      <c r="E174" s="1" t="s">
        <v>1063</v>
      </c>
      <c r="F174" s="1" t="s">
        <v>1064</v>
      </c>
      <c r="G174" s="1" t="s">
        <v>1065</v>
      </c>
      <c r="H174" s="1" t="s">
        <v>1066</v>
      </c>
    </row>
    <row r="175" spans="1:8" x14ac:dyDescent="0.3">
      <c r="A175" s="2">
        <v>20602</v>
      </c>
      <c r="B175" s="1" t="s">
        <v>1067</v>
      </c>
      <c r="C175" s="1" t="s">
        <v>1068</v>
      </c>
      <c r="D175" s="1" t="s">
        <v>1069</v>
      </c>
      <c r="E175" s="1" t="s">
        <v>1070</v>
      </c>
      <c r="F175" s="1" t="s">
        <v>1071</v>
      </c>
      <c r="G175" s="1" t="s">
        <v>1072</v>
      </c>
      <c r="H175" s="1" t="s">
        <v>1067</v>
      </c>
    </row>
    <row r="176" spans="1:8" x14ac:dyDescent="0.3">
      <c r="A176" s="2" t="s">
        <v>1073</v>
      </c>
      <c r="B176" s="1" t="s">
        <v>1074</v>
      </c>
      <c r="C176" s="1" t="s">
        <v>1075</v>
      </c>
      <c r="D176" s="1" t="s">
        <v>1076</v>
      </c>
      <c r="E176" s="1" t="s">
        <v>1077</v>
      </c>
      <c r="F176" s="1" t="s">
        <v>1078</v>
      </c>
      <c r="G176" s="1" t="s">
        <v>1079</v>
      </c>
      <c r="H176" s="1" t="s">
        <v>1080</v>
      </c>
    </row>
    <row r="177" spans="1:8" x14ac:dyDescent="0.3">
      <c r="A177" s="2">
        <v>20603</v>
      </c>
      <c r="B177" s="1" t="s">
        <v>1081</v>
      </c>
      <c r="C177" s="1" t="s">
        <v>1082</v>
      </c>
      <c r="D177" s="1" t="s">
        <v>1081</v>
      </c>
      <c r="E177" s="1" t="s">
        <v>1083</v>
      </c>
      <c r="F177" s="1" t="s">
        <v>1084</v>
      </c>
      <c r="G177" s="1" t="s">
        <v>1081</v>
      </c>
      <c r="H177" s="1" t="s">
        <v>1085</v>
      </c>
    </row>
    <row r="178" spans="1:8" x14ac:dyDescent="0.3">
      <c r="A178" s="2">
        <v>20604</v>
      </c>
      <c r="B178" s="1" t="s">
        <v>1086</v>
      </c>
      <c r="C178" s="1" t="s">
        <v>1087</v>
      </c>
      <c r="D178" s="1" t="s">
        <v>1088</v>
      </c>
      <c r="E178" s="1" t="s">
        <v>1089</v>
      </c>
      <c r="F178" s="1" t="s">
        <v>1086</v>
      </c>
      <c r="G178" s="1" t="s">
        <v>1090</v>
      </c>
      <c r="H178" s="1" t="s">
        <v>1091</v>
      </c>
    </row>
    <row r="179" spans="1:8" x14ac:dyDescent="0.3">
      <c r="A179" s="2">
        <v>20605</v>
      </c>
      <c r="B179" s="1" t="s">
        <v>1092</v>
      </c>
      <c r="C179" s="1" t="s">
        <v>1093</v>
      </c>
      <c r="D179" s="1" t="s">
        <v>1094</v>
      </c>
      <c r="E179" s="1" t="s">
        <v>1095</v>
      </c>
      <c r="F179" s="1" t="s">
        <v>1096</v>
      </c>
      <c r="G179" s="1" t="s">
        <v>1097</v>
      </c>
      <c r="H179" s="1" t="s">
        <v>1098</v>
      </c>
    </row>
    <row r="180" spans="1:8" x14ac:dyDescent="0.3">
      <c r="A180" s="2">
        <v>20606</v>
      </c>
      <c r="B180" s="1" t="s">
        <v>1099</v>
      </c>
      <c r="C180" s="1" t="s">
        <v>1100</v>
      </c>
      <c r="D180" s="1" t="s">
        <v>1101</v>
      </c>
      <c r="E180" s="1" t="s">
        <v>1102</v>
      </c>
      <c r="F180" s="1" t="s">
        <v>1103</v>
      </c>
      <c r="G180" s="1" t="s">
        <v>1104</v>
      </c>
      <c r="H180" s="1" t="s">
        <v>1105</v>
      </c>
    </row>
    <row r="181" spans="1:8" x14ac:dyDescent="0.3">
      <c r="A181" s="2">
        <v>20607</v>
      </c>
      <c r="B181" s="1" t="s">
        <v>1106</v>
      </c>
      <c r="C181" s="1" t="s">
        <v>1107</v>
      </c>
      <c r="D181" s="1" t="s">
        <v>1108</v>
      </c>
      <c r="E181" s="1" t="s">
        <v>1109</v>
      </c>
      <c r="F181" s="1" t="s">
        <v>1110</v>
      </c>
      <c r="G181" s="1" t="s">
        <v>1111</v>
      </c>
      <c r="H181" s="1" t="s">
        <v>1112</v>
      </c>
    </row>
    <row r="182" spans="1:8" x14ac:dyDescent="0.3">
      <c r="A182" s="2">
        <v>20608</v>
      </c>
      <c r="B182" s="1" t="s">
        <v>1113</v>
      </c>
      <c r="C182" s="1" t="s">
        <v>1114</v>
      </c>
      <c r="D182" s="1" t="s">
        <v>1115</v>
      </c>
      <c r="E182" s="1" t="s">
        <v>1116</v>
      </c>
      <c r="F182" s="1" t="s">
        <v>1117</v>
      </c>
      <c r="G182" s="1" t="s">
        <v>1118</v>
      </c>
      <c r="H182" s="1" t="s">
        <v>1119</v>
      </c>
    </row>
    <row r="183" spans="1:8" x14ac:dyDescent="0.3">
      <c r="A183" s="2">
        <v>20609</v>
      </c>
      <c r="B183" s="1" t="s">
        <v>1120</v>
      </c>
      <c r="C183" s="1" t="s">
        <v>1121</v>
      </c>
      <c r="D183" s="1" t="s">
        <v>1122</v>
      </c>
      <c r="E183" s="1" t="s">
        <v>1123</v>
      </c>
      <c r="F183" s="1" t="s">
        <v>1124</v>
      </c>
      <c r="G183" s="1" t="s">
        <v>1125</v>
      </c>
      <c r="H183" s="1" t="s">
        <v>1126</v>
      </c>
    </row>
    <row r="184" spans="1:8" x14ac:dyDescent="0.3">
      <c r="A184" s="2">
        <v>20610</v>
      </c>
      <c r="B184" s="1" t="s">
        <v>1127</v>
      </c>
      <c r="C184" s="1" t="s">
        <v>1128</v>
      </c>
      <c r="D184" s="1" t="s">
        <v>1129</v>
      </c>
      <c r="E184" s="1" t="s">
        <v>1130</v>
      </c>
      <c r="F184" s="1" t="s">
        <v>1131</v>
      </c>
      <c r="G184" s="1" t="s">
        <v>1132</v>
      </c>
      <c r="H184" s="1" t="s">
        <v>1133</v>
      </c>
    </row>
    <row r="185" spans="1:8" x14ac:dyDescent="0.3">
      <c r="A185" s="2">
        <v>20611</v>
      </c>
      <c r="B185" s="1" t="s">
        <v>1134</v>
      </c>
      <c r="C185" s="1" t="s">
        <v>1135</v>
      </c>
      <c r="D185" s="1" t="s">
        <v>1136</v>
      </c>
      <c r="E185" s="1" t="s">
        <v>1137</v>
      </c>
      <c r="F185" s="1" t="s">
        <v>1138</v>
      </c>
      <c r="G185" s="1" t="s">
        <v>1139</v>
      </c>
      <c r="H185" s="1" t="s">
        <v>1140</v>
      </c>
    </row>
    <row r="186" spans="1:8" x14ac:dyDescent="0.3">
      <c r="A186" s="2">
        <v>20612</v>
      </c>
      <c r="B186" s="1" t="s">
        <v>1141</v>
      </c>
      <c r="C186" s="1" t="s">
        <v>1142</v>
      </c>
      <c r="D186" s="1" t="s">
        <v>1143</v>
      </c>
      <c r="E186" s="1" t="s">
        <v>1144</v>
      </c>
      <c r="F186" s="1" t="s">
        <v>1145</v>
      </c>
      <c r="G186" s="1" t="s">
        <v>1146</v>
      </c>
      <c r="H186" s="1" t="s">
        <v>1147</v>
      </c>
    </row>
    <row r="187" spans="1:8" x14ac:dyDescent="0.3">
      <c r="A187" s="2" t="s">
        <v>1148</v>
      </c>
      <c r="B187" s="1" t="s">
        <v>1149</v>
      </c>
      <c r="C187" s="1" t="s">
        <v>1150</v>
      </c>
      <c r="D187" s="1" t="s">
        <v>1151</v>
      </c>
      <c r="E187" s="1" t="s">
        <v>1152</v>
      </c>
      <c r="F187" s="1" t="s">
        <v>1153</v>
      </c>
      <c r="G187" s="1" t="s">
        <v>1154</v>
      </c>
      <c r="H187" s="1" t="s">
        <v>1155</v>
      </c>
    </row>
    <row r="188" spans="1:8" x14ac:dyDescent="0.3">
      <c r="A188" s="2">
        <v>20613</v>
      </c>
      <c r="B188" s="1" t="s">
        <v>1156</v>
      </c>
      <c r="C188" s="1" t="s">
        <v>1157</v>
      </c>
      <c r="D188" s="1" t="s">
        <v>1158</v>
      </c>
      <c r="E188" s="1" t="s">
        <v>1159</v>
      </c>
      <c r="F188" s="1" t="s">
        <v>1160</v>
      </c>
      <c r="G188" s="1" t="s">
        <v>1161</v>
      </c>
      <c r="H188" s="1" t="s">
        <v>1162</v>
      </c>
    </row>
    <row r="189" spans="1:8" x14ac:dyDescent="0.3">
      <c r="A189" s="2" t="s">
        <v>1163</v>
      </c>
      <c r="B189" s="1" t="s">
        <v>1164</v>
      </c>
      <c r="C189" s="1" t="s">
        <v>1165</v>
      </c>
      <c r="D189" s="1" t="s">
        <v>1166</v>
      </c>
      <c r="E189" s="1" t="s">
        <v>1167</v>
      </c>
      <c r="F189" s="1" t="s">
        <v>1168</v>
      </c>
      <c r="G189" s="1" t="s">
        <v>1169</v>
      </c>
      <c r="H189" s="1" t="s">
        <v>1167</v>
      </c>
    </row>
    <row r="190" spans="1:8" x14ac:dyDescent="0.3">
      <c r="A190" s="2">
        <v>20614</v>
      </c>
      <c r="B190" s="1" t="s">
        <v>1170</v>
      </c>
      <c r="C190" s="1" t="s">
        <v>1171</v>
      </c>
      <c r="D190" s="1" t="s">
        <v>1172</v>
      </c>
      <c r="E190" s="1" t="s">
        <v>1173</v>
      </c>
      <c r="F190" s="1" t="s">
        <v>1174</v>
      </c>
      <c r="G190" s="1" t="s">
        <v>1175</v>
      </c>
      <c r="H190" s="1" t="s">
        <v>1176</v>
      </c>
    </row>
    <row r="191" spans="1:8" x14ac:dyDescent="0.3">
      <c r="A191" s="2">
        <v>20615</v>
      </c>
      <c r="B191" s="1" t="s">
        <v>1177</v>
      </c>
      <c r="C191" s="1" t="s">
        <v>57</v>
      </c>
      <c r="D191" s="1" t="s">
        <v>1177</v>
      </c>
      <c r="E191" s="1" t="s">
        <v>57</v>
      </c>
      <c r="F191" s="1" t="s">
        <v>1178</v>
      </c>
      <c r="G191" s="1" t="s">
        <v>1179</v>
      </c>
      <c r="H191" s="1" t="s">
        <v>1180</v>
      </c>
    </row>
    <row r="192" spans="1:8" x14ac:dyDescent="0.3">
      <c r="A192" s="2">
        <v>20616</v>
      </c>
      <c r="B192" s="1" t="s">
        <v>1181</v>
      </c>
      <c r="C192" s="1" t="s">
        <v>1182</v>
      </c>
      <c r="D192" s="1" t="s">
        <v>1183</v>
      </c>
      <c r="E192" s="1" t="s">
        <v>1184</v>
      </c>
      <c r="F192" s="1" t="s">
        <v>1185</v>
      </c>
      <c r="G192" s="1" t="s">
        <v>1186</v>
      </c>
    </row>
    <row r="193" spans="1:8" x14ac:dyDescent="0.3">
      <c r="A193" s="2">
        <v>20617</v>
      </c>
      <c r="B193" s="1" t="s">
        <v>1187</v>
      </c>
      <c r="C193" s="1" t="s">
        <v>1188</v>
      </c>
      <c r="D193" s="1" t="s">
        <v>1189</v>
      </c>
      <c r="E193" s="1" t="s">
        <v>1190</v>
      </c>
      <c r="F193" s="1" t="s">
        <v>1191</v>
      </c>
      <c r="G193" s="1" t="s">
        <v>1192</v>
      </c>
      <c r="H193" s="1" t="s">
        <v>1193</v>
      </c>
    </row>
    <row r="194" spans="1:8" x14ac:dyDescent="0.3">
      <c r="A194" s="2">
        <v>20618</v>
      </c>
      <c r="B194" s="1" t="s">
        <v>1194</v>
      </c>
      <c r="C194" s="1" t="s">
        <v>1195</v>
      </c>
      <c r="D194" s="1" t="s">
        <v>1194</v>
      </c>
      <c r="E194" s="1" t="s">
        <v>1194</v>
      </c>
      <c r="F194" s="1" t="s">
        <v>1196</v>
      </c>
      <c r="G194" s="1" t="s">
        <v>1197</v>
      </c>
      <c r="H194" s="1" t="s">
        <v>1198</v>
      </c>
    </row>
    <row r="195" spans="1:8" x14ac:dyDescent="0.3">
      <c r="A195" s="2">
        <v>20619</v>
      </c>
      <c r="B195" s="1" t="s">
        <v>1199</v>
      </c>
      <c r="C195" s="1" t="s">
        <v>1200</v>
      </c>
      <c r="D195" s="1" t="s">
        <v>1201</v>
      </c>
      <c r="E195" s="1" t="s">
        <v>1202</v>
      </c>
      <c r="F195" s="1" t="s">
        <v>1203</v>
      </c>
      <c r="G195" s="1" t="s">
        <v>1204</v>
      </c>
      <c r="H195" s="1" t="s">
        <v>1205</v>
      </c>
    </row>
    <row r="196" spans="1:8" x14ac:dyDescent="0.3">
      <c r="A196" s="2">
        <v>20620</v>
      </c>
      <c r="B196" s="1" t="s">
        <v>1206</v>
      </c>
      <c r="C196" s="1" t="s">
        <v>1207</v>
      </c>
      <c r="D196" s="1" t="s">
        <v>1208</v>
      </c>
      <c r="E196" s="1" t="s">
        <v>1209</v>
      </c>
      <c r="F196" s="1" t="s">
        <v>1210</v>
      </c>
      <c r="G196" s="1" t="s">
        <v>1211</v>
      </c>
      <c r="H196" s="1" t="s">
        <v>1212</v>
      </c>
    </row>
    <row r="197" spans="1:8" x14ac:dyDescent="0.3">
      <c r="A197" s="2" t="s">
        <v>1213</v>
      </c>
      <c r="B197" s="1" t="s">
        <v>1214</v>
      </c>
      <c r="C197" s="1" t="s">
        <v>1215</v>
      </c>
      <c r="D197" s="1" t="s">
        <v>1216</v>
      </c>
      <c r="E197" s="1" t="s">
        <v>1217</v>
      </c>
      <c r="F197" s="1" t="s">
        <v>1218</v>
      </c>
      <c r="G197" s="1" t="s">
        <v>1219</v>
      </c>
      <c r="H197" s="1" t="s">
        <v>1220</v>
      </c>
    </row>
    <row r="198" spans="1:8" x14ac:dyDescent="0.3">
      <c r="A198" s="2">
        <v>20621</v>
      </c>
      <c r="B198" s="1" t="s">
        <v>1221</v>
      </c>
      <c r="C198" s="1" t="s">
        <v>1222</v>
      </c>
      <c r="D198" s="1" t="s">
        <v>1223</v>
      </c>
      <c r="E198" s="1" t="s">
        <v>1224</v>
      </c>
      <c r="F198" s="1" t="s">
        <v>1225</v>
      </c>
      <c r="G198" s="1" t="s">
        <v>1226</v>
      </c>
      <c r="H198" s="1" t="s">
        <v>1227</v>
      </c>
    </row>
    <row r="199" spans="1:8" x14ac:dyDescent="0.3">
      <c r="A199" s="2">
        <v>20622</v>
      </c>
      <c r="B199" s="1" t="s">
        <v>1228</v>
      </c>
      <c r="C199" s="1" t="s">
        <v>1229</v>
      </c>
      <c r="D199" s="1" t="s">
        <v>1230</v>
      </c>
      <c r="E199" s="1" t="s">
        <v>1231</v>
      </c>
      <c r="F199" s="1" t="s">
        <v>1232</v>
      </c>
      <c r="G199" s="1" t="s">
        <v>1233</v>
      </c>
      <c r="H199" s="1" t="s">
        <v>1234</v>
      </c>
    </row>
    <row r="200" spans="1:8" x14ac:dyDescent="0.3">
      <c r="A200" s="2">
        <v>20623</v>
      </c>
      <c r="B200" s="1" t="s">
        <v>1235</v>
      </c>
      <c r="C200" s="1" t="s">
        <v>1236</v>
      </c>
      <c r="D200" s="1" t="s">
        <v>1237</v>
      </c>
      <c r="E200" s="1" t="s">
        <v>1238</v>
      </c>
      <c r="F200" s="1" t="s">
        <v>57</v>
      </c>
      <c r="G200" s="1" t="s">
        <v>1239</v>
      </c>
      <c r="H200" s="1" t="s">
        <v>57</v>
      </c>
    </row>
    <row r="201" spans="1:8" x14ac:dyDescent="0.3">
      <c r="A201" s="2">
        <v>20624</v>
      </c>
      <c r="B201" s="1" t="s">
        <v>1240</v>
      </c>
      <c r="C201" s="1" t="s">
        <v>1241</v>
      </c>
      <c r="D201" s="1" t="s">
        <v>1242</v>
      </c>
      <c r="E201" s="1" t="s">
        <v>1243</v>
      </c>
      <c r="F201" s="1" t="s">
        <v>1244</v>
      </c>
      <c r="G201" s="1" t="s">
        <v>1245</v>
      </c>
      <c r="H201" s="1" t="s">
        <v>1246</v>
      </c>
    </row>
    <row r="202" spans="1:8" x14ac:dyDescent="0.3">
      <c r="A202" s="2">
        <v>20625</v>
      </c>
      <c r="B202" s="1" t="s">
        <v>1247</v>
      </c>
      <c r="C202" s="1" t="s">
        <v>1248</v>
      </c>
      <c r="D202" s="1" t="s">
        <v>1249</v>
      </c>
      <c r="E202" s="1" t="s">
        <v>1250</v>
      </c>
      <c r="F202" s="1" t="s">
        <v>1251</v>
      </c>
      <c r="G202" s="1" t="s">
        <v>1252</v>
      </c>
      <c r="H202" s="1" t="s">
        <v>1253</v>
      </c>
    </row>
    <row r="203" spans="1:8" x14ac:dyDescent="0.3">
      <c r="A203" s="2" t="s">
        <v>1254</v>
      </c>
      <c r="B203" s="1" t="e">
        <f>-에</f>
        <v>#NAME?</v>
      </c>
      <c r="C203" s="1" t="s">
        <v>1255</v>
      </c>
      <c r="D203" s="1" t="s">
        <v>1256</v>
      </c>
      <c r="E203" s="1" t="s">
        <v>1257</v>
      </c>
      <c r="F203" s="1" t="s">
        <v>1258</v>
      </c>
      <c r="G203" s="1" t="s">
        <v>1259</v>
      </c>
      <c r="H203" s="1" t="s">
        <v>1260</v>
      </c>
    </row>
    <row r="204" spans="1:8" x14ac:dyDescent="0.3">
      <c r="A204" s="2" t="s">
        <v>1261</v>
      </c>
      <c r="B204" s="1" t="e">
        <f>-을</f>
        <v>#NAME?</v>
      </c>
      <c r="C204" s="1" t="s">
        <v>1262</v>
      </c>
      <c r="E204" s="1" t="s">
        <v>1263</v>
      </c>
      <c r="F204" s="1" t="s">
        <v>1264</v>
      </c>
      <c r="G204" s="1" t="s">
        <v>1265</v>
      </c>
      <c r="H204" s="1" t="s">
        <v>1266</v>
      </c>
    </row>
    <row r="205" spans="1:8" x14ac:dyDescent="0.3">
      <c r="A205" s="2" t="s">
        <v>1267</v>
      </c>
      <c r="B205" s="1" t="e">
        <f>-도</f>
        <v>#NAME?</v>
      </c>
      <c r="C205" s="1" t="s">
        <v>1268</v>
      </c>
      <c r="E205" s="1" t="s">
        <v>1269</v>
      </c>
      <c r="F205" s="1" t="s">
        <v>1270</v>
      </c>
      <c r="G205" s="1" t="s">
        <v>1271</v>
      </c>
      <c r="H205" s="1" t="s">
        <v>1272</v>
      </c>
    </row>
    <row r="206" spans="1:8" x14ac:dyDescent="0.3">
      <c r="A206" s="2">
        <v>20626</v>
      </c>
      <c r="B206" s="1" t="s">
        <v>1273</v>
      </c>
      <c r="C206" s="1" t="s">
        <v>1274</v>
      </c>
      <c r="D206" s="1" t="s">
        <v>1275</v>
      </c>
      <c r="E206" s="1" t="s">
        <v>1276</v>
      </c>
      <c r="F206" s="1" t="s">
        <v>1277</v>
      </c>
      <c r="G206" s="1" t="s">
        <v>1278</v>
      </c>
      <c r="H206" s="1" t="s">
        <v>1279</v>
      </c>
    </row>
    <row r="207" spans="1:8" x14ac:dyDescent="0.3">
      <c r="A207" s="2">
        <v>20627</v>
      </c>
      <c r="B207" s="1" t="s">
        <v>1280</v>
      </c>
      <c r="C207" s="1" t="s">
        <v>1281</v>
      </c>
      <c r="D207" s="1" t="s">
        <v>1282</v>
      </c>
      <c r="E207" s="1" t="s">
        <v>1282</v>
      </c>
      <c r="F207" s="1" t="s">
        <v>1283</v>
      </c>
      <c r="G207" s="1" t="s">
        <v>1284</v>
      </c>
      <c r="H207" s="1" t="s">
        <v>1282</v>
      </c>
    </row>
    <row r="208" spans="1:8" x14ac:dyDescent="0.3">
      <c r="A208" s="2">
        <v>20628</v>
      </c>
      <c r="B208" s="1" t="s">
        <v>1285</v>
      </c>
      <c r="C208" s="1" t="s">
        <v>1286</v>
      </c>
      <c r="D208" s="1" t="s">
        <v>1287</v>
      </c>
      <c r="E208" s="1" t="s">
        <v>1288</v>
      </c>
      <c r="F208" s="1" t="s">
        <v>1289</v>
      </c>
      <c r="G208" s="1" t="s">
        <v>1290</v>
      </c>
      <c r="H208" s="1" t="s">
        <v>1291</v>
      </c>
    </row>
    <row r="209" spans="1:8" x14ac:dyDescent="0.3">
      <c r="A209" s="2">
        <v>20701</v>
      </c>
      <c r="B209" s="1" t="s">
        <v>1292</v>
      </c>
      <c r="C209" s="1" t="s">
        <v>1293</v>
      </c>
      <c r="D209" s="1" t="s">
        <v>1294</v>
      </c>
      <c r="E209" s="1" t="s">
        <v>1295</v>
      </c>
      <c r="F209" s="1" t="s">
        <v>1296</v>
      </c>
      <c r="G209" s="1" t="s">
        <v>1297</v>
      </c>
      <c r="H209" s="1" t="s">
        <v>1298</v>
      </c>
    </row>
    <row r="210" spans="1:8" x14ac:dyDescent="0.3">
      <c r="A210" s="2">
        <v>20702</v>
      </c>
      <c r="B210" s="1" t="s">
        <v>1299</v>
      </c>
      <c r="C210" s="1" t="s">
        <v>1300</v>
      </c>
      <c r="D210" s="1" t="s">
        <v>1301</v>
      </c>
      <c r="E210" s="1" t="s">
        <v>1302</v>
      </c>
      <c r="F210" s="1" t="s">
        <v>1303</v>
      </c>
      <c r="G210" s="1" t="s">
        <v>1304</v>
      </c>
      <c r="H210" s="1" t="s">
        <v>1305</v>
      </c>
    </row>
    <row r="211" spans="1:8" x14ac:dyDescent="0.3">
      <c r="A211" s="2">
        <v>20703</v>
      </c>
      <c r="B211" s="1" t="s">
        <v>1306</v>
      </c>
      <c r="C211" s="1" t="s">
        <v>1307</v>
      </c>
      <c r="D211" s="1" t="s">
        <v>1308</v>
      </c>
      <c r="E211" s="1" t="s">
        <v>1309</v>
      </c>
      <c r="F211" s="1" t="s">
        <v>1310</v>
      </c>
      <c r="G211" s="1" t="s">
        <v>1311</v>
      </c>
      <c r="H211" s="1" t="s">
        <v>1312</v>
      </c>
    </row>
    <row r="212" spans="1:8" x14ac:dyDescent="0.3">
      <c r="A212" s="2">
        <v>20704</v>
      </c>
      <c r="B212" s="1" t="s">
        <v>1313</v>
      </c>
      <c r="C212" s="1" t="s">
        <v>1314</v>
      </c>
      <c r="D212" s="1" t="s">
        <v>1315</v>
      </c>
      <c r="F212" s="1" t="s">
        <v>1316</v>
      </c>
      <c r="G212" s="1" t="s">
        <v>1317</v>
      </c>
      <c r="H212" s="1" t="s">
        <v>1318</v>
      </c>
    </row>
    <row r="213" spans="1:8" x14ac:dyDescent="0.3">
      <c r="A213" s="2">
        <v>20705</v>
      </c>
      <c r="B213" s="1" t="s">
        <v>1319</v>
      </c>
      <c r="C213" s="1" t="s">
        <v>1320</v>
      </c>
      <c r="D213" s="1" t="s">
        <v>1321</v>
      </c>
      <c r="E213" s="1" t="s">
        <v>1322</v>
      </c>
      <c r="F213" s="1" t="s">
        <v>1323</v>
      </c>
      <c r="G213" s="1" t="s">
        <v>1324</v>
      </c>
      <c r="H213" s="1" t="s">
        <v>1325</v>
      </c>
    </row>
    <row r="214" spans="1:8" x14ac:dyDescent="0.3">
      <c r="A214" s="2">
        <v>20706</v>
      </c>
      <c r="B214" s="1" t="s">
        <v>1326</v>
      </c>
      <c r="C214" s="1" t="s">
        <v>1327</v>
      </c>
      <c r="D214" s="1" t="s">
        <v>1328</v>
      </c>
      <c r="E214" s="1" t="s">
        <v>1329</v>
      </c>
      <c r="F214" s="1" t="s">
        <v>1330</v>
      </c>
      <c r="G214" s="1" t="s">
        <v>1331</v>
      </c>
      <c r="H214" s="1" t="s">
        <v>1332</v>
      </c>
    </row>
    <row r="215" spans="1:8" x14ac:dyDescent="0.3">
      <c r="A215" s="2">
        <v>20707</v>
      </c>
      <c r="B215" s="1" t="s">
        <v>1333</v>
      </c>
      <c r="C215" s="1" t="s">
        <v>1334</v>
      </c>
      <c r="D215" s="1" t="s">
        <v>1335</v>
      </c>
      <c r="E215" s="1" t="s">
        <v>1336</v>
      </c>
      <c r="F215" s="1" t="s">
        <v>1337</v>
      </c>
      <c r="G215" s="1" t="s">
        <v>1338</v>
      </c>
      <c r="H215" s="1" t="s">
        <v>1339</v>
      </c>
    </row>
    <row r="216" spans="1:8" x14ac:dyDescent="0.3">
      <c r="A216" s="2">
        <v>20708</v>
      </c>
      <c r="B216" s="1" t="s">
        <v>1340</v>
      </c>
      <c r="C216" s="1" t="s">
        <v>1341</v>
      </c>
      <c r="D216" s="1" t="s">
        <v>1342</v>
      </c>
      <c r="E216" s="1" t="s">
        <v>1343</v>
      </c>
      <c r="F216" s="1" t="s">
        <v>1344</v>
      </c>
      <c r="G216" s="1" t="s">
        <v>1345</v>
      </c>
      <c r="H216" s="1" t="s">
        <v>1346</v>
      </c>
    </row>
    <row r="217" spans="1:8" x14ac:dyDescent="0.3">
      <c r="A217" s="2">
        <v>20709</v>
      </c>
      <c r="B217" s="1" t="s">
        <v>1347</v>
      </c>
      <c r="C217" s="1" t="s">
        <v>1348</v>
      </c>
      <c r="D217" s="1" t="s">
        <v>1349</v>
      </c>
      <c r="E217" s="1" t="s">
        <v>1350</v>
      </c>
      <c r="F217" s="1" t="s">
        <v>1351</v>
      </c>
      <c r="G217" s="1" t="s">
        <v>1352</v>
      </c>
      <c r="H217" s="1" t="s">
        <v>1353</v>
      </c>
    </row>
    <row r="218" spans="1:8" x14ac:dyDescent="0.3">
      <c r="A218" s="2">
        <v>20710</v>
      </c>
      <c r="B218" s="1" t="s">
        <v>1354</v>
      </c>
      <c r="C218" s="1" t="s">
        <v>1355</v>
      </c>
      <c r="D218" s="1" t="s">
        <v>1356</v>
      </c>
      <c r="E218" s="1" t="s">
        <v>1357</v>
      </c>
      <c r="F218" s="1" t="s">
        <v>1358</v>
      </c>
      <c r="G218" s="1" t="s">
        <v>1359</v>
      </c>
    </row>
    <row r="219" spans="1:8" x14ac:dyDescent="0.3">
      <c r="A219" s="2" t="s">
        <v>1360</v>
      </c>
      <c r="B219" s="1" t="e">
        <f>-고</f>
        <v>#NAME?</v>
      </c>
      <c r="C219" s="1" t="s">
        <v>1361</v>
      </c>
      <c r="D219" s="1" t="s">
        <v>1362</v>
      </c>
      <c r="E219" s="1" t="s">
        <v>1363</v>
      </c>
      <c r="F219" s="1" t="s">
        <v>1364</v>
      </c>
      <c r="G219" s="1" t="s">
        <v>1365</v>
      </c>
      <c r="H219" s="1" t="s">
        <v>1366</v>
      </c>
    </row>
    <row r="220" spans="1:8" x14ac:dyDescent="0.3">
      <c r="A220" s="2" t="s">
        <v>1367</v>
      </c>
      <c r="B220" s="1" t="e">
        <f>-어라</f>
        <v>#NAME?</v>
      </c>
      <c r="C220" s="1" t="s">
        <v>1368</v>
      </c>
      <c r="D220" s="1" t="s">
        <v>1369</v>
      </c>
      <c r="E220" s="1" t="s">
        <v>1370</v>
      </c>
      <c r="F220" s="1" t="s">
        <v>1371</v>
      </c>
      <c r="G220" s="1" t="s">
        <v>1372</v>
      </c>
      <c r="H220" s="1" t="s">
        <v>1332</v>
      </c>
    </row>
    <row r="221" spans="1:8" x14ac:dyDescent="0.3">
      <c r="A221" s="2">
        <v>20711</v>
      </c>
      <c r="B221" s="1" t="s">
        <v>1373</v>
      </c>
      <c r="C221" s="1" t="s">
        <v>1374</v>
      </c>
      <c r="D221" s="1" t="s">
        <v>1375</v>
      </c>
      <c r="E221" s="1" t="s">
        <v>1376</v>
      </c>
      <c r="F221" s="1" t="s">
        <v>1377</v>
      </c>
      <c r="G221" s="1" t="s">
        <v>1378</v>
      </c>
      <c r="H221" s="1" t="s">
        <v>1379</v>
      </c>
    </row>
    <row r="222" spans="1:8" x14ac:dyDescent="0.3">
      <c r="A222" s="2">
        <v>20712</v>
      </c>
      <c r="B222" s="1" t="s">
        <v>1380</v>
      </c>
      <c r="C222" s="1" t="s">
        <v>1381</v>
      </c>
      <c r="D222" s="1" t="s">
        <v>1382</v>
      </c>
      <c r="E222" s="1" t="s">
        <v>1383</v>
      </c>
      <c r="F222" s="1" t="s">
        <v>1384</v>
      </c>
      <c r="G222" s="1" t="s">
        <v>1385</v>
      </c>
      <c r="H222" s="1" t="s">
        <v>1386</v>
      </c>
    </row>
    <row r="223" spans="1:8" x14ac:dyDescent="0.3">
      <c r="A223" s="2">
        <v>20713</v>
      </c>
      <c r="B223" s="1" t="s">
        <v>1387</v>
      </c>
      <c r="C223" s="1" t="s">
        <v>1388</v>
      </c>
      <c r="D223" s="1" t="s">
        <v>1389</v>
      </c>
      <c r="E223" s="1" t="s">
        <v>1390</v>
      </c>
      <c r="F223" s="1" t="s">
        <v>1391</v>
      </c>
      <c r="G223" s="1" t="s">
        <v>1392</v>
      </c>
      <c r="H223" s="1" t="s">
        <v>1393</v>
      </c>
    </row>
    <row r="224" spans="1:8" x14ac:dyDescent="0.3">
      <c r="A224" s="2" t="s">
        <v>1394</v>
      </c>
      <c r="B224" s="1" t="e">
        <f>-이</f>
        <v>#NAME?</v>
      </c>
      <c r="C224" s="1" t="s">
        <v>1395</v>
      </c>
      <c r="D224" s="1" t="s">
        <v>1396</v>
      </c>
      <c r="E224" s="1" t="s">
        <v>1397</v>
      </c>
      <c r="F224" s="1" t="s">
        <v>1398</v>
      </c>
      <c r="G224" s="1" t="s">
        <v>1399</v>
      </c>
      <c r="H224" s="1" t="s">
        <v>1400</v>
      </c>
    </row>
    <row r="225" spans="1:8" x14ac:dyDescent="0.3">
      <c r="A225" s="2">
        <v>20714</v>
      </c>
      <c r="B225" s="1" t="s">
        <v>1401</v>
      </c>
      <c r="C225" s="1" t="s">
        <v>1402</v>
      </c>
      <c r="D225" s="1" t="s">
        <v>1401</v>
      </c>
      <c r="E225" s="1" t="s">
        <v>1401</v>
      </c>
      <c r="F225" s="1" t="s">
        <v>1401</v>
      </c>
      <c r="G225" s="1" t="s">
        <v>1403</v>
      </c>
      <c r="H225" s="1" t="s">
        <v>1401</v>
      </c>
    </row>
    <row r="226" spans="1:8" x14ac:dyDescent="0.3">
      <c r="A226" s="2" t="s">
        <v>1404</v>
      </c>
      <c r="B226" s="1" t="s">
        <v>1401</v>
      </c>
      <c r="C226" s="1" t="s">
        <v>1405</v>
      </c>
      <c r="E226" s="1" t="s">
        <v>1406</v>
      </c>
      <c r="F226" s="1" t="s">
        <v>1407</v>
      </c>
      <c r="G226" s="1" t="s">
        <v>1408</v>
      </c>
      <c r="H226" s="1" t="s">
        <v>1409</v>
      </c>
    </row>
    <row r="227" spans="1:8" x14ac:dyDescent="0.3">
      <c r="A227" s="2" t="s">
        <v>1410</v>
      </c>
      <c r="B227" s="1" t="s">
        <v>1411</v>
      </c>
      <c r="C227" s="1" t="s">
        <v>1412</v>
      </c>
      <c r="D227" s="1" t="s">
        <v>1413</v>
      </c>
      <c r="E227" s="1" t="s">
        <v>1414</v>
      </c>
      <c r="F227" s="1" t="s">
        <v>1415</v>
      </c>
      <c r="G227" s="1" t="s">
        <v>1416</v>
      </c>
      <c r="H227" s="1" t="s">
        <v>1417</v>
      </c>
    </row>
    <row r="228" spans="1:8" x14ac:dyDescent="0.3">
      <c r="A228" s="2">
        <v>20715</v>
      </c>
      <c r="B228" s="1" t="s">
        <v>1418</v>
      </c>
      <c r="C228" s="1" t="s">
        <v>1419</v>
      </c>
      <c r="D228" s="1" t="s">
        <v>1420</v>
      </c>
      <c r="E228" s="1" t="s">
        <v>1418</v>
      </c>
      <c r="F228" s="1" t="s">
        <v>1421</v>
      </c>
      <c r="G228" s="1" t="s">
        <v>1422</v>
      </c>
      <c r="H228" s="1" t="s">
        <v>1423</v>
      </c>
    </row>
    <row r="229" spans="1:8" x14ac:dyDescent="0.3">
      <c r="A229" s="2">
        <v>20716</v>
      </c>
      <c r="B229" s="1" t="s">
        <v>1424</v>
      </c>
      <c r="C229" s="1" t="s">
        <v>1425</v>
      </c>
      <c r="D229" s="1" t="s">
        <v>1424</v>
      </c>
      <c r="E229" s="1" t="s">
        <v>1424</v>
      </c>
      <c r="F229" s="1" t="s">
        <v>1424</v>
      </c>
      <c r="G229" s="1" t="s">
        <v>1424</v>
      </c>
      <c r="H229" s="1" t="s">
        <v>1426</v>
      </c>
    </row>
    <row r="230" spans="1:8" x14ac:dyDescent="0.3">
      <c r="A230" s="2" t="s">
        <v>1427</v>
      </c>
      <c r="B230" s="1" t="s">
        <v>1428</v>
      </c>
      <c r="C230" s="1" t="s">
        <v>1429</v>
      </c>
      <c r="D230" s="1" t="s">
        <v>1428</v>
      </c>
      <c r="E230" s="1" t="s">
        <v>1428</v>
      </c>
      <c r="F230" s="1" t="s">
        <v>1430</v>
      </c>
      <c r="G230" s="1" t="s">
        <v>1431</v>
      </c>
      <c r="H230" s="1" t="s">
        <v>1432</v>
      </c>
    </row>
    <row r="231" spans="1:8" x14ac:dyDescent="0.3">
      <c r="A231" s="2">
        <v>20717</v>
      </c>
      <c r="B231" s="1" t="s">
        <v>1433</v>
      </c>
      <c r="C231" s="1" t="s">
        <v>1434</v>
      </c>
      <c r="D231" s="1" t="s">
        <v>1435</v>
      </c>
      <c r="E231" s="1" t="s">
        <v>1436</v>
      </c>
      <c r="F231" s="1" t="s">
        <v>1437</v>
      </c>
      <c r="G231" s="1" t="s">
        <v>1438</v>
      </c>
      <c r="H231" s="1" t="s">
        <v>1439</v>
      </c>
    </row>
    <row r="232" spans="1:8" x14ac:dyDescent="0.3">
      <c r="A232" s="2">
        <v>20718</v>
      </c>
      <c r="B232" s="1" t="s">
        <v>1440</v>
      </c>
      <c r="C232" s="1" t="s">
        <v>1441</v>
      </c>
      <c r="D232" s="1" t="s">
        <v>1442</v>
      </c>
      <c r="E232" s="1" t="s">
        <v>1443</v>
      </c>
      <c r="F232" s="1" t="s">
        <v>1444</v>
      </c>
      <c r="G232" s="1" t="s">
        <v>1445</v>
      </c>
      <c r="H232" s="1" t="s">
        <v>1440</v>
      </c>
    </row>
    <row r="233" spans="1:8" x14ac:dyDescent="0.3">
      <c r="A233" s="2">
        <v>20719</v>
      </c>
      <c r="B233" s="1" t="s">
        <v>1446</v>
      </c>
      <c r="C233" s="1" t="s">
        <v>1447</v>
      </c>
      <c r="D233" s="1" t="s">
        <v>1446</v>
      </c>
      <c r="E233" s="1" t="s">
        <v>1448</v>
      </c>
      <c r="F233" s="1" t="s">
        <v>1446</v>
      </c>
      <c r="G233" s="1" t="s">
        <v>1449</v>
      </c>
      <c r="H233" s="1" t="s">
        <v>1446</v>
      </c>
    </row>
    <row r="234" spans="1:8" x14ac:dyDescent="0.3">
      <c r="A234" s="2">
        <v>20720</v>
      </c>
      <c r="B234" s="1" t="s">
        <v>1450</v>
      </c>
      <c r="C234" s="1" t="s">
        <v>1451</v>
      </c>
      <c r="D234" s="1" t="s">
        <v>1452</v>
      </c>
      <c r="E234" s="1" t="s">
        <v>1453</v>
      </c>
      <c r="F234" s="1" t="s">
        <v>1454</v>
      </c>
      <c r="G234" s="1" t="s">
        <v>1454</v>
      </c>
      <c r="H234" s="1" t="s">
        <v>1455</v>
      </c>
    </row>
    <row r="235" spans="1:8" x14ac:dyDescent="0.3">
      <c r="A235" s="2">
        <v>20721</v>
      </c>
      <c r="B235" s="1" t="s">
        <v>1456</v>
      </c>
      <c r="C235" s="1" t="s">
        <v>1457</v>
      </c>
      <c r="D235" s="1" t="s">
        <v>1458</v>
      </c>
      <c r="E235" s="1" t="s">
        <v>1459</v>
      </c>
      <c r="F235" s="1" t="s">
        <v>1460</v>
      </c>
      <c r="G235" s="1" t="s">
        <v>1461</v>
      </c>
      <c r="H235" s="1" t="s">
        <v>1462</v>
      </c>
    </row>
    <row r="236" spans="1:8" x14ac:dyDescent="0.3">
      <c r="A236" s="2">
        <v>20722</v>
      </c>
      <c r="B236" s="1" t="s">
        <v>1463</v>
      </c>
      <c r="C236" s="1" t="s">
        <v>1464</v>
      </c>
      <c r="D236" s="1" t="s">
        <v>1465</v>
      </c>
      <c r="E236" s="1" t="s">
        <v>57</v>
      </c>
      <c r="F236" s="1" t="s">
        <v>1466</v>
      </c>
      <c r="G236" s="1" t="s">
        <v>1467</v>
      </c>
      <c r="H236" s="1" t="s">
        <v>1468</v>
      </c>
    </row>
    <row r="237" spans="1:8" x14ac:dyDescent="0.3">
      <c r="A237" s="2">
        <v>20723</v>
      </c>
      <c r="B237" s="1" t="s">
        <v>1469</v>
      </c>
      <c r="C237" s="1" t="s">
        <v>1470</v>
      </c>
      <c r="D237" s="1" t="s">
        <v>1471</v>
      </c>
      <c r="E237" s="1" t="s">
        <v>57</v>
      </c>
      <c r="F237" s="1" t="s">
        <v>1469</v>
      </c>
      <c r="G237" s="1" t="s">
        <v>1472</v>
      </c>
      <c r="H237" s="1" t="s">
        <v>1473</v>
      </c>
    </row>
    <row r="238" spans="1:8" x14ac:dyDescent="0.3">
      <c r="A238" s="2">
        <v>20724</v>
      </c>
      <c r="B238" s="1" t="s">
        <v>1474</v>
      </c>
      <c r="C238" s="1" t="s">
        <v>1475</v>
      </c>
      <c r="D238" s="1" t="s">
        <v>1476</v>
      </c>
      <c r="E238" s="1" t="s">
        <v>1477</v>
      </c>
      <c r="F238" s="1" t="s">
        <v>1476</v>
      </c>
      <c r="G238" s="1" t="s">
        <v>1476</v>
      </c>
      <c r="H238" s="1" t="s">
        <v>1476</v>
      </c>
    </row>
    <row r="239" spans="1:8" x14ac:dyDescent="0.3">
      <c r="A239" s="2">
        <v>20725</v>
      </c>
      <c r="B239" s="1" t="s">
        <v>1478</v>
      </c>
      <c r="C239" s="1" t="s">
        <v>1479</v>
      </c>
      <c r="D239" s="1" t="s">
        <v>1480</v>
      </c>
      <c r="E239" s="1" t="s">
        <v>1481</v>
      </c>
      <c r="F239" s="1" t="s">
        <v>1480</v>
      </c>
      <c r="G239" s="1" t="s">
        <v>1482</v>
      </c>
      <c r="H239" s="1" t="s">
        <v>1483</v>
      </c>
    </row>
    <row r="240" spans="1:8" x14ac:dyDescent="0.3">
      <c r="A240" s="2">
        <v>20726</v>
      </c>
      <c r="B240" s="1" t="s">
        <v>1484</v>
      </c>
      <c r="C240" s="1" t="s">
        <v>1485</v>
      </c>
      <c r="D240" s="1" t="s">
        <v>1486</v>
      </c>
      <c r="E240" s="1" t="s">
        <v>1487</v>
      </c>
      <c r="F240" s="1" t="s">
        <v>1488</v>
      </c>
      <c r="G240" s="1" t="s">
        <v>1487</v>
      </c>
      <c r="H240" s="1" t="s">
        <v>1487</v>
      </c>
    </row>
    <row r="241" spans="1:8" x14ac:dyDescent="0.3">
      <c r="A241" s="2">
        <v>20727</v>
      </c>
      <c r="B241" s="1" t="s">
        <v>1489</v>
      </c>
      <c r="C241" s="1" t="s">
        <v>1490</v>
      </c>
      <c r="D241" s="1" t="s">
        <v>1491</v>
      </c>
      <c r="E241" s="1" t="s">
        <v>1492</v>
      </c>
      <c r="F241" s="1" t="s">
        <v>1493</v>
      </c>
      <c r="G241" s="1" t="s">
        <v>1494</v>
      </c>
      <c r="H241" s="1" t="s">
        <v>1495</v>
      </c>
    </row>
    <row r="242" spans="1:8" x14ac:dyDescent="0.3">
      <c r="A242" s="2">
        <v>20728</v>
      </c>
      <c r="B242" s="1" t="s">
        <v>1496</v>
      </c>
      <c r="C242" s="1" t="s">
        <v>1497</v>
      </c>
      <c r="D242" s="1" t="s">
        <v>1498</v>
      </c>
      <c r="E242" s="1" t="s">
        <v>1499</v>
      </c>
      <c r="F242" s="1" t="s">
        <v>1500</v>
      </c>
      <c r="G242" s="1" t="s">
        <v>1501</v>
      </c>
      <c r="H242" s="1" t="s">
        <v>1502</v>
      </c>
    </row>
    <row r="243" spans="1:8" x14ac:dyDescent="0.3">
      <c r="A243" s="2">
        <v>20729</v>
      </c>
      <c r="B243" s="1" t="s">
        <v>1503</v>
      </c>
      <c r="C243" s="1" t="s">
        <v>1504</v>
      </c>
      <c r="D243" s="1" t="s">
        <v>1505</v>
      </c>
      <c r="E243" s="1" t="s">
        <v>1506</v>
      </c>
      <c r="F243" s="1" t="s">
        <v>1507</v>
      </c>
      <c r="G243" s="1" t="s">
        <v>1508</v>
      </c>
      <c r="H243" s="1" t="s">
        <v>1508</v>
      </c>
    </row>
    <row r="244" spans="1:8" x14ac:dyDescent="0.3">
      <c r="A244" s="2">
        <v>20730</v>
      </c>
      <c r="B244" s="1" t="s">
        <v>1509</v>
      </c>
      <c r="C244" s="1" t="s">
        <v>1510</v>
      </c>
      <c r="D244" s="1" t="s">
        <v>1509</v>
      </c>
      <c r="E244" s="1" t="s">
        <v>1511</v>
      </c>
      <c r="F244" s="1" t="s">
        <v>1512</v>
      </c>
      <c r="G244" s="1" t="s">
        <v>1513</v>
      </c>
      <c r="H244" s="1" t="s">
        <v>1509</v>
      </c>
    </row>
    <row r="245" spans="1:8" x14ac:dyDescent="0.3">
      <c r="A245" s="2">
        <v>20731</v>
      </c>
      <c r="B245" s="1" t="s">
        <v>1514</v>
      </c>
      <c r="C245" s="1" t="s">
        <v>1515</v>
      </c>
      <c r="D245" s="1" t="s">
        <v>1516</v>
      </c>
      <c r="E245" s="1" t="s">
        <v>1517</v>
      </c>
      <c r="F245" s="1" t="s">
        <v>1518</v>
      </c>
      <c r="G245" s="1" t="s">
        <v>1519</v>
      </c>
      <c r="H245" s="1" t="s">
        <v>1520</v>
      </c>
    </row>
    <row r="246" spans="1:8" x14ac:dyDescent="0.3">
      <c r="A246" s="2">
        <v>20801</v>
      </c>
      <c r="B246" s="1" t="s">
        <v>1521</v>
      </c>
      <c r="C246" s="1" t="s">
        <v>1522</v>
      </c>
      <c r="D246" s="1" t="s">
        <v>1523</v>
      </c>
      <c r="E246" s="1" t="s">
        <v>1524</v>
      </c>
      <c r="F246" s="1" t="s">
        <v>1521</v>
      </c>
      <c r="G246" s="1" t="s">
        <v>1525</v>
      </c>
      <c r="H246" s="1" t="s">
        <v>1526</v>
      </c>
    </row>
    <row r="247" spans="1:8" x14ac:dyDescent="0.3">
      <c r="A247" s="2">
        <v>20802</v>
      </c>
      <c r="B247" s="1" t="s">
        <v>1527</v>
      </c>
      <c r="C247" s="1" t="s">
        <v>1528</v>
      </c>
      <c r="D247" s="1" t="s">
        <v>1529</v>
      </c>
      <c r="E247" s="1" t="s">
        <v>1530</v>
      </c>
      <c r="F247" s="1" t="s">
        <v>1531</v>
      </c>
      <c r="G247" s="1" t="s">
        <v>1532</v>
      </c>
      <c r="H247" s="1" t="s">
        <v>1533</v>
      </c>
    </row>
    <row r="248" spans="1:8" x14ac:dyDescent="0.3">
      <c r="A248" s="2" t="s">
        <v>1534</v>
      </c>
      <c r="B248" s="1" t="e">
        <f>-을</f>
        <v>#NAME?</v>
      </c>
      <c r="C248" s="1" t="s">
        <v>1535</v>
      </c>
      <c r="D248" s="1" t="s">
        <v>1536</v>
      </c>
      <c r="F248" s="1" t="s">
        <v>1537</v>
      </c>
      <c r="G248" s="1" t="s">
        <v>1538</v>
      </c>
      <c r="H248" s="1" t="s">
        <v>1539</v>
      </c>
    </row>
    <row r="249" spans="1:8" x14ac:dyDescent="0.3">
      <c r="A249" s="2" t="s">
        <v>1540</v>
      </c>
      <c r="B249" s="1" t="e">
        <f>-에</f>
        <v>#NAME?</v>
      </c>
      <c r="C249" s="1" t="s">
        <v>1541</v>
      </c>
      <c r="D249" s="1" t="s">
        <v>1542</v>
      </c>
      <c r="E249" s="1" t="s">
        <v>1543</v>
      </c>
      <c r="F249" s="1" t="s">
        <v>1544</v>
      </c>
      <c r="G249" s="1" t="s">
        <v>1545</v>
      </c>
      <c r="H249" s="1" t="s">
        <v>1546</v>
      </c>
    </row>
    <row r="250" spans="1:8" x14ac:dyDescent="0.3">
      <c r="A250" s="2">
        <v>20803</v>
      </c>
      <c r="B250" s="1" t="s">
        <v>1547</v>
      </c>
      <c r="C250" s="1" t="s">
        <v>1548</v>
      </c>
      <c r="D250" s="1" t="s">
        <v>1549</v>
      </c>
      <c r="E250" s="1" t="s">
        <v>1550</v>
      </c>
      <c r="F250" s="1" t="s">
        <v>1551</v>
      </c>
      <c r="G250" s="1" t="s">
        <v>1552</v>
      </c>
      <c r="H250" s="1" t="s">
        <v>1553</v>
      </c>
    </row>
    <row r="251" spans="1:8" x14ac:dyDescent="0.3">
      <c r="A251" s="2" t="s">
        <v>1554</v>
      </c>
      <c r="B251" s="1" t="e">
        <f>-이</f>
        <v>#NAME?</v>
      </c>
      <c r="C251" s="1" t="s">
        <v>1555</v>
      </c>
      <c r="E251" s="1" t="s">
        <v>1556</v>
      </c>
      <c r="G251" s="1" t="s">
        <v>1557</v>
      </c>
      <c r="H251" s="1" t="s">
        <v>1558</v>
      </c>
    </row>
    <row r="252" spans="1:8" x14ac:dyDescent="0.3">
      <c r="A252" s="2">
        <v>20804</v>
      </c>
      <c r="B252" s="1" t="s">
        <v>1559</v>
      </c>
      <c r="C252" s="1" t="s">
        <v>1560</v>
      </c>
      <c r="D252" s="1" t="s">
        <v>1561</v>
      </c>
      <c r="E252" s="1" t="s">
        <v>1562</v>
      </c>
      <c r="F252" s="1" t="s">
        <v>1563</v>
      </c>
      <c r="G252" s="1" t="s">
        <v>1564</v>
      </c>
      <c r="H252" s="1" t="s">
        <v>1565</v>
      </c>
    </row>
    <row r="253" spans="1:8" x14ac:dyDescent="0.3">
      <c r="A253" s="2">
        <v>20805</v>
      </c>
      <c r="B253" s="1" t="s">
        <v>1566</v>
      </c>
      <c r="C253" s="1" t="s">
        <v>1567</v>
      </c>
      <c r="D253" s="1" t="s">
        <v>1566</v>
      </c>
      <c r="E253" s="1" t="s">
        <v>1568</v>
      </c>
      <c r="F253" s="1" t="s">
        <v>1566</v>
      </c>
      <c r="G253" s="1" t="s">
        <v>1569</v>
      </c>
      <c r="H253" s="1" t="s">
        <v>1566</v>
      </c>
    </row>
    <row r="254" spans="1:8" x14ac:dyDescent="0.3">
      <c r="A254" s="2">
        <v>20806</v>
      </c>
      <c r="B254" s="1" t="s">
        <v>1570</v>
      </c>
      <c r="C254" s="1" t="s">
        <v>1571</v>
      </c>
      <c r="D254" s="1" t="s">
        <v>1572</v>
      </c>
      <c r="E254" s="1" t="s">
        <v>1573</v>
      </c>
      <c r="F254" s="1" t="s">
        <v>1574</v>
      </c>
      <c r="G254" s="1" t="s">
        <v>1575</v>
      </c>
      <c r="H254" s="1" t="s">
        <v>1576</v>
      </c>
    </row>
    <row r="255" spans="1:8" x14ac:dyDescent="0.3">
      <c r="A255" s="2" t="s">
        <v>1577</v>
      </c>
      <c r="B255" s="1" t="s">
        <v>1578</v>
      </c>
      <c r="C255" s="1" t="s">
        <v>1579</v>
      </c>
      <c r="G255" s="1" t="s">
        <v>1580</v>
      </c>
      <c r="H255" s="1" t="s">
        <v>57</v>
      </c>
    </row>
    <row r="256" spans="1:8" x14ac:dyDescent="0.3">
      <c r="A256" s="2">
        <v>20807</v>
      </c>
      <c r="B256" s="1" t="s">
        <v>1581</v>
      </c>
      <c r="C256" s="1" t="s">
        <v>1582</v>
      </c>
      <c r="D256" s="1" t="s">
        <v>1583</v>
      </c>
      <c r="E256" s="1" t="s">
        <v>1584</v>
      </c>
      <c r="F256" s="1" t="s">
        <v>1585</v>
      </c>
      <c r="G256" s="1" t="s">
        <v>1586</v>
      </c>
      <c r="H256" s="1" t="s">
        <v>1587</v>
      </c>
    </row>
    <row r="257" spans="1:8" x14ac:dyDescent="0.3">
      <c r="A257" s="2">
        <v>20808</v>
      </c>
      <c r="B257" s="1" t="s">
        <v>1588</v>
      </c>
      <c r="C257" s="1" t="s">
        <v>1589</v>
      </c>
      <c r="D257" s="1" t="s">
        <v>1590</v>
      </c>
      <c r="E257" s="1" t="s">
        <v>1591</v>
      </c>
      <c r="F257" s="1" t="s">
        <v>1592</v>
      </c>
      <c r="G257" s="1" t="s">
        <v>1593</v>
      </c>
      <c r="H257" s="1" t="s">
        <v>1594</v>
      </c>
    </row>
    <row r="258" spans="1:8" x14ac:dyDescent="0.3">
      <c r="A258" s="2">
        <v>20809</v>
      </c>
      <c r="B258" s="1" t="s">
        <v>1595</v>
      </c>
      <c r="C258" s="1" t="s">
        <v>1596</v>
      </c>
      <c r="D258" s="1" t="s">
        <v>1597</v>
      </c>
      <c r="E258" s="1" t="s">
        <v>1598</v>
      </c>
      <c r="F258" s="1" t="s">
        <v>1599</v>
      </c>
      <c r="G258" s="1" t="s">
        <v>1600</v>
      </c>
      <c r="H258" s="1" t="s">
        <v>1601</v>
      </c>
    </row>
    <row r="259" spans="1:8" x14ac:dyDescent="0.3">
      <c r="A259" s="2">
        <v>20810</v>
      </c>
      <c r="B259" s="1" t="s">
        <v>1602</v>
      </c>
      <c r="C259" s="1" t="s">
        <v>1603</v>
      </c>
      <c r="D259" s="1" t="s">
        <v>1604</v>
      </c>
      <c r="E259" s="1" t="s">
        <v>1605</v>
      </c>
      <c r="F259" s="1" t="s">
        <v>1606</v>
      </c>
      <c r="G259" s="1" t="s">
        <v>1607</v>
      </c>
      <c r="H259" s="1" t="s">
        <v>1608</v>
      </c>
    </row>
    <row r="260" spans="1:8" x14ac:dyDescent="0.3">
      <c r="A260" s="2">
        <v>20811</v>
      </c>
      <c r="B260" s="1" t="s">
        <v>1609</v>
      </c>
      <c r="C260" s="1" t="s">
        <v>1610</v>
      </c>
      <c r="D260" s="1" t="s">
        <v>1609</v>
      </c>
      <c r="E260" s="1" t="s">
        <v>1609</v>
      </c>
      <c r="F260" s="1" t="s">
        <v>1611</v>
      </c>
      <c r="G260" s="1" t="s">
        <v>1612</v>
      </c>
      <c r="H260" s="1" t="s">
        <v>1613</v>
      </c>
    </row>
    <row r="261" spans="1:8" x14ac:dyDescent="0.3">
      <c r="A261" s="2">
        <v>20812</v>
      </c>
      <c r="B261" s="1" t="s">
        <v>1614</v>
      </c>
      <c r="C261" s="1" t="s">
        <v>1615</v>
      </c>
      <c r="D261" s="1" t="s">
        <v>1616</v>
      </c>
      <c r="E261" s="1" t="s">
        <v>1617</v>
      </c>
      <c r="F261" s="1" t="s">
        <v>1618</v>
      </c>
      <c r="G261" s="1" t="s">
        <v>1619</v>
      </c>
      <c r="H261" s="1" t="s">
        <v>1620</v>
      </c>
    </row>
    <row r="262" spans="1:8" x14ac:dyDescent="0.3">
      <c r="A262" s="2" t="s">
        <v>1621</v>
      </c>
      <c r="B262" s="1" t="e">
        <f>-을</f>
        <v>#NAME?</v>
      </c>
      <c r="C262" s="1" t="s">
        <v>1622</v>
      </c>
      <c r="D262" s="1" t="s">
        <v>1623</v>
      </c>
      <c r="E262" s="1" t="s">
        <v>1624</v>
      </c>
      <c r="F262" s="1" t="s">
        <v>1625</v>
      </c>
      <c r="G262" s="1" t="s">
        <v>1626</v>
      </c>
      <c r="H262" s="1" t="s">
        <v>1627</v>
      </c>
    </row>
    <row r="263" spans="1:8" x14ac:dyDescent="0.3">
      <c r="A263" s="2">
        <v>20813</v>
      </c>
      <c r="B263" s="1" t="s">
        <v>1628</v>
      </c>
      <c r="C263" s="1" t="s">
        <v>1629</v>
      </c>
      <c r="D263" s="1" t="s">
        <v>1630</v>
      </c>
      <c r="E263" s="1" t="s">
        <v>1631</v>
      </c>
      <c r="F263" s="1" t="s">
        <v>1632</v>
      </c>
      <c r="G263" s="1" t="s">
        <v>1633</v>
      </c>
      <c r="H263" s="1" t="s">
        <v>1634</v>
      </c>
    </row>
    <row r="264" spans="1:8" x14ac:dyDescent="0.3">
      <c r="A264" s="2">
        <v>20814</v>
      </c>
      <c r="B264" s="1" t="s">
        <v>1635</v>
      </c>
      <c r="C264" s="1" t="s">
        <v>1636</v>
      </c>
      <c r="D264" s="1" t="s">
        <v>1637</v>
      </c>
      <c r="E264" s="1" t="s">
        <v>1638</v>
      </c>
      <c r="F264" s="1" t="s">
        <v>1639</v>
      </c>
      <c r="G264" s="1" t="s">
        <v>1640</v>
      </c>
      <c r="H264" s="1" t="s">
        <v>1641</v>
      </c>
    </row>
    <row r="265" spans="1:8" x14ac:dyDescent="0.3">
      <c r="A265" s="2">
        <v>20815</v>
      </c>
      <c r="B265" s="1" t="s">
        <v>1642</v>
      </c>
      <c r="C265" s="1" t="s">
        <v>1643</v>
      </c>
      <c r="D265" s="1" t="s">
        <v>1644</v>
      </c>
      <c r="E265" s="1" t="s">
        <v>1645</v>
      </c>
      <c r="G265" s="1" t="s">
        <v>1646</v>
      </c>
      <c r="H265" s="1" t="s">
        <v>1647</v>
      </c>
    </row>
    <row r="266" spans="1:8" x14ac:dyDescent="0.3">
      <c r="A266" s="2">
        <v>20816</v>
      </c>
      <c r="B266" s="1" t="s">
        <v>1648</v>
      </c>
      <c r="C266" s="1" t="s">
        <v>1649</v>
      </c>
      <c r="D266" s="1" t="s">
        <v>1650</v>
      </c>
      <c r="E266" s="1" t="s">
        <v>1651</v>
      </c>
      <c r="F266" s="1" t="s">
        <v>1652</v>
      </c>
      <c r="G266" s="1" t="s">
        <v>1653</v>
      </c>
      <c r="H266" s="1" t="s">
        <v>1654</v>
      </c>
    </row>
    <row r="267" spans="1:8" x14ac:dyDescent="0.3">
      <c r="A267" s="2">
        <v>20817</v>
      </c>
      <c r="B267" s="1" t="s">
        <v>1655</v>
      </c>
      <c r="C267" s="1" t="s">
        <v>1656</v>
      </c>
      <c r="D267" s="1" t="s">
        <v>1657</v>
      </c>
      <c r="E267" s="1" t="s">
        <v>1658</v>
      </c>
      <c r="F267" s="1" t="s">
        <v>1659</v>
      </c>
      <c r="G267" s="1" t="s">
        <v>1660</v>
      </c>
      <c r="H267" s="1" t="s">
        <v>1661</v>
      </c>
    </row>
    <row r="268" spans="1:8" x14ac:dyDescent="0.3">
      <c r="A268" s="2">
        <v>20818</v>
      </c>
      <c r="B268" s="1" t="s">
        <v>1662</v>
      </c>
      <c r="C268" s="1" t="s">
        <v>1663</v>
      </c>
      <c r="D268" s="1" t="s">
        <v>1664</v>
      </c>
      <c r="E268" s="1" t="s">
        <v>1665</v>
      </c>
      <c r="F268" s="1" t="s">
        <v>1666</v>
      </c>
      <c r="G268" s="1" t="s">
        <v>1667</v>
      </c>
      <c r="H268" s="1" t="s">
        <v>1664</v>
      </c>
    </row>
    <row r="269" spans="1:8" x14ac:dyDescent="0.3">
      <c r="A269" s="2">
        <v>20819</v>
      </c>
      <c r="B269" s="1" t="s">
        <v>1668</v>
      </c>
      <c r="C269" s="1" t="s">
        <v>1669</v>
      </c>
      <c r="D269" s="1" t="s">
        <v>1670</v>
      </c>
      <c r="E269" s="1" t="s">
        <v>1671</v>
      </c>
      <c r="F269" s="1" t="s">
        <v>1672</v>
      </c>
      <c r="G269" s="1" t="s">
        <v>1673</v>
      </c>
      <c r="H269" s="1" t="s">
        <v>1672</v>
      </c>
    </row>
    <row r="270" spans="1:8" x14ac:dyDescent="0.3">
      <c r="A270" s="2">
        <v>20820</v>
      </c>
      <c r="B270" s="1" t="s">
        <v>1674</v>
      </c>
      <c r="C270" s="1" t="s">
        <v>1675</v>
      </c>
      <c r="D270" s="1" t="s">
        <v>1674</v>
      </c>
      <c r="E270" s="1" t="s">
        <v>1676</v>
      </c>
      <c r="F270" s="1" t="s">
        <v>1674</v>
      </c>
      <c r="G270" s="1" t="s">
        <v>1677</v>
      </c>
      <c r="H270" s="1" t="s">
        <v>1678</v>
      </c>
    </row>
    <row r="271" spans="1:8" x14ac:dyDescent="0.3">
      <c r="A271" s="2">
        <v>20821</v>
      </c>
      <c r="B271" s="1" t="s">
        <v>1679</v>
      </c>
      <c r="C271" s="1" t="s">
        <v>1680</v>
      </c>
      <c r="D271" s="1" t="s">
        <v>1681</v>
      </c>
      <c r="E271" s="1" t="s">
        <v>57</v>
      </c>
      <c r="F271" s="1" t="s">
        <v>1682</v>
      </c>
      <c r="G271" s="1" t="s">
        <v>1683</v>
      </c>
      <c r="H271" s="1" t="s">
        <v>1684</v>
      </c>
    </row>
    <row r="272" spans="1:8" x14ac:dyDescent="0.3">
      <c r="A272" s="2">
        <v>20822</v>
      </c>
      <c r="B272" s="1" t="s">
        <v>1685</v>
      </c>
      <c r="C272" s="1" t="s">
        <v>1686</v>
      </c>
      <c r="D272" s="1" t="s">
        <v>1687</v>
      </c>
      <c r="E272" s="1" t="s">
        <v>1688</v>
      </c>
      <c r="F272" s="1" t="s">
        <v>1689</v>
      </c>
      <c r="G272" s="1" t="s">
        <v>1690</v>
      </c>
      <c r="H272" s="1" t="s">
        <v>1691</v>
      </c>
    </row>
    <row r="273" spans="1:8" x14ac:dyDescent="0.3">
      <c r="A273" s="2">
        <v>20823</v>
      </c>
      <c r="B273" s="1" t="s">
        <v>1692</v>
      </c>
      <c r="C273" s="1" t="s">
        <v>1693</v>
      </c>
      <c r="D273" s="1" t="s">
        <v>1694</v>
      </c>
      <c r="E273" s="1" t="s">
        <v>1695</v>
      </c>
      <c r="F273" s="1" t="s">
        <v>1696</v>
      </c>
      <c r="G273" s="1" t="s">
        <v>1697</v>
      </c>
      <c r="H273" s="1" t="s">
        <v>1698</v>
      </c>
    </row>
    <row r="274" spans="1:8" x14ac:dyDescent="0.3">
      <c r="A274" s="2">
        <v>20824</v>
      </c>
      <c r="B274" s="1" t="s">
        <v>1699</v>
      </c>
      <c r="C274" s="1" t="s">
        <v>1700</v>
      </c>
      <c r="D274" s="1" t="s">
        <v>1701</v>
      </c>
      <c r="E274" s="1" t="s">
        <v>1702</v>
      </c>
      <c r="F274" s="1" t="s">
        <v>1703</v>
      </c>
      <c r="G274" s="1" t="s">
        <v>1704</v>
      </c>
      <c r="H274" s="1" t="s">
        <v>1702</v>
      </c>
    </row>
    <row r="275" spans="1:8" x14ac:dyDescent="0.3">
      <c r="A275" s="2">
        <v>20825</v>
      </c>
      <c r="B275" s="1" t="s">
        <v>1705</v>
      </c>
      <c r="C275" s="1" t="s">
        <v>1706</v>
      </c>
      <c r="D275" s="1" t="s">
        <v>1705</v>
      </c>
      <c r="E275" s="1" t="s">
        <v>1707</v>
      </c>
      <c r="F275" s="1" t="s">
        <v>1708</v>
      </c>
      <c r="G275" s="1" t="s">
        <v>1709</v>
      </c>
      <c r="H275" s="1" t="s">
        <v>1710</v>
      </c>
    </row>
    <row r="276" spans="1:8" x14ac:dyDescent="0.3">
      <c r="A276" s="2">
        <v>20826</v>
      </c>
      <c r="B276" s="1" t="s">
        <v>1711</v>
      </c>
      <c r="C276" s="1" t="s">
        <v>1712</v>
      </c>
      <c r="D276" s="1" t="s">
        <v>1711</v>
      </c>
      <c r="E276" s="1" t="s">
        <v>1713</v>
      </c>
      <c r="F276" s="1" t="s">
        <v>1714</v>
      </c>
      <c r="G276" s="1" t="s">
        <v>1715</v>
      </c>
      <c r="H276" s="1" t="s">
        <v>1716</v>
      </c>
    </row>
    <row r="277" spans="1:8" x14ac:dyDescent="0.3">
      <c r="A277" s="2">
        <v>20827</v>
      </c>
      <c r="B277" s="1" t="s">
        <v>1717</v>
      </c>
      <c r="C277" s="1" t="s">
        <v>1718</v>
      </c>
      <c r="D277" s="1" t="s">
        <v>1717</v>
      </c>
      <c r="E277" s="1" t="s">
        <v>1719</v>
      </c>
      <c r="F277" s="1" t="s">
        <v>1720</v>
      </c>
      <c r="G277" s="1" t="s">
        <v>1721</v>
      </c>
      <c r="H277" s="1" t="s">
        <v>1717</v>
      </c>
    </row>
    <row r="278" spans="1:8" x14ac:dyDescent="0.3">
      <c r="A278" s="2">
        <v>20828</v>
      </c>
      <c r="B278" s="1" t="s">
        <v>1722</v>
      </c>
      <c r="C278" s="1" t="s">
        <v>1723</v>
      </c>
      <c r="D278" s="1" t="s">
        <v>1724</v>
      </c>
      <c r="E278" s="1" t="s">
        <v>1725</v>
      </c>
      <c r="F278" s="1" t="s">
        <v>1726</v>
      </c>
      <c r="G278" s="1" t="s">
        <v>1727</v>
      </c>
      <c r="H278" s="1" t="s">
        <v>1728</v>
      </c>
    </row>
    <row r="279" spans="1:8" x14ac:dyDescent="0.3">
      <c r="A279" s="2">
        <v>20829</v>
      </c>
      <c r="B279" s="1" t="s">
        <v>1729</v>
      </c>
      <c r="C279" s="1" t="s">
        <v>1730</v>
      </c>
      <c r="D279" s="1" t="s">
        <v>1729</v>
      </c>
      <c r="E279" s="1" t="s">
        <v>1731</v>
      </c>
      <c r="F279" s="1" t="s">
        <v>1732</v>
      </c>
      <c r="G279" s="1" t="s">
        <v>1729</v>
      </c>
      <c r="H279" s="1" t="s">
        <v>1733</v>
      </c>
    </row>
    <row r="280" spans="1:8" x14ac:dyDescent="0.3">
      <c r="A280" s="2">
        <v>20830</v>
      </c>
      <c r="B280" s="1" t="s">
        <v>1734</v>
      </c>
      <c r="C280" s="1" t="s">
        <v>1735</v>
      </c>
      <c r="D280" s="1" t="s">
        <v>1736</v>
      </c>
      <c r="E280" s="1" t="s">
        <v>1737</v>
      </c>
      <c r="F280" s="1" t="s">
        <v>1736</v>
      </c>
      <c r="G280" s="1" t="s">
        <v>1738</v>
      </c>
      <c r="H280" s="1" t="s">
        <v>1739</v>
      </c>
    </row>
    <row r="281" spans="1:8" x14ac:dyDescent="0.3">
      <c r="A281" s="2">
        <v>20831</v>
      </c>
      <c r="B281" s="1" t="s">
        <v>1740</v>
      </c>
      <c r="C281" s="1" t="s">
        <v>1741</v>
      </c>
      <c r="D281" s="1" t="s">
        <v>1742</v>
      </c>
      <c r="E281" s="1" t="s">
        <v>1743</v>
      </c>
      <c r="F281" s="1" t="s">
        <v>1742</v>
      </c>
      <c r="G281" s="1" t="s">
        <v>1744</v>
      </c>
      <c r="H281" s="1" t="s">
        <v>1745</v>
      </c>
    </row>
    <row r="282" spans="1:8" x14ac:dyDescent="0.3">
      <c r="A282" s="2">
        <v>20832</v>
      </c>
      <c r="B282" s="1" t="s">
        <v>1746</v>
      </c>
      <c r="C282" s="1" t="s">
        <v>1747</v>
      </c>
      <c r="D282" s="1" t="s">
        <v>1748</v>
      </c>
      <c r="E282" s="1" t="s">
        <v>1749</v>
      </c>
      <c r="F282" s="1" t="s">
        <v>1750</v>
      </c>
      <c r="G282" s="1" t="s">
        <v>1751</v>
      </c>
      <c r="H282" s="1" t="s">
        <v>1752</v>
      </c>
    </row>
    <row r="283" spans="1:8" x14ac:dyDescent="0.3">
      <c r="A283" s="2">
        <v>20833</v>
      </c>
      <c r="B283" s="1" t="s">
        <v>1753</v>
      </c>
      <c r="C283" s="1" t="s">
        <v>1754</v>
      </c>
      <c r="D283" s="1" t="s">
        <v>1755</v>
      </c>
      <c r="E283" s="1" t="s">
        <v>1756</v>
      </c>
      <c r="F283" s="1" t="s">
        <v>1757</v>
      </c>
      <c r="G283" s="1" t="s">
        <v>1758</v>
      </c>
      <c r="H283" s="1" t="s">
        <v>1759</v>
      </c>
    </row>
    <row r="284" spans="1:8" x14ac:dyDescent="0.3">
      <c r="A284" s="2">
        <v>20834</v>
      </c>
      <c r="B284" s="1" t="s">
        <v>1760</v>
      </c>
      <c r="C284" s="1" t="s">
        <v>1761</v>
      </c>
      <c r="D284" s="1" t="s">
        <v>1762</v>
      </c>
      <c r="E284" s="1" t="s">
        <v>1763</v>
      </c>
      <c r="F284" s="1" t="s">
        <v>1764</v>
      </c>
      <c r="G284" s="1" t="s">
        <v>1765</v>
      </c>
      <c r="H284" s="1" t="s">
        <v>1766</v>
      </c>
    </row>
    <row r="285" spans="1:8" x14ac:dyDescent="0.3">
      <c r="A285" s="2" t="s">
        <v>1767</v>
      </c>
      <c r="B285" s="1" t="e">
        <f>-이</f>
        <v>#NAME?</v>
      </c>
      <c r="C285" s="1" t="s">
        <v>1768</v>
      </c>
      <c r="D285" s="1" t="s">
        <v>1769</v>
      </c>
      <c r="E285" s="1" t="s">
        <v>1770</v>
      </c>
      <c r="F285" s="1" t="s">
        <v>1771</v>
      </c>
      <c r="G285" s="1" t="s">
        <v>1772</v>
      </c>
      <c r="H285" s="1" t="s">
        <v>1773</v>
      </c>
    </row>
    <row r="286" spans="1:8" x14ac:dyDescent="0.3">
      <c r="A286" s="2">
        <v>20835</v>
      </c>
      <c r="B286" s="1" t="s">
        <v>1774</v>
      </c>
      <c r="C286" s="1" t="s">
        <v>1775</v>
      </c>
      <c r="D286" s="1" t="s">
        <v>1776</v>
      </c>
      <c r="E286" s="1" t="s">
        <v>1777</v>
      </c>
      <c r="F286" s="1" t="s">
        <v>1778</v>
      </c>
      <c r="G286" s="1" t="s">
        <v>1774</v>
      </c>
      <c r="H286" s="1" t="s">
        <v>1779</v>
      </c>
    </row>
    <row r="287" spans="1:8" x14ac:dyDescent="0.3">
      <c r="A287" s="2">
        <v>20836</v>
      </c>
      <c r="B287" s="1" t="s">
        <v>1780</v>
      </c>
      <c r="C287" s="1" t="s">
        <v>1781</v>
      </c>
      <c r="D287" s="1" t="s">
        <v>1782</v>
      </c>
      <c r="E287" s="1" t="s">
        <v>1783</v>
      </c>
      <c r="F287" s="1" t="s">
        <v>1784</v>
      </c>
      <c r="G287" s="1" t="s">
        <v>1785</v>
      </c>
      <c r="H287" s="1" t="s">
        <v>1782</v>
      </c>
    </row>
    <row r="288" spans="1:8" x14ac:dyDescent="0.3">
      <c r="A288" s="2">
        <v>20837</v>
      </c>
      <c r="B288" s="1" t="s">
        <v>1786</v>
      </c>
      <c r="C288" s="1" t="s">
        <v>1787</v>
      </c>
      <c r="D288" s="1" t="s">
        <v>1788</v>
      </c>
      <c r="E288" s="1" t="s">
        <v>57</v>
      </c>
      <c r="F288" s="1" t="s">
        <v>1789</v>
      </c>
      <c r="G288" s="1" t="s">
        <v>57</v>
      </c>
      <c r="H288" s="1" t="s">
        <v>1790</v>
      </c>
    </row>
    <row r="289" spans="1:8" x14ac:dyDescent="0.3">
      <c r="A289" s="2">
        <v>20838</v>
      </c>
      <c r="B289" s="1" t="s">
        <v>1791</v>
      </c>
      <c r="C289" s="1" t="s">
        <v>1792</v>
      </c>
      <c r="D289" s="1" t="s">
        <v>1793</v>
      </c>
      <c r="E289" s="1" t="s">
        <v>1791</v>
      </c>
      <c r="F289" s="1" t="s">
        <v>1794</v>
      </c>
      <c r="G289" s="1" t="s">
        <v>1795</v>
      </c>
      <c r="H289" s="1" t="s">
        <v>1796</v>
      </c>
    </row>
    <row r="290" spans="1:8" x14ac:dyDescent="0.3">
      <c r="A290" s="2">
        <v>20839</v>
      </c>
      <c r="B290" s="1" t="s">
        <v>1797</v>
      </c>
      <c r="C290" s="1" t="s">
        <v>1798</v>
      </c>
      <c r="D290" s="1" t="s">
        <v>1799</v>
      </c>
      <c r="E290" s="1" t="s">
        <v>1800</v>
      </c>
      <c r="F290" s="1" t="s">
        <v>1801</v>
      </c>
      <c r="G290" s="1" t="s">
        <v>1802</v>
      </c>
      <c r="H290" s="1" t="s">
        <v>1803</v>
      </c>
    </row>
    <row r="291" spans="1:8" x14ac:dyDescent="0.3">
      <c r="A291" s="2">
        <v>20840</v>
      </c>
      <c r="B291" s="1" t="s">
        <v>1804</v>
      </c>
      <c r="C291" s="1" t="s">
        <v>1805</v>
      </c>
      <c r="D291" s="1" t="s">
        <v>1806</v>
      </c>
      <c r="E291" s="1" t="s">
        <v>1807</v>
      </c>
      <c r="F291" s="1" t="s">
        <v>1808</v>
      </c>
      <c r="G291" s="1" t="s">
        <v>1809</v>
      </c>
      <c r="H291" s="1" t="s">
        <v>1810</v>
      </c>
    </row>
    <row r="292" spans="1:8" x14ac:dyDescent="0.3">
      <c r="A292" s="2">
        <v>20841</v>
      </c>
      <c r="B292" s="1" t="s">
        <v>1811</v>
      </c>
      <c r="C292" s="1" t="s">
        <v>1812</v>
      </c>
      <c r="D292" s="1" t="s">
        <v>1811</v>
      </c>
      <c r="E292" s="1" t="s">
        <v>1811</v>
      </c>
      <c r="F292" s="1" t="s">
        <v>1813</v>
      </c>
      <c r="G292" s="1" t="s">
        <v>1814</v>
      </c>
      <c r="H292" s="1" t="s">
        <v>1815</v>
      </c>
    </row>
    <row r="293" spans="1:8" x14ac:dyDescent="0.3">
      <c r="A293" s="2">
        <v>20842</v>
      </c>
      <c r="B293" s="1" t="s">
        <v>1816</v>
      </c>
      <c r="C293" s="1" t="s">
        <v>57</v>
      </c>
      <c r="D293" s="1" t="s">
        <v>1817</v>
      </c>
      <c r="E293" s="1" t="s">
        <v>1818</v>
      </c>
      <c r="F293" s="1" t="s">
        <v>1819</v>
      </c>
      <c r="G293" s="1" t="s">
        <v>1820</v>
      </c>
      <c r="H293" s="1" t="s">
        <v>1818</v>
      </c>
    </row>
    <row r="294" spans="1:8" x14ac:dyDescent="0.3">
      <c r="A294" s="2">
        <v>20901</v>
      </c>
      <c r="B294" s="1" t="s">
        <v>1821</v>
      </c>
      <c r="C294" s="1" t="s">
        <v>1822</v>
      </c>
      <c r="D294" s="1" t="s">
        <v>1823</v>
      </c>
      <c r="E294" s="1" t="s">
        <v>1824</v>
      </c>
      <c r="F294" s="1" t="s">
        <v>1825</v>
      </c>
      <c r="G294" s="1" t="s">
        <v>1826</v>
      </c>
      <c r="H294" s="1" t="s">
        <v>1825</v>
      </c>
    </row>
    <row r="295" spans="1:8" x14ac:dyDescent="0.3">
      <c r="A295" s="2">
        <v>20902</v>
      </c>
      <c r="B295" s="1" t="s">
        <v>1827</v>
      </c>
      <c r="C295" s="1" t="s">
        <v>1828</v>
      </c>
      <c r="D295" s="1" t="s">
        <v>1829</v>
      </c>
      <c r="E295" s="1" t="s">
        <v>1830</v>
      </c>
      <c r="F295" s="1" t="s">
        <v>1831</v>
      </c>
      <c r="G295" s="1" t="s">
        <v>1832</v>
      </c>
      <c r="H295" s="1" t="s">
        <v>1833</v>
      </c>
    </row>
    <row r="296" spans="1:8" x14ac:dyDescent="0.3">
      <c r="A296" s="2">
        <v>20903</v>
      </c>
      <c r="B296" s="1" t="s">
        <v>1834</v>
      </c>
      <c r="C296" s="1" t="s">
        <v>1835</v>
      </c>
      <c r="D296" s="1" t="s">
        <v>1834</v>
      </c>
      <c r="E296" s="1" t="s">
        <v>1834</v>
      </c>
      <c r="F296" s="1" t="s">
        <v>1836</v>
      </c>
      <c r="G296" s="1" t="s">
        <v>1837</v>
      </c>
      <c r="H296" s="1" t="s">
        <v>1834</v>
      </c>
    </row>
    <row r="297" spans="1:8" x14ac:dyDescent="0.3">
      <c r="A297" s="2">
        <v>20904</v>
      </c>
      <c r="B297" s="1" t="s">
        <v>1838</v>
      </c>
      <c r="C297" s="1" t="s">
        <v>1839</v>
      </c>
      <c r="D297" s="1" t="s">
        <v>1840</v>
      </c>
      <c r="E297" s="1" t="s">
        <v>1841</v>
      </c>
      <c r="F297" s="1" t="s">
        <v>1842</v>
      </c>
      <c r="G297" s="1" t="s">
        <v>1843</v>
      </c>
      <c r="H297" s="1" t="s">
        <v>1844</v>
      </c>
    </row>
    <row r="298" spans="1:8" x14ac:dyDescent="0.3">
      <c r="A298" s="2">
        <v>20905</v>
      </c>
      <c r="B298" s="1" t="s">
        <v>1845</v>
      </c>
      <c r="C298" s="1" t="s">
        <v>1846</v>
      </c>
      <c r="D298" s="1" t="s">
        <v>1847</v>
      </c>
      <c r="E298" s="1" t="s">
        <v>1848</v>
      </c>
      <c r="F298" s="1" t="s">
        <v>1849</v>
      </c>
      <c r="G298" s="1" t="s">
        <v>1850</v>
      </c>
      <c r="H298" s="1" t="s">
        <v>1851</v>
      </c>
    </row>
    <row r="299" spans="1:8" x14ac:dyDescent="0.3">
      <c r="A299" s="2">
        <v>20906</v>
      </c>
      <c r="B299" s="1" t="s">
        <v>1852</v>
      </c>
      <c r="C299" s="1" t="s">
        <v>1853</v>
      </c>
      <c r="D299" s="1" t="s">
        <v>1854</v>
      </c>
      <c r="E299" s="1" t="s">
        <v>1855</v>
      </c>
      <c r="F299" s="1" t="s">
        <v>1856</v>
      </c>
      <c r="G299" s="1" t="s">
        <v>1857</v>
      </c>
      <c r="H299" s="1" t="s">
        <v>1858</v>
      </c>
    </row>
    <row r="300" spans="1:8" x14ac:dyDescent="0.3">
      <c r="A300" s="2">
        <v>20907</v>
      </c>
      <c r="B300" s="1" t="s">
        <v>1859</v>
      </c>
      <c r="C300" s="1" t="s">
        <v>1860</v>
      </c>
      <c r="D300" s="1" t="s">
        <v>1861</v>
      </c>
      <c r="E300" s="1" t="s">
        <v>1862</v>
      </c>
      <c r="F300" s="1" t="s">
        <v>1863</v>
      </c>
      <c r="G300" s="1" t="s">
        <v>1864</v>
      </c>
      <c r="H300" s="1" t="s">
        <v>1865</v>
      </c>
    </row>
    <row r="301" spans="1:8" x14ac:dyDescent="0.3">
      <c r="A301" s="2" t="s">
        <v>1866</v>
      </c>
      <c r="B301" s="1" t="s">
        <v>1867</v>
      </c>
      <c r="C301" s="1" t="s">
        <v>1868</v>
      </c>
      <c r="D301" s="1" t="s">
        <v>1869</v>
      </c>
      <c r="E301" s="1" t="s">
        <v>1870</v>
      </c>
      <c r="F301" s="1" t="s">
        <v>1871</v>
      </c>
      <c r="G301" s="1" t="s">
        <v>1872</v>
      </c>
      <c r="H301" s="1" t="s">
        <v>1873</v>
      </c>
    </row>
    <row r="302" spans="1:8" x14ac:dyDescent="0.3">
      <c r="A302" s="2" t="s">
        <v>1874</v>
      </c>
      <c r="B302" s="1" t="s">
        <v>1875</v>
      </c>
      <c r="C302" s="1" t="s">
        <v>1876</v>
      </c>
      <c r="D302" s="1" t="s">
        <v>1877</v>
      </c>
      <c r="E302" s="1" t="s">
        <v>1878</v>
      </c>
      <c r="F302" s="1" t="s">
        <v>1879</v>
      </c>
      <c r="G302" s="1" t="s">
        <v>1880</v>
      </c>
      <c r="H302" s="1" t="s">
        <v>1873</v>
      </c>
    </row>
    <row r="303" spans="1:8" x14ac:dyDescent="0.3">
      <c r="A303" s="2">
        <v>20908</v>
      </c>
      <c r="B303" s="1" t="s">
        <v>1881</v>
      </c>
      <c r="C303" s="1" t="s">
        <v>1882</v>
      </c>
      <c r="D303" s="1" t="s">
        <v>1883</v>
      </c>
      <c r="E303" s="1" t="s">
        <v>1884</v>
      </c>
      <c r="F303" s="1" t="s">
        <v>1885</v>
      </c>
      <c r="G303" s="1" t="s">
        <v>1886</v>
      </c>
      <c r="H303" s="1" t="s">
        <v>1887</v>
      </c>
    </row>
    <row r="304" spans="1:8" x14ac:dyDescent="0.3">
      <c r="A304" s="2">
        <v>20909</v>
      </c>
      <c r="B304" s="1" t="s">
        <v>1888</v>
      </c>
      <c r="C304" s="1" t="s">
        <v>1889</v>
      </c>
      <c r="D304" s="1" t="s">
        <v>1890</v>
      </c>
      <c r="E304" s="1" t="s">
        <v>1891</v>
      </c>
      <c r="F304" s="1" t="s">
        <v>1892</v>
      </c>
      <c r="G304" s="1" t="s">
        <v>1893</v>
      </c>
      <c r="H304" s="1" t="s">
        <v>1894</v>
      </c>
    </row>
    <row r="305" spans="1:8" x14ac:dyDescent="0.3">
      <c r="A305" s="2">
        <v>20910</v>
      </c>
      <c r="B305" s="1" t="s">
        <v>1895</v>
      </c>
      <c r="C305" s="1" t="s">
        <v>1896</v>
      </c>
      <c r="D305" s="1" t="s">
        <v>1897</v>
      </c>
      <c r="G305" s="1" t="s">
        <v>1898</v>
      </c>
      <c r="H305" s="1" t="s">
        <v>1899</v>
      </c>
    </row>
    <row r="306" spans="1:8" x14ac:dyDescent="0.3">
      <c r="A306" s="2">
        <v>20911</v>
      </c>
      <c r="B306" s="1" t="s">
        <v>1900</v>
      </c>
      <c r="C306" s="1" t="s">
        <v>1901</v>
      </c>
      <c r="D306" s="1" t="s">
        <v>1902</v>
      </c>
      <c r="E306" s="1" t="s">
        <v>1903</v>
      </c>
      <c r="F306" s="1" t="s">
        <v>1904</v>
      </c>
      <c r="G306" s="1" t="s">
        <v>1905</v>
      </c>
      <c r="H306" s="1" t="s">
        <v>1906</v>
      </c>
    </row>
    <row r="307" spans="1:8" x14ac:dyDescent="0.3">
      <c r="A307" s="2">
        <v>20912</v>
      </c>
      <c r="B307" s="1" t="s">
        <v>1907</v>
      </c>
      <c r="C307" s="1" t="s">
        <v>1908</v>
      </c>
      <c r="D307" s="1" t="s">
        <v>1909</v>
      </c>
      <c r="E307" s="1" t="s">
        <v>1910</v>
      </c>
      <c r="F307" s="1" t="s">
        <v>1911</v>
      </c>
      <c r="G307" s="1" t="s">
        <v>1912</v>
      </c>
      <c r="H307" s="1" t="s">
        <v>1910</v>
      </c>
    </row>
    <row r="308" spans="1:8" x14ac:dyDescent="0.3">
      <c r="A308" s="2">
        <v>20913</v>
      </c>
      <c r="B308" s="1" t="s">
        <v>1913</v>
      </c>
      <c r="C308" s="1" t="s">
        <v>1914</v>
      </c>
      <c r="D308" s="1" t="s">
        <v>1915</v>
      </c>
      <c r="E308" s="1" t="s">
        <v>1916</v>
      </c>
      <c r="F308" s="1" t="s">
        <v>1917</v>
      </c>
      <c r="G308" s="1" t="s">
        <v>1915</v>
      </c>
      <c r="H308" s="1" t="s">
        <v>1918</v>
      </c>
    </row>
    <row r="309" spans="1:8" x14ac:dyDescent="0.3">
      <c r="A309" s="2">
        <v>20914</v>
      </c>
      <c r="B309" s="1" t="s">
        <v>1919</v>
      </c>
      <c r="C309" s="1" t="s">
        <v>1920</v>
      </c>
      <c r="D309" s="1" t="s">
        <v>1921</v>
      </c>
      <c r="E309" s="1" t="s">
        <v>1922</v>
      </c>
      <c r="F309" s="1" t="s">
        <v>1923</v>
      </c>
      <c r="G309" s="1" t="s">
        <v>1924</v>
      </c>
      <c r="H309" s="1" t="s">
        <v>1925</v>
      </c>
    </row>
    <row r="310" spans="1:8" x14ac:dyDescent="0.3">
      <c r="A310" s="2">
        <v>20915</v>
      </c>
      <c r="B310" s="1" t="s">
        <v>1926</v>
      </c>
      <c r="C310" s="1" t="s">
        <v>1927</v>
      </c>
      <c r="D310" s="1" t="s">
        <v>1928</v>
      </c>
      <c r="E310" s="1" t="s">
        <v>1929</v>
      </c>
      <c r="F310" s="1" t="s">
        <v>1930</v>
      </c>
      <c r="G310" s="1" t="s">
        <v>1931</v>
      </c>
      <c r="H310" s="1" t="s">
        <v>1932</v>
      </c>
    </row>
    <row r="311" spans="1:8" x14ac:dyDescent="0.3">
      <c r="A311" s="2">
        <v>20916</v>
      </c>
      <c r="B311" s="1" t="s">
        <v>1933</v>
      </c>
      <c r="C311" s="1" t="s">
        <v>1934</v>
      </c>
      <c r="D311" s="1" t="s">
        <v>1935</v>
      </c>
      <c r="E311" s="1" t="s">
        <v>1936</v>
      </c>
      <c r="F311" s="1" t="s">
        <v>1937</v>
      </c>
      <c r="G311" s="1" t="s">
        <v>1938</v>
      </c>
      <c r="H311" s="1" t="s">
        <v>1939</v>
      </c>
    </row>
    <row r="312" spans="1:8" x14ac:dyDescent="0.3">
      <c r="A312" s="2">
        <v>20917</v>
      </c>
      <c r="B312" s="1" t="s">
        <v>1940</v>
      </c>
      <c r="C312" s="1" t="s">
        <v>1941</v>
      </c>
      <c r="D312" s="1" t="s">
        <v>1942</v>
      </c>
      <c r="E312" s="1" t="s">
        <v>1943</v>
      </c>
      <c r="F312" s="1" t="s">
        <v>1944</v>
      </c>
      <c r="G312" s="1" t="s">
        <v>1945</v>
      </c>
      <c r="H312" s="1" t="s">
        <v>1946</v>
      </c>
    </row>
    <row r="313" spans="1:8" x14ac:dyDescent="0.3">
      <c r="A313" s="2" t="s">
        <v>1947</v>
      </c>
      <c r="B313" s="1" t="s">
        <v>1948</v>
      </c>
      <c r="C313" s="1" t="s">
        <v>1949</v>
      </c>
      <c r="D313" s="1" t="s">
        <v>1950</v>
      </c>
      <c r="E313" s="1" t="s">
        <v>1951</v>
      </c>
      <c r="F313" s="1" t="s">
        <v>1948</v>
      </c>
      <c r="G313" s="1" t="s">
        <v>1952</v>
      </c>
      <c r="H313" s="1" t="s">
        <v>1953</v>
      </c>
    </row>
    <row r="314" spans="1:8" x14ac:dyDescent="0.3">
      <c r="A314" s="2">
        <v>20918</v>
      </c>
      <c r="B314" s="1" t="s">
        <v>1954</v>
      </c>
      <c r="C314" s="1" t="s">
        <v>1955</v>
      </c>
      <c r="D314" s="1" t="s">
        <v>1956</v>
      </c>
      <c r="E314" s="1" t="s">
        <v>1957</v>
      </c>
      <c r="F314" s="1" t="s">
        <v>1958</v>
      </c>
      <c r="G314" s="1" t="s">
        <v>1959</v>
      </c>
      <c r="H314" s="1" t="s">
        <v>1960</v>
      </c>
    </row>
    <row r="315" spans="1:8" x14ac:dyDescent="0.3">
      <c r="A315" s="2">
        <v>20919</v>
      </c>
      <c r="B315" s="1" t="s">
        <v>1961</v>
      </c>
      <c r="C315" s="1" t="s">
        <v>1962</v>
      </c>
      <c r="D315" s="1" t="s">
        <v>1963</v>
      </c>
      <c r="E315" s="1" t="s">
        <v>1964</v>
      </c>
      <c r="F315" s="1" t="s">
        <v>1965</v>
      </c>
      <c r="G315" s="1" t="s">
        <v>1966</v>
      </c>
      <c r="H315" s="1" t="s">
        <v>1967</v>
      </c>
    </row>
    <row r="316" spans="1:8" x14ac:dyDescent="0.3">
      <c r="A316" s="2">
        <v>20920</v>
      </c>
      <c r="B316" s="1" t="s">
        <v>1968</v>
      </c>
      <c r="C316" s="1" t="s">
        <v>1969</v>
      </c>
      <c r="D316" s="1" t="s">
        <v>1970</v>
      </c>
      <c r="E316" s="1" t="s">
        <v>1971</v>
      </c>
      <c r="F316" s="1" t="s">
        <v>1972</v>
      </c>
      <c r="G316" s="1" t="s">
        <v>1973</v>
      </c>
      <c r="H316" s="1" t="s">
        <v>1970</v>
      </c>
    </row>
    <row r="317" spans="1:8" x14ac:dyDescent="0.3">
      <c r="A317" s="2">
        <v>20921</v>
      </c>
      <c r="B317" s="1" t="s">
        <v>1974</v>
      </c>
      <c r="C317" s="1" t="s">
        <v>1975</v>
      </c>
      <c r="E317" s="1" t="s">
        <v>1976</v>
      </c>
      <c r="F317" s="1" t="s">
        <v>1977</v>
      </c>
      <c r="G317" s="1" t="s">
        <v>1978</v>
      </c>
      <c r="H317" s="1" t="s">
        <v>57</v>
      </c>
    </row>
    <row r="318" spans="1:8" x14ac:dyDescent="0.3">
      <c r="A318" s="2">
        <v>20922</v>
      </c>
      <c r="B318" s="1" t="s">
        <v>1979</v>
      </c>
      <c r="C318" s="1" t="s">
        <v>1980</v>
      </c>
      <c r="D318" s="1" t="s">
        <v>1981</v>
      </c>
      <c r="E318" s="1" t="s">
        <v>1982</v>
      </c>
      <c r="F318" s="1" t="s">
        <v>1983</v>
      </c>
      <c r="G318" s="1" t="s">
        <v>1984</v>
      </c>
      <c r="H318" s="1" t="s">
        <v>1985</v>
      </c>
    </row>
    <row r="319" spans="1:8" x14ac:dyDescent="0.3">
      <c r="A319" s="2" t="s">
        <v>1986</v>
      </c>
      <c r="B319" s="1" t="s">
        <v>1987</v>
      </c>
      <c r="C319" s="1" t="s">
        <v>1988</v>
      </c>
      <c r="F319" s="1" t="s">
        <v>1989</v>
      </c>
      <c r="G319" s="1" t="s">
        <v>1984</v>
      </c>
      <c r="H319" s="1" t="s">
        <v>1990</v>
      </c>
    </row>
    <row r="320" spans="1:8" x14ac:dyDescent="0.3">
      <c r="A320" s="2" t="s">
        <v>1991</v>
      </c>
      <c r="B320" s="1" t="s">
        <v>1992</v>
      </c>
      <c r="C320" s="1" t="s">
        <v>1993</v>
      </c>
      <c r="F320" s="1" t="s">
        <v>57</v>
      </c>
      <c r="G320" s="1" t="s">
        <v>1994</v>
      </c>
      <c r="H320" s="1" t="s">
        <v>1995</v>
      </c>
    </row>
    <row r="321" spans="1:8" x14ac:dyDescent="0.3">
      <c r="A321" s="2">
        <v>20923</v>
      </c>
      <c r="B321" s="1" t="s">
        <v>1996</v>
      </c>
      <c r="C321" s="1" t="s">
        <v>1997</v>
      </c>
      <c r="D321" s="1" t="s">
        <v>1998</v>
      </c>
      <c r="E321" s="1" t="s">
        <v>1999</v>
      </c>
      <c r="F321" s="1" t="s">
        <v>2000</v>
      </c>
      <c r="G321" s="1" t="s">
        <v>2001</v>
      </c>
      <c r="H321" s="1" t="s">
        <v>2002</v>
      </c>
    </row>
    <row r="322" spans="1:8" x14ac:dyDescent="0.3">
      <c r="A322" s="2">
        <v>20924</v>
      </c>
      <c r="B322" s="1" t="s">
        <v>2003</v>
      </c>
      <c r="C322" s="1" t="s">
        <v>2004</v>
      </c>
      <c r="D322" s="1" t="s">
        <v>2005</v>
      </c>
      <c r="E322" s="1" t="s">
        <v>2006</v>
      </c>
      <c r="F322" s="1" t="s">
        <v>2007</v>
      </c>
      <c r="G322" s="1" t="s">
        <v>2008</v>
      </c>
      <c r="H322" s="1" t="s">
        <v>2009</v>
      </c>
    </row>
    <row r="323" spans="1:8" x14ac:dyDescent="0.3">
      <c r="A323" s="2">
        <v>20925</v>
      </c>
      <c r="B323" s="1" t="s">
        <v>2010</v>
      </c>
      <c r="C323" s="1" t="s">
        <v>2011</v>
      </c>
      <c r="D323" s="1" t="s">
        <v>2012</v>
      </c>
      <c r="E323" s="1" t="s">
        <v>669</v>
      </c>
      <c r="F323" s="1" t="s">
        <v>2013</v>
      </c>
      <c r="G323" s="1" t="s">
        <v>2014</v>
      </c>
      <c r="H323" s="1" t="s">
        <v>2015</v>
      </c>
    </row>
    <row r="324" spans="1:8" x14ac:dyDescent="0.3">
      <c r="A324" s="2">
        <v>20926</v>
      </c>
      <c r="B324" s="1" t="s">
        <v>2016</v>
      </c>
      <c r="C324" s="1" t="s">
        <v>2017</v>
      </c>
      <c r="D324" s="1" t="s">
        <v>2018</v>
      </c>
      <c r="E324" s="1" t="s">
        <v>2019</v>
      </c>
      <c r="F324" s="1" t="s">
        <v>2020</v>
      </c>
      <c r="H324" s="1" t="s">
        <v>2021</v>
      </c>
    </row>
    <row r="325" spans="1:8" x14ac:dyDescent="0.3">
      <c r="A325" s="2">
        <v>20927</v>
      </c>
      <c r="B325" s="1" t="s">
        <v>2022</v>
      </c>
      <c r="C325" s="1" t="s">
        <v>2023</v>
      </c>
      <c r="D325" s="1" t="s">
        <v>2024</v>
      </c>
      <c r="E325" s="1" t="s">
        <v>2025</v>
      </c>
      <c r="F325" s="1" t="s">
        <v>2026</v>
      </c>
      <c r="G325" s="1" t="s">
        <v>2027</v>
      </c>
      <c r="H325" s="1" t="s">
        <v>2028</v>
      </c>
    </row>
    <row r="326" spans="1:8" x14ac:dyDescent="0.3">
      <c r="A326" s="2">
        <v>20928</v>
      </c>
      <c r="B326" s="1" t="s">
        <v>2029</v>
      </c>
      <c r="C326" s="1" t="s">
        <v>2030</v>
      </c>
      <c r="D326" s="1" t="s">
        <v>2031</v>
      </c>
      <c r="E326" s="1" t="s">
        <v>2032</v>
      </c>
      <c r="F326" s="1" t="s">
        <v>57</v>
      </c>
      <c r="G326" s="1" t="s">
        <v>57</v>
      </c>
      <c r="H326" s="1" t="s">
        <v>2033</v>
      </c>
    </row>
    <row r="327" spans="1:8" x14ac:dyDescent="0.3">
      <c r="A327" s="2">
        <v>20929</v>
      </c>
      <c r="B327" s="1" t="s">
        <v>2034</v>
      </c>
      <c r="C327" s="1" t="s">
        <v>2035</v>
      </c>
      <c r="D327" s="1" t="s">
        <v>2036</v>
      </c>
      <c r="E327" s="1" t="s">
        <v>2037</v>
      </c>
      <c r="F327" s="1" t="s">
        <v>2038</v>
      </c>
      <c r="G327" s="1" t="s">
        <v>2039</v>
      </c>
      <c r="H327" s="1" t="s">
        <v>2040</v>
      </c>
    </row>
    <row r="328" spans="1:8" x14ac:dyDescent="0.3">
      <c r="A328" s="2">
        <v>20930</v>
      </c>
      <c r="B328" s="1" t="s">
        <v>2041</v>
      </c>
      <c r="C328" s="1" t="s">
        <v>2042</v>
      </c>
      <c r="D328" s="1" t="s">
        <v>2043</v>
      </c>
      <c r="E328" s="1" t="s">
        <v>2043</v>
      </c>
      <c r="F328" s="1" t="s">
        <v>2044</v>
      </c>
      <c r="G328" s="1" t="s">
        <v>2045</v>
      </c>
      <c r="H328" s="1" t="s">
        <v>2043</v>
      </c>
    </row>
    <row r="329" spans="1:8" x14ac:dyDescent="0.3">
      <c r="A329" s="2" t="s">
        <v>2046</v>
      </c>
      <c r="B329" s="1" t="e">
        <f>-에</f>
        <v>#NAME?</v>
      </c>
      <c r="C329" s="1" t="s">
        <v>2047</v>
      </c>
      <c r="E329" s="1" t="s">
        <v>2048</v>
      </c>
      <c r="F329" s="1" t="s">
        <v>2049</v>
      </c>
      <c r="G329" s="1" t="s">
        <v>2050</v>
      </c>
      <c r="H329" s="1" t="s">
        <v>2051</v>
      </c>
    </row>
    <row r="330" spans="1:8" x14ac:dyDescent="0.3">
      <c r="A330" s="2">
        <v>20931</v>
      </c>
      <c r="B330" s="1" t="s">
        <v>2052</v>
      </c>
      <c r="C330" s="1" t="s">
        <v>2053</v>
      </c>
      <c r="D330" s="1" t="s">
        <v>2054</v>
      </c>
      <c r="E330" s="1" t="s">
        <v>2055</v>
      </c>
      <c r="F330" s="1" t="s">
        <v>2056</v>
      </c>
      <c r="G330" s="1" t="s">
        <v>2057</v>
      </c>
      <c r="H330" s="1" t="s">
        <v>2058</v>
      </c>
    </row>
    <row r="331" spans="1:8" x14ac:dyDescent="0.3">
      <c r="A331" s="2">
        <v>20932</v>
      </c>
      <c r="B331" s="1" t="s">
        <v>2059</v>
      </c>
      <c r="C331" s="1" t="s">
        <v>2060</v>
      </c>
      <c r="E331" s="1" t="s">
        <v>2061</v>
      </c>
      <c r="G331" s="1" t="s">
        <v>57</v>
      </c>
      <c r="H331" s="1" t="s">
        <v>2062</v>
      </c>
    </row>
    <row r="332" spans="1:8" x14ac:dyDescent="0.3">
      <c r="A332" s="2">
        <v>20933</v>
      </c>
      <c r="B332" s="1" t="s">
        <v>2063</v>
      </c>
      <c r="C332" s="1" t="s">
        <v>2064</v>
      </c>
      <c r="D332" s="1" t="s">
        <v>2065</v>
      </c>
      <c r="E332" s="1" t="s">
        <v>2066</v>
      </c>
      <c r="F332" s="1" t="s">
        <v>2067</v>
      </c>
      <c r="G332" s="1" t="s">
        <v>2068</v>
      </c>
      <c r="H332" s="1" t="s">
        <v>2069</v>
      </c>
    </row>
    <row r="333" spans="1:8" x14ac:dyDescent="0.3">
      <c r="A333" s="2">
        <v>20934</v>
      </c>
      <c r="B333" s="1" t="s">
        <v>2070</v>
      </c>
      <c r="C333" s="1" t="s">
        <v>2071</v>
      </c>
      <c r="D333" s="1" t="s">
        <v>2072</v>
      </c>
      <c r="E333" s="1" t="s">
        <v>2073</v>
      </c>
      <c r="F333" s="1" t="s">
        <v>2074</v>
      </c>
      <c r="G333" s="1" t="s">
        <v>2075</v>
      </c>
      <c r="H333" s="1" t="s">
        <v>2076</v>
      </c>
    </row>
    <row r="334" spans="1:8" x14ac:dyDescent="0.3">
      <c r="A334" s="2">
        <v>20935</v>
      </c>
      <c r="B334" s="1" t="s">
        <v>2077</v>
      </c>
      <c r="C334" s="1" t="s">
        <v>2078</v>
      </c>
      <c r="D334" s="1" t="s">
        <v>2079</v>
      </c>
      <c r="E334" s="1" t="s">
        <v>2080</v>
      </c>
      <c r="F334" s="1" t="s">
        <v>2081</v>
      </c>
      <c r="G334" s="1" t="s">
        <v>2082</v>
      </c>
      <c r="H334" s="1" t="s">
        <v>2083</v>
      </c>
    </row>
    <row r="335" spans="1:8" x14ac:dyDescent="0.3">
      <c r="A335" s="2">
        <v>20936</v>
      </c>
      <c r="B335" s="1" t="s">
        <v>2084</v>
      </c>
      <c r="C335" s="1" t="s">
        <v>2085</v>
      </c>
      <c r="D335" s="1" t="s">
        <v>2084</v>
      </c>
      <c r="E335" s="1" t="s">
        <v>2086</v>
      </c>
      <c r="F335" s="1" t="s">
        <v>2087</v>
      </c>
      <c r="G335" s="1" t="s">
        <v>2088</v>
      </c>
      <c r="H335" s="1" t="s">
        <v>2089</v>
      </c>
    </row>
    <row r="336" spans="1:8" x14ac:dyDescent="0.3">
      <c r="A336" s="2">
        <v>20937</v>
      </c>
      <c r="B336" s="1" t="s">
        <v>2090</v>
      </c>
      <c r="C336" s="1" t="s">
        <v>2091</v>
      </c>
      <c r="D336" s="1" t="s">
        <v>2092</v>
      </c>
      <c r="E336" s="1" t="s">
        <v>2093</v>
      </c>
      <c r="F336" s="1" t="s">
        <v>2094</v>
      </c>
      <c r="G336" s="1" t="s">
        <v>2090</v>
      </c>
      <c r="H336" s="1" t="s">
        <v>2095</v>
      </c>
    </row>
    <row r="337" spans="1:8" x14ac:dyDescent="0.3">
      <c r="A337" s="2">
        <v>20938</v>
      </c>
      <c r="B337" s="1" t="s">
        <v>2096</v>
      </c>
      <c r="C337" s="1" t="s">
        <v>2097</v>
      </c>
      <c r="D337" s="1" t="s">
        <v>2098</v>
      </c>
      <c r="E337" s="1" t="s">
        <v>2099</v>
      </c>
      <c r="F337" s="1" t="s">
        <v>2100</v>
      </c>
      <c r="G337" s="1" t="s">
        <v>2101</v>
      </c>
      <c r="H337" s="1" t="s">
        <v>2102</v>
      </c>
    </row>
    <row r="338" spans="1:8" x14ac:dyDescent="0.3">
      <c r="A338" s="2">
        <v>20939</v>
      </c>
      <c r="B338" s="1" t="s">
        <v>2103</v>
      </c>
      <c r="C338" s="1" t="s">
        <v>2104</v>
      </c>
      <c r="D338" s="1" t="s">
        <v>2105</v>
      </c>
      <c r="E338" s="1" t="s">
        <v>2106</v>
      </c>
      <c r="F338" s="1" t="s">
        <v>2107</v>
      </c>
      <c r="G338" s="1" t="s">
        <v>2108</v>
      </c>
      <c r="H338" s="1" t="s">
        <v>2103</v>
      </c>
    </row>
    <row r="339" spans="1:8" x14ac:dyDescent="0.3">
      <c r="A339" s="2">
        <v>20940</v>
      </c>
      <c r="B339" s="1" t="s">
        <v>2109</v>
      </c>
      <c r="C339" s="1" t="s">
        <v>2110</v>
      </c>
      <c r="D339" s="1" t="s">
        <v>2111</v>
      </c>
      <c r="E339" s="1" t="s">
        <v>2112</v>
      </c>
      <c r="F339" s="1" t="s">
        <v>2113</v>
      </c>
      <c r="G339" s="1" t="s">
        <v>2114</v>
      </c>
      <c r="H339" s="1" t="s">
        <v>2115</v>
      </c>
    </row>
    <row r="340" spans="1:8" x14ac:dyDescent="0.3">
      <c r="A340" s="2">
        <v>20941</v>
      </c>
      <c r="B340" s="1" t="s">
        <v>2116</v>
      </c>
      <c r="C340" s="1" t="s">
        <v>2117</v>
      </c>
      <c r="D340" s="1" t="s">
        <v>2118</v>
      </c>
      <c r="E340" s="1" t="s">
        <v>2116</v>
      </c>
      <c r="F340" s="1" t="s">
        <v>2119</v>
      </c>
      <c r="G340" s="1" t="s">
        <v>2120</v>
      </c>
      <c r="H340" s="1" t="s">
        <v>2121</v>
      </c>
    </row>
    <row r="341" spans="1:8" x14ac:dyDescent="0.3">
      <c r="A341" s="2">
        <v>21001</v>
      </c>
      <c r="B341" s="1" t="s">
        <v>2122</v>
      </c>
      <c r="C341" s="1" t="s">
        <v>2123</v>
      </c>
      <c r="D341" s="1" t="s">
        <v>2124</v>
      </c>
      <c r="E341" s="1" t="s">
        <v>2125</v>
      </c>
      <c r="F341" s="1" t="s">
        <v>2126</v>
      </c>
      <c r="G341" s="1" t="s">
        <v>2127</v>
      </c>
      <c r="H341" s="1" t="s">
        <v>2128</v>
      </c>
    </row>
    <row r="342" spans="1:8" x14ac:dyDescent="0.3">
      <c r="A342" s="2" t="s">
        <v>2129</v>
      </c>
      <c r="B342" s="1" t="e">
        <f>-에</f>
        <v>#NAME?</v>
      </c>
      <c r="C342" s="1" t="s">
        <v>2130</v>
      </c>
      <c r="D342" s="1" t="s">
        <v>2131</v>
      </c>
      <c r="E342" s="1" t="s">
        <v>2132</v>
      </c>
      <c r="F342" s="1" t="s">
        <v>2133</v>
      </c>
      <c r="G342" s="1" t="s">
        <v>2134</v>
      </c>
      <c r="H342" s="1" t="s">
        <v>2135</v>
      </c>
    </row>
    <row r="343" spans="1:8" x14ac:dyDescent="0.3">
      <c r="A343" s="2">
        <v>21002</v>
      </c>
      <c r="B343" s="1" t="s">
        <v>2136</v>
      </c>
      <c r="C343" s="1" t="s">
        <v>2137</v>
      </c>
      <c r="D343" s="1" t="s">
        <v>2138</v>
      </c>
      <c r="E343" s="1" t="s">
        <v>2136</v>
      </c>
      <c r="F343" s="1" t="s">
        <v>2139</v>
      </c>
      <c r="G343" s="1" t="s">
        <v>2140</v>
      </c>
      <c r="H343" s="1" t="s">
        <v>2141</v>
      </c>
    </row>
    <row r="344" spans="1:8" x14ac:dyDescent="0.3">
      <c r="A344" s="2">
        <v>21003</v>
      </c>
      <c r="B344" s="1" t="s">
        <v>2142</v>
      </c>
      <c r="C344" s="1" t="s">
        <v>2143</v>
      </c>
      <c r="D344" s="1" t="s">
        <v>2144</v>
      </c>
      <c r="E344" s="1" t="s">
        <v>2142</v>
      </c>
      <c r="F344" s="1" t="s">
        <v>2145</v>
      </c>
      <c r="G344" s="1" t="s">
        <v>2146</v>
      </c>
      <c r="H344" s="1" t="s">
        <v>2142</v>
      </c>
    </row>
    <row r="345" spans="1:8" x14ac:dyDescent="0.3">
      <c r="A345" s="2">
        <v>21004</v>
      </c>
      <c r="B345" s="1" t="s">
        <v>2147</v>
      </c>
      <c r="C345" s="1" t="s">
        <v>2148</v>
      </c>
      <c r="D345" s="1" t="s">
        <v>2149</v>
      </c>
      <c r="E345" s="1" t="s">
        <v>2150</v>
      </c>
      <c r="G345" s="1" t="s">
        <v>57</v>
      </c>
      <c r="H345" s="1" t="s">
        <v>2151</v>
      </c>
    </row>
    <row r="346" spans="1:8" x14ac:dyDescent="0.3">
      <c r="A346" s="2">
        <v>21005</v>
      </c>
      <c r="B346" s="1" t="s">
        <v>2152</v>
      </c>
      <c r="C346" s="1" t="s">
        <v>2148</v>
      </c>
      <c r="D346" s="1" t="s">
        <v>2153</v>
      </c>
      <c r="E346" s="1" t="s">
        <v>2150</v>
      </c>
      <c r="G346" s="1" t="s">
        <v>57</v>
      </c>
      <c r="H346" s="1" t="s">
        <v>57</v>
      </c>
    </row>
    <row r="347" spans="1:8" x14ac:dyDescent="0.3">
      <c r="A347" s="2">
        <v>21006</v>
      </c>
      <c r="B347" s="1" t="s">
        <v>2154</v>
      </c>
      <c r="C347" s="1" t="s">
        <v>2155</v>
      </c>
      <c r="D347" s="1" t="s">
        <v>2156</v>
      </c>
      <c r="E347" s="1" t="s">
        <v>2157</v>
      </c>
      <c r="F347" s="1" t="s">
        <v>2158</v>
      </c>
      <c r="G347" s="1" t="s">
        <v>2159</v>
      </c>
      <c r="H347" s="1" t="s">
        <v>2157</v>
      </c>
    </row>
    <row r="348" spans="1:8" x14ac:dyDescent="0.3">
      <c r="A348" s="2">
        <v>21007</v>
      </c>
      <c r="B348" s="1" t="s">
        <v>2160</v>
      </c>
      <c r="C348" s="1" t="s">
        <v>2161</v>
      </c>
      <c r="D348" s="1" t="s">
        <v>2160</v>
      </c>
      <c r="E348" s="1" t="s">
        <v>2160</v>
      </c>
      <c r="F348" s="1" t="s">
        <v>2160</v>
      </c>
      <c r="G348" s="1" t="s">
        <v>2162</v>
      </c>
      <c r="H348" s="1" t="s">
        <v>2160</v>
      </c>
    </row>
    <row r="349" spans="1:8" x14ac:dyDescent="0.3">
      <c r="A349" s="2">
        <v>21008</v>
      </c>
      <c r="B349" s="1" t="s">
        <v>2163</v>
      </c>
      <c r="C349" s="1" t="s">
        <v>2164</v>
      </c>
      <c r="D349" s="1" t="s">
        <v>2165</v>
      </c>
      <c r="E349" s="1" t="s">
        <v>2166</v>
      </c>
      <c r="F349" s="1" t="s">
        <v>2167</v>
      </c>
      <c r="G349" s="1" t="s">
        <v>2168</v>
      </c>
      <c r="H349" s="1" t="s">
        <v>2169</v>
      </c>
    </row>
    <row r="350" spans="1:8" x14ac:dyDescent="0.3">
      <c r="A350" s="2">
        <v>21009</v>
      </c>
      <c r="B350" s="1" t="s">
        <v>2170</v>
      </c>
      <c r="C350" s="1" t="s">
        <v>2171</v>
      </c>
      <c r="D350" s="1" t="s">
        <v>2172</v>
      </c>
      <c r="E350" s="1" t="s">
        <v>2173</v>
      </c>
      <c r="F350" s="1" t="s">
        <v>2174</v>
      </c>
      <c r="G350" s="1" t="s">
        <v>2175</v>
      </c>
      <c r="H350" s="1" t="s">
        <v>2176</v>
      </c>
    </row>
    <row r="351" spans="1:8" x14ac:dyDescent="0.3">
      <c r="A351" s="2">
        <v>21010</v>
      </c>
      <c r="B351" s="1" t="s">
        <v>2177</v>
      </c>
      <c r="C351" s="1" t="s">
        <v>2178</v>
      </c>
      <c r="D351" s="1" t="s">
        <v>2179</v>
      </c>
      <c r="F351" s="1" t="s">
        <v>2179</v>
      </c>
      <c r="G351" s="1" t="s">
        <v>2180</v>
      </c>
      <c r="H351" s="1" t="s">
        <v>2181</v>
      </c>
    </row>
    <row r="352" spans="1:8" x14ac:dyDescent="0.3">
      <c r="A352" s="2">
        <v>21011</v>
      </c>
      <c r="B352" s="1" t="s">
        <v>2182</v>
      </c>
      <c r="C352" s="1" t="s">
        <v>2183</v>
      </c>
      <c r="D352" s="1" t="s">
        <v>2182</v>
      </c>
      <c r="E352" s="1" t="s">
        <v>2184</v>
      </c>
      <c r="F352" s="1" t="s">
        <v>2185</v>
      </c>
      <c r="G352" s="1" t="s">
        <v>2186</v>
      </c>
      <c r="H352" s="1" t="s">
        <v>2187</v>
      </c>
    </row>
    <row r="353" spans="1:8" x14ac:dyDescent="0.3">
      <c r="A353" s="2">
        <v>21012</v>
      </c>
      <c r="B353" s="1" t="s">
        <v>2188</v>
      </c>
      <c r="C353" s="1" t="s">
        <v>2189</v>
      </c>
      <c r="D353" s="1" t="s">
        <v>2190</v>
      </c>
      <c r="E353" s="1" t="s">
        <v>2191</v>
      </c>
      <c r="F353" s="1" t="s">
        <v>2192</v>
      </c>
      <c r="G353" s="1" t="s">
        <v>2188</v>
      </c>
      <c r="H353" s="1" t="s">
        <v>2193</v>
      </c>
    </row>
    <row r="354" spans="1:8" x14ac:dyDescent="0.3">
      <c r="A354" s="2" t="s">
        <v>2194</v>
      </c>
      <c r="B354" s="1" t="e">
        <f>-에서</f>
        <v>#NAME?</v>
      </c>
      <c r="C354" s="1" t="s">
        <v>2195</v>
      </c>
      <c r="F354" s="1" t="s">
        <v>2196</v>
      </c>
      <c r="G354" s="1" t="s">
        <v>2197</v>
      </c>
      <c r="H354" s="1" t="s">
        <v>2198</v>
      </c>
    </row>
    <row r="355" spans="1:8" x14ac:dyDescent="0.3">
      <c r="A355" s="2">
        <v>21013</v>
      </c>
      <c r="B355" s="1" t="s">
        <v>2199</v>
      </c>
      <c r="C355" s="1" t="s">
        <v>2200</v>
      </c>
      <c r="D355" s="1" t="s">
        <v>2201</v>
      </c>
      <c r="E355" s="1" t="s">
        <v>2202</v>
      </c>
      <c r="F355" s="1" t="s">
        <v>2203</v>
      </c>
      <c r="G355" s="1" t="s">
        <v>2204</v>
      </c>
      <c r="H355" s="1" t="s">
        <v>2205</v>
      </c>
    </row>
    <row r="356" spans="1:8" x14ac:dyDescent="0.3">
      <c r="A356" s="2">
        <v>21014</v>
      </c>
      <c r="B356" s="1" t="s">
        <v>2206</v>
      </c>
      <c r="C356" s="1" t="s">
        <v>2207</v>
      </c>
      <c r="D356" s="1" t="s">
        <v>2208</v>
      </c>
      <c r="E356" s="1" t="s">
        <v>57</v>
      </c>
      <c r="F356" s="1" t="s">
        <v>2209</v>
      </c>
      <c r="G356" s="1" t="s">
        <v>2210</v>
      </c>
      <c r="H356" s="1" t="s">
        <v>2211</v>
      </c>
    </row>
    <row r="357" spans="1:8" x14ac:dyDescent="0.3">
      <c r="A357" s="2">
        <v>21015</v>
      </c>
      <c r="B357" s="1" t="s">
        <v>2212</v>
      </c>
      <c r="C357" s="1" t="s">
        <v>2213</v>
      </c>
      <c r="D357" s="1" t="s">
        <v>2214</v>
      </c>
      <c r="E357" s="1" t="s">
        <v>2215</v>
      </c>
      <c r="F357" s="1" t="s">
        <v>2216</v>
      </c>
      <c r="G357" s="1" t="s">
        <v>2217</v>
      </c>
      <c r="H357" s="1" t="s">
        <v>2218</v>
      </c>
    </row>
    <row r="358" spans="1:8" x14ac:dyDescent="0.3">
      <c r="A358" s="2" t="s">
        <v>2219</v>
      </c>
      <c r="B358" s="1" t="s">
        <v>2220</v>
      </c>
      <c r="C358" s="1" t="s">
        <v>2221</v>
      </c>
      <c r="D358" s="1" t="s">
        <v>2222</v>
      </c>
      <c r="E358" s="1" t="s">
        <v>2223</v>
      </c>
      <c r="F358" s="1" t="s">
        <v>2224</v>
      </c>
      <c r="G358" s="1" t="s">
        <v>2225</v>
      </c>
      <c r="H358" s="1" t="s">
        <v>2226</v>
      </c>
    </row>
    <row r="359" spans="1:8" x14ac:dyDescent="0.3">
      <c r="A359" s="2">
        <v>21016</v>
      </c>
      <c r="B359" s="1" t="s">
        <v>2227</v>
      </c>
      <c r="C359" s="1" t="s">
        <v>2228</v>
      </c>
      <c r="D359" s="1" t="s">
        <v>2229</v>
      </c>
      <c r="E359" s="1" t="s">
        <v>2230</v>
      </c>
      <c r="F359" s="1" t="s">
        <v>2231</v>
      </c>
      <c r="G359" s="1" t="s">
        <v>2231</v>
      </c>
      <c r="H359" s="1" t="s">
        <v>2229</v>
      </c>
    </row>
    <row r="360" spans="1:8" x14ac:dyDescent="0.3">
      <c r="A360" s="2">
        <v>21017</v>
      </c>
      <c r="B360" s="1" t="s">
        <v>2232</v>
      </c>
      <c r="C360" s="1" t="s">
        <v>57</v>
      </c>
      <c r="D360" s="1" t="s">
        <v>57</v>
      </c>
      <c r="E360" s="1" t="s">
        <v>57</v>
      </c>
      <c r="F360" s="1" t="s">
        <v>57</v>
      </c>
      <c r="G360" s="1" t="s">
        <v>57</v>
      </c>
      <c r="H360" s="1" t="s">
        <v>2233</v>
      </c>
    </row>
    <row r="361" spans="1:8" x14ac:dyDescent="0.3">
      <c r="A361" s="2">
        <v>21018</v>
      </c>
      <c r="B361" s="1" t="s">
        <v>2234</v>
      </c>
      <c r="C361" s="1" t="s">
        <v>2235</v>
      </c>
      <c r="D361" s="1" t="s">
        <v>2236</v>
      </c>
      <c r="E361" s="1" t="s">
        <v>57</v>
      </c>
      <c r="F361" s="1" t="s">
        <v>2237</v>
      </c>
      <c r="G361" s="1" t="s">
        <v>57</v>
      </c>
      <c r="H361" s="1" t="s">
        <v>57</v>
      </c>
    </row>
    <row r="362" spans="1:8" x14ac:dyDescent="0.3">
      <c r="A362" s="2">
        <v>21019</v>
      </c>
      <c r="B362" s="1" t="s">
        <v>2238</v>
      </c>
      <c r="C362" s="1" t="s">
        <v>2239</v>
      </c>
      <c r="D362" s="1" t="s">
        <v>2240</v>
      </c>
      <c r="E362" s="1" t="s">
        <v>2241</v>
      </c>
      <c r="F362" s="1" t="s">
        <v>2242</v>
      </c>
      <c r="G362" s="1" t="s">
        <v>57</v>
      </c>
      <c r="H362" s="1" t="s">
        <v>2243</v>
      </c>
    </row>
    <row r="363" spans="1:8" x14ac:dyDescent="0.3">
      <c r="A363" s="2" t="s">
        <v>2244</v>
      </c>
      <c r="B363" s="1" t="s">
        <v>2245</v>
      </c>
      <c r="C363" s="1" t="s">
        <v>2246</v>
      </c>
      <c r="G363" s="1" t="s">
        <v>2247</v>
      </c>
      <c r="H363" s="1" t="s">
        <v>57</v>
      </c>
    </row>
    <row r="364" spans="1:8" x14ac:dyDescent="0.3">
      <c r="A364" s="2">
        <v>21020</v>
      </c>
      <c r="B364" s="1" t="s">
        <v>2248</v>
      </c>
      <c r="C364" s="1" t="s">
        <v>2249</v>
      </c>
      <c r="D364" s="1" t="s">
        <v>2250</v>
      </c>
      <c r="E364" s="1" t="s">
        <v>2251</v>
      </c>
      <c r="F364" s="1" t="s">
        <v>2252</v>
      </c>
      <c r="G364" s="1" t="s">
        <v>2253</v>
      </c>
      <c r="H364" s="1" t="s">
        <v>2254</v>
      </c>
    </row>
    <row r="365" spans="1:8" x14ac:dyDescent="0.3">
      <c r="A365" s="2" t="s">
        <v>2255</v>
      </c>
      <c r="B365" s="1" t="e">
        <f>-을</f>
        <v>#NAME?</v>
      </c>
      <c r="C365" s="1" t="s">
        <v>2256</v>
      </c>
      <c r="D365" s="1" t="s">
        <v>2257</v>
      </c>
      <c r="E365" s="1" t="s">
        <v>2258</v>
      </c>
      <c r="F365" s="1" t="s">
        <v>2259</v>
      </c>
      <c r="G365" s="1" t="s">
        <v>2260</v>
      </c>
      <c r="H365" s="1" t="s">
        <v>2258</v>
      </c>
    </row>
    <row r="366" spans="1:8" x14ac:dyDescent="0.3">
      <c r="A366" s="2">
        <v>21021</v>
      </c>
      <c r="B366" s="1" t="s">
        <v>2261</v>
      </c>
      <c r="C366" s="1" t="s">
        <v>2262</v>
      </c>
      <c r="D366" s="1" t="s">
        <v>2263</v>
      </c>
      <c r="E366" s="1" t="s">
        <v>2264</v>
      </c>
      <c r="F366" s="1" t="s">
        <v>2265</v>
      </c>
      <c r="G366" s="1" t="s">
        <v>2265</v>
      </c>
      <c r="H366" s="1" t="s">
        <v>2264</v>
      </c>
    </row>
    <row r="367" spans="1:8" x14ac:dyDescent="0.3">
      <c r="A367" s="2">
        <v>21022</v>
      </c>
      <c r="B367" s="1" t="s">
        <v>2266</v>
      </c>
      <c r="C367" s="1" t="s">
        <v>2267</v>
      </c>
      <c r="D367" s="1" t="s">
        <v>2268</v>
      </c>
      <c r="E367" s="1" t="s">
        <v>2269</v>
      </c>
      <c r="F367" s="1" t="s">
        <v>2269</v>
      </c>
      <c r="G367" s="1" t="s">
        <v>2270</v>
      </c>
      <c r="H367" s="1" t="s">
        <v>2271</v>
      </c>
    </row>
    <row r="368" spans="1:8" x14ac:dyDescent="0.3">
      <c r="A368" s="2">
        <v>21023</v>
      </c>
      <c r="B368" s="1" t="s">
        <v>2272</v>
      </c>
      <c r="C368" s="1" t="s">
        <v>2273</v>
      </c>
      <c r="D368" s="1" t="s">
        <v>2274</v>
      </c>
      <c r="E368" s="1" t="s">
        <v>2274</v>
      </c>
      <c r="F368" s="1" t="s">
        <v>2275</v>
      </c>
      <c r="G368" s="1" t="s">
        <v>2276</v>
      </c>
      <c r="H368" s="1" t="s">
        <v>2277</v>
      </c>
    </row>
    <row r="369" spans="1:8" x14ac:dyDescent="0.3">
      <c r="A369" s="2" t="s">
        <v>2278</v>
      </c>
      <c r="B369" s="1" t="e">
        <f>-을</f>
        <v>#NAME?</v>
      </c>
      <c r="C369" s="1" t="s">
        <v>2279</v>
      </c>
      <c r="E369" s="1" t="s">
        <v>2280</v>
      </c>
      <c r="F369" s="1" t="s">
        <v>2281</v>
      </c>
      <c r="G369" s="1" t="s">
        <v>2282</v>
      </c>
      <c r="H369" s="1" t="s">
        <v>2283</v>
      </c>
    </row>
    <row r="370" spans="1:8" x14ac:dyDescent="0.3">
      <c r="A370" s="2">
        <v>21024</v>
      </c>
      <c r="B370" s="1" t="s">
        <v>2284</v>
      </c>
      <c r="C370" s="1" t="s">
        <v>2285</v>
      </c>
      <c r="D370" s="1" t="s">
        <v>2286</v>
      </c>
      <c r="E370" s="1" t="s">
        <v>2287</v>
      </c>
      <c r="F370" s="1" t="s">
        <v>2288</v>
      </c>
      <c r="G370" s="1" t="s">
        <v>2287</v>
      </c>
      <c r="H370" s="1" t="s">
        <v>2287</v>
      </c>
    </row>
    <row r="371" spans="1:8" x14ac:dyDescent="0.3">
      <c r="A371" s="2">
        <v>21101</v>
      </c>
      <c r="B371" s="1" t="s">
        <v>2289</v>
      </c>
      <c r="C371" s="1" t="s">
        <v>2290</v>
      </c>
      <c r="D371" s="1" t="s">
        <v>2291</v>
      </c>
      <c r="E371" s="1" t="s">
        <v>2292</v>
      </c>
      <c r="F371" s="1" t="s">
        <v>2293</v>
      </c>
      <c r="G371" s="1" t="s">
        <v>2294</v>
      </c>
      <c r="H371" s="1" t="s">
        <v>2295</v>
      </c>
    </row>
    <row r="372" spans="1:8" x14ac:dyDescent="0.3">
      <c r="A372" s="2">
        <v>21102</v>
      </c>
      <c r="B372" s="1" t="s">
        <v>2296</v>
      </c>
      <c r="C372" s="1" t="s">
        <v>2297</v>
      </c>
      <c r="D372" s="1" t="s">
        <v>2296</v>
      </c>
      <c r="E372" s="1" t="s">
        <v>2298</v>
      </c>
      <c r="F372" s="1" t="s">
        <v>2299</v>
      </c>
      <c r="G372" s="1" t="s">
        <v>2300</v>
      </c>
      <c r="H372" s="1" t="s">
        <v>2301</v>
      </c>
    </row>
    <row r="373" spans="1:8" x14ac:dyDescent="0.3">
      <c r="A373" s="2">
        <v>21103</v>
      </c>
      <c r="B373" s="1" t="s">
        <v>2302</v>
      </c>
      <c r="C373" s="1" t="s">
        <v>2303</v>
      </c>
      <c r="D373" s="1" t="s">
        <v>2304</v>
      </c>
      <c r="E373" s="1" t="s">
        <v>2305</v>
      </c>
      <c r="F373" s="1" t="s">
        <v>2306</v>
      </c>
      <c r="G373" s="1" t="s">
        <v>2307</v>
      </c>
      <c r="H373" s="1" t="s">
        <v>2308</v>
      </c>
    </row>
    <row r="374" spans="1:8" x14ac:dyDescent="0.3">
      <c r="A374" s="2" t="s">
        <v>2309</v>
      </c>
      <c r="B374" s="1" t="e">
        <f>-어서</f>
        <v>#NAME?</v>
      </c>
      <c r="C374" s="1" t="s">
        <v>2310</v>
      </c>
      <c r="D374" s="1" t="s">
        <v>2311</v>
      </c>
      <c r="E374" s="1" t="s">
        <v>2312</v>
      </c>
      <c r="F374" s="1" t="s">
        <v>2313</v>
      </c>
      <c r="G374" s="1" t="s">
        <v>2314</v>
      </c>
      <c r="H374" s="1" t="s">
        <v>2315</v>
      </c>
    </row>
    <row r="375" spans="1:8" x14ac:dyDescent="0.3">
      <c r="A375" s="2">
        <v>21104</v>
      </c>
      <c r="B375" s="1" t="s">
        <v>2316</v>
      </c>
      <c r="C375" s="1" t="s">
        <v>2317</v>
      </c>
      <c r="D375" s="1" t="s">
        <v>2318</v>
      </c>
      <c r="E375" s="1" t="s">
        <v>2319</v>
      </c>
      <c r="F375" s="1" t="s">
        <v>2320</v>
      </c>
      <c r="G375" s="1" t="s">
        <v>2321</v>
      </c>
      <c r="H375" s="1" t="s">
        <v>2322</v>
      </c>
    </row>
    <row r="376" spans="1:8" x14ac:dyDescent="0.3">
      <c r="A376" s="2">
        <v>21105</v>
      </c>
      <c r="B376" s="1" t="s">
        <v>2323</v>
      </c>
      <c r="C376" s="1" t="s">
        <v>2324</v>
      </c>
      <c r="D376" s="1" t="s">
        <v>2325</v>
      </c>
      <c r="E376" s="1" t="s">
        <v>2326</v>
      </c>
      <c r="F376" s="1" t="s">
        <v>2327</v>
      </c>
      <c r="G376" s="1" t="s">
        <v>2328</v>
      </c>
      <c r="H376" s="1" t="s">
        <v>2329</v>
      </c>
    </row>
    <row r="377" spans="1:8" x14ac:dyDescent="0.3">
      <c r="A377" s="2">
        <v>21106</v>
      </c>
      <c r="B377" s="1" t="s">
        <v>2330</v>
      </c>
      <c r="C377" s="1" t="s">
        <v>2331</v>
      </c>
      <c r="D377" s="1" t="s">
        <v>2332</v>
      </c>
      <c r="E377" s="1" t="s">
        <v>2333</v>
      </c>
      <c r="F377" s="1" t="s">
        <v>2334</v>
      </c>
      <c r="G377" s="1" t="s">
        <v>2335</v>
      </c>
      <c r="H377" s="1" t="s">
        <v>2336</v>
      </c>
    </row>
    <row r="378" spans="1:8" x14ac:dyDescent="0.3">
      <c r="A378" s="2">
        <v>21107</v>
      </c>
      <c r="B378" s="1" t="s">
        <v>2337</v>
      </c>
      <c r="C378" s="1" t="s">
        <v>2338</v>
      </c>
      <c r="D378" s="1" t="s">
        <v>2339</v>
      </c>
      <c r="E378" s="1" t="s">
        <v>2340</v>
      </c>
      <c r="F378" s="1" t="s">
        <v>2341</v>
      </c>
      <c r="G378" s="1" t="s">
        <v>57</v>
      </c>
      <c r="H378" s="1" t="s">
        <v>2342</v>
      </c>
    </row>
    <row r="379" spans="1:8" x14ac:dyDescent="0.3">
      <c r="A379" s="2">
        <v>21108</v>
      </c>
      <c r="B379" s="1" t="s">
        <v>2343</v>
      </c>
      <c r="C379" s="1" t="s">
        <v>2344</v>
      </c>
      <c r="D379" s="1" t="s">
        <v>2345</v>
      </c>
      <c r="E379" s="1" t="s">
        <v>2346</v>
      </c>
      <c r="F379" s="1" t="s">
        <v>2347</v>
      </c>
      <c r="G379" s="1" t="s">
        <v>2348</v>
      </c>
      <c r="H379" s="1" t="s">
        <v>2349</v>
      </c>
    </row>
    <row r="380" spans="1:8" x14ac:dyDescent="0.3">
      <c r="A380" s="2">
        <v>21109</v>
      </c>
      <c r="B380" s="1" t="s">
        <v>2350</v>
      </c>
      <c r="C380" s="1" t="s">
        <v>2351</v>
      </c>
      <c r="D380" s="1" t="s">
        <v>2352</v>
      </c>
      <c r="E380" s="1" t="s">
        <v>2353</v>
      </c>
      <c r="F380" s="1" t="s">
        <v>2354</v>
      </c>
      <c r="G380" s="1" t="s">
        <v>2355</v>
      </c>
      <c r="H380" s="1" t="s">
        <v>2356</v>
      </c>
    </row>
    <row r="381" spans="1:8" x14ac:dyDescent="0.3">
      <c r="A381" s="2">
        <v>21110</v>
      </c>
      <c r="B381" s="1" t="s">
        <v>2357</v>
      </c>
      <c r="C381" s="1" t="s">
        <v>2358</v>
      </c>
      <c r="D381" s="1" t="s">
        <v>2359</v>
      </c>
      <c r="E381" s="1" t="s">
        <v>2357</v>
      </c>
      <c r="F381" s="1" t="s">
        <v>2359</v>
      </c>
      <c r="G381" s="1" t="s">
        <v>2360</v>
      </c>
      <c r="H381" s="1" t="s">
        <v>2361</v>
      </c>
    </row>
    <row r="382" spans="1:8" x14ac:dyDescent="0.3">
      <c r="A382" s="2">
        <v>21111</v>
      </c>
      <c r="B382" s="1" t="s">
        <v>2362</v>
      </c>
      <c r="D382" s="1" t="s">
        <v>2363</v>
      </c>
      <c r="E382" s="1" t="s">
        <v>2364</v>
      </c>
      <c r="F382" s="1" t="s">
        <v>2365</v>
      </c>
      <c r="G382" s="1" t="s">
        <v>2366</v>
      </c>
      <c r="H382" s="1" t="s">
        <v>2364</v>
      </c>
    </row>
    <row r="383" spans="1:8" x14ac:dyDescent="0.3">
      <c r="A383" s="2">
        <v>21112</v>
      </c>
      <c r="B383" s="1" t="s">
        <v>2367</v>
      </c>
      <c r="C383" s="1" t="s">
        <v>2368</v>
      </c>
      <c r="D383" s="1" t="s">
        <v>2369</v>
      </c>
      <c r="E383" s="1" t="s">
        <v>2370</v>
      </c>
      <c r="F383" s="1" t="s">
        <v>2371</v>
      </c>
      <c r="G383" s="1" t="s">
        <v>2372</v>
      </c>
      <c r="H383" s="1" t="s">
        <v>2373</v>
      </c>
    </row>
    <row r="384" spans="1:8" x14ac:dyDescent="0.3">
      <c r="A384" s="2">
        <v>21113</v>
      </c>
      <c r="B384" s="1" t="s">
        <v>2374</v>
      </c>
      <c r="C384" s="1" t="s">
        <v>2375</v>
      </c>
      <c r="D384" s="1" t="s">
        <v>2376</v>
      </c>
      <c r="E384" s="1" t="s">
        <v>2377</v>
      </c>
      <c r="F384" s="1" t="s">
        <v>2378</v>
      </c>
      <c r="G384" s="1" t="s">
        <v>2379</v>
      </c>
      <c r="H384" s="1" t="s">
        <v>2376</v>
      </c>
    </row>
    <row r="385" spans="1:8" x14ac:dyDescent="0.3">
      <c r="A385" s="2" t="s">
        <v>2380</v>
      </c>
      <c r="B385" s="1" t="s">
        <v>2381</v>
      </c>
      <c r="C385" s="1" t="s">
        <v>2382</v>
      </c>
      <c r="D385" s="1" t="s">
        <v>2383</v>
      </c>
      <c r="E385" s="1" t="s">
        <v>2384</v>
      </c>
      <c r="F385" s="1" t="s">
        <v>2385</v>
      </c>
      <c r="G385" s="1" t="s">
        <v>2386</v>
      </c>
      <c r="H385" s="1" t="s">
        <v>2387</v>
      </c>
    </row>
    <row r="386" spans="1:8" x14ac:dyDescent="0.3">
      <c r="A386" s="2">
        <v>21114</v>
      </c>
      <c r="B386" s="1" t="s">
        <v>2388</v>
      </c>
      <c r="C386" s="1" t="s">
        <v>2389</v>
      </c>
      <c r="D386" s="1" t="s">
        <v>2388</v>
      </c>
      <c r="E386" s="1" t="s">
        <v>2388</v>
      </c>
      <c r="F386" s="1" t="s">
        <v>2390</v>
      </c>
      <c r="G386" s="1" t="s">
        <v>2391</v>
      </c>
      <c r="H386" s="1" t="s">
        <v>2388</v>
      </c>
    </row>
    <row r="387" spans="1:8" x14ac:dyDescent="0.3">
      <c r="A387" s="2">
        <v>21115</v>
      </c>
      <c r="B387" s="1" t="s">
        <v>2392</v>
      </c>
      <c r="C387" s="1" t="s">
        <v>2393</v>
      </c>
      <c r="D387" s="1" t="s">
        <v>2394</v>
      </c>
      <c r="E387" s="1" t="s">
        <v>2392</v>
      </c>
      <c r="F387" s="1" t="s">
        <v>2395</v>
      </c>
      <c r="G387" s="1" t="s">
        <v>2396</v>
      </c>
      <c r="H387" s="1" t="s">
        <v>2397</v>
      </c>
    </row>
    <row r="388" spans="1:8" x14ac:dyDescent="0.3">
      <c r="A388" s="2" t="s">
        <v>2398</v>
      </c>
      <c r="B388" s="1" t="e">
        <f>-에</f>
        <v>#NAME?</v>
      </c>
      <c r="C388" s="1" t="s">
        <v>2399</v>
      </c>
      <c r="D388" s="1" t="s">
        <v>2400</v>
      </c>
      <c r="E388" s="1" t="s">
        <v>2401</v>
      </c>
      <c r="F388" s="1" t="s">
        <v>2402</v>
      </c>
      <c r="G388" s="1" t="s">
        <v>2403</v>
      </c>
      <c r="H388" s="1" t="s">
        <v>2404</v>
      </c>
    </row>
    <row r="389" spans="1:8" x14ac:dyDescent="0.3">
      <c r="A389" s="2" t="s">
        <v>2405</v>
      </c>
      <c r="B389" s="1" t="e">
        <f>-도</f>
        <v>#NAME?</v>
      </c>
      <c r="C389" s="1" t="s">
        <v>2406</v>
      </c>
      <c r="D389" s="1" t="s">
        <v>2407</v>
      </c>
      <c r="E389" s="1" t="s">
        <v>2408</v>
      </c>
      <c r="F389" s="1" t="s">
        <v>2409</v>
      </c>
      <c r="G389" s="1" t="s">
        <v>2410</v>
      </c>
      <c r="H389" s="1" t="s">
        <v>2411</v>
      </c>
    </row>
    <row r="390" spans="1:8" x14ac:dyDescent="0.3">
      <c r="A390" s="2">
        <v>21116</v>
      </c>
      <c r="B390" s="1" t="s">
        <v>2412</v>
      </c>
      <c r="C390" s="1" t="s">
        <v>2413</v>
      </c>
      <c r="D390" s="1" t="s">
        <v>2414</v>
      </c>
      <c r="E390" s="1" t="s">
        <v>2415</v>
      </c>
      <c r="F390" s="1" t="s">
        <v>2416</v>
      </c>
      <c r="G390" s="1" t="s">
        <v>2417</v>
      </c>
      <c r="H390" s="1" t="s">
        <v>2416</v>
      </c>
    </row>
    <row r="391" spans="1:8" x14ac:dyDescent="0.3">
      <c r="A391" s="2">
        <v>21117</v>
      </c>
      <c r="B391" s="1" t="s">
        <v>2418</v>
      </c>
      <c r="C391" s="1" t="s">
        <v>2419</v>
      </c>
      <c r="D391" s="1" t="s">
        <v>2420</v>
      </c>
      <c r="E391" s="1" t="s">
        <v>2421</v>
      </c>
      <c r="F391" s="1" t="s">
        <v>2422</v>
      </c>
      <c r="G391" s="1" t="s">
        <v>2423</v>
      </c>
      <c r="H391" s="1" t="s">
        <v>2424</v>
      </c>
    </row>
    <row r="392" spans="1:8" x14ac:dyDescent="0.3">
      <c r="A392" s="2" t="s">
        <v>2425</v>
      </c>
      <c r="B392" s="1" t="e">
        <f>-에서</f>
        <v>#NAME?</v>
      </c>
      <c r="C392" s="1" t="s">
        <v>2426</v>
      </c>
      <c r="D392" s="1" t="s">
        <v>2427</v>
      </c>
      <c r="F392" s="1" t="s">
        <v>2428</v>
      </c>
      <c r="G392" s="1" t="s">
        <v>2429</v>
      </c>
      <c r="H392" s="1" t="s">
        <v>2430</v>
      </c>
    </row>
    <row r="393" spans="1:8" x14ac:dyDescent="0.3">
      <c r="A393" s="2">
        <v>21118</v>
      </c>
      <c r="B393" s="1" t="s">
        <v>2431</v>
      </c>
      <c r="D393" s="1" t="s">
        <v>2432</v>
      </c>
      <c r="E393" s="1" t="s">
        <v>2433</v>
      </c>
      <c r="F393" s="1" t="s">
        <v>2434</v>
      </c>
      <c r="G393" s="1" t="s">
        <v>2435</v>
      </c>
      <c r="H393" s="1" t="s">
        <v>2436</v>
      </c>
    </row>
    <row r="394" spans="1:8" x14ac:dyDescent="0.3">
      <c r="A394" s="2" t="s">
        <v>2437</v>
      </c>
      <c r="B394" s="1" t="e">
        <f>-에</f>
        <v>#NAME?</v>
      </c>
      <c r="C394" s="1" t="s">
        <v>2438</v>
      </c>
      <c r="E394" s="1" t="s">
        <v>2439</v>
      </c>
      <c r="F394" s="1" t="s">
        <v>2440</v>
      </c>
      <c r="G394" s="1" t="s">
        <v>2441</v>
      </c>
      <c r="H394" s="1" t="s">
        <v>2442</v>
      </c>
    </row>
    <row r="395" spans="1:8" x14ac:dyDescent="0.3">
      <c r="A395" s="2">
        <v>21119</v>
      </c>
      <c r="B395" s="1" t="s">
        <v>2443</v>
      </c>
      <c r="C395" s="1" t="s">
        <v>2444</v>
      </c>
      <c r="D395" s="1" t="s">
        <v>2445</v>
      </c>
      <c r="E395" s="1" t="s">
        <v>2446</v>
      </c>
      <c r="F395" s="1" t="s">
        <v>2447</v>
      </c>
      <c r="G395" s="1" t="s">
        <v>2448</v>
      </c>
      <c r="H395" s="1" t="s">
        <v>2449</v>
      </c>
    </row>
    <row r="396" spans="1:8" x14ac:dyDescent="0.3">
      <c r="A396" s="2">
        <v>21120</v>
      </c>
      <c r="B396" s="1" t="s">
        <v>2450</v>
      </c>
      <c r="C396" s="1" t="s">
        <v>2451</v>
      </c>
      <c r="D396" s="1" t="s">
        <v>2452</v>
      </c>
      <c r="E396" s="1" t="s">
        <v>2453</v>
      </c>
      <c r="F396" s="1" t="s">
        <v>2454</v>
      </c>
      <c r="G396" s="1" t="s">
        <v>2455</v>
      </c>
      <c r="H396" s="1" t="s">
        <v>2453</v>
      </c>
    </row>
    <row r="397" spans="1:8" x14ac:dyDescent="0.3">
      <c r="A397" s="2">
        <v>21201</v>
      </c>
      <c r="B397" s="1" t="s">
        <v>2456</v>
      </c>
      <c r="C397" s="1" t="s">
        <v>2457</v>
      </c>
      <c r="D397" s="1" t="s">
        <v>2458</v>
      </c>
      <c r="E397" s="1" t="s">
        <v>2459</v>
      </c>
      <c r="F397" s="1" t="s">
        <v>2460</v>
      </c>
      <c r="G397" s="1" t="s">
        <v>2461</v>
      </c>
      <c r="H397" s="1" t="s">
        <v>2462</v>
      </c>
    </row>
    <row r="398" spans="1:8" x14ac:dyDescent="0.3">
      <c r="A398" s="2">
        <v>21202</v>
      </c>
      <c r="B398" s="1" t="s">
        <v>2463</v>
      </c>
      <c r="C398" s="1" t="s">
        <v>2464</v>
      </c>
      <c r="D398" s="1" t="s">
        <v>2465</v>
      </c>
      <c r="E398" s="1" t="s">
        <v>2466</v>
      </c>
      <c r="F398" s="1" t="s">
        <v>2467</v>
      </c>
      <c r="G398" s="1" t="s">
        <v>2468</v>
      </c>
      <c r="H398" s="1" t="s">
        <v>2469</v>
      </c>
    </row>
    <row r="399" spans="1:8" x14ac:dyDescent="0.3">
      <c r="A399" s="2">
        <v>21203</v>
      </c>
      <c r="B399" s="1" t="s">
        <v>2470</v>
      </c>
      <c r="C399" s="1" t="s">
        <v>2471</v>
      </c>
      <c r="D399" s="1" t="s">
        <v>2472</v>
      </c>
      <c r="E399" s="1" t="s">
        <v>2473</v>
      </c>
      <c r="F399" s="1" t="s">
        <v>57</v>
      </c>
      <c r="G399" s="1" t="s">
        <v>2474</v>
      </c>
      <c r="H399" s="1" t="s">
        <v>2475</v>
      </c>
    </row>
    <row r="400" spans="1:8" x14ac:dyDescent="0.3">
      <c r="A400" s="2" t="s">
        <v>2476</v>
      </c>
      <c r="B400" s="1" t="e">
        <f>-이</f>
        <v>#NAME?</v>
      </c>
      <c r="C400" s="1" t="s">
        <v>2477</v>
      </c>
      <c r="E400" s="1" t="s">
        <v>2478</v>
      </c>
      <c r="F400" s="1" t="s">
        <v>2479</v>
      </c>
      <c r="G400" s="1" t="s">
        <v>2480</v>
      </c>
      <c r="H400" s="1" t="s">
        <v>2481</v>
      </c>
    </row>
    <row r="401" spans="1:8" x14ac:dyDescent="0.3">
      <c r="A401" s="2" t="s">
        <v>2482</v>
      </c>
      <c r="B401" s="1" t="e">
        <f>-에</f>
        <v>#NAME?</v>
      </c>
      <c r="C401" s="1" t="s">
        <v>2483</v>
      </c>
      <c r="D401" s="1" t="s">
        <v>2484</v>
      </c>
      <c r="E401" s="1" t="s">
        <v>2485</v>
      </c>
      <c r="F401" s="1" t="s">
        <v>2486</v>
      </c>
      <c r="G401" s="1" t="s">
        <v>2487</v>
      </c>
      <c r="H401" s="1" t="s">
        <v>2488</v>
      </c>
    </row>
    <row r="402" spans="1:8" x14ac:dyDescent="0.3">
      <c r="A402" s="2">
        <v>21204</v>
      </c>
      <c r="B402" s="1" t="s">
        <v>2489</v>
      </c>
      <c r="C402" s="1" t="s">
        <v>2490</v>
      </c>
      <c r="D402" s="1" t="s">
        <v>2491</v>
      </c>
      <c r="E402" s="1" t="s">
        <v>2492</v>
      </c>
      <c r="F402" s="1" t="s">
        <v>2493</v>
      </c>
      <c r="G402" s="1" t="s">
        <v>2494</v>
      </c>
      <c r="H402" s="1" t="s">
        <v>2495</v>
      </c>
    </row>
    <row r="403" spans="1:8" x14ac:dyDescent="0.3">
      <c r="A403" s="2">
        <v>21205</v>
      </c>
      <c r="B403" s="1" t="s">
        <v>2496</v>
      </c>
      <c r="C403" s="1" t="s">
        <v>2497</v>
      </c>
      <c r="D403" s="1" t="s">
        <v>2498</v>
      </c>
      <c r="E403" s="1" t="s">
        <v>2499</v>
      </c>
      <c r="F403" s="1" t="s">
        <v>2500</v>
      </c>
      <c r="G403" s="1" t="s">
        <v>2501</v>
      </c>
      <c r="H403" s="1" t="s">
        <v>2502</v>
      </c>
    </row>
    <row r="404" spans="1:8" x14ac:dyDescent="0.3">
      <c r="A404" s="2">
        <v>21206</v>
      </c>
      <c r="B404" s="1" t="s">
        <v>2503</v>
      </c>
      <c r="C404" s="1" t="s">
        <v>2504</v>
      </c>
      <c r="D404" s="1" t="s">
        <v>2505</v>
      </c>
      <c r="E404" s="1" t="s">
        <v>2503</v>
      </c>
      <c r="F404" s="1" t="s">
        <v>2506</v>
      </c>
      <c r="G404" s="1" t="s">
        <v>2507</v>
      </c>
      <c r="H404" s="1" t="s">
        <v>2508</v>
      </c>
    </row>
    <row r="405" spans="1:8" x14ac:dyDescent="0.3">
      <c r="A405" s="2">
        <v>21207</v>
      </c>
      <c r="B405" s="1" t="s">
        <v>2509</v>
      </c>
      <c r="C405" s="1" t="s">
        <v>2510</v>
      </c>
      <c r="D405" s="1" t="s">
        <v>2511</v>
      </c>
      <c r="E405" s="1" t="s">
        <v>2512</v>
      </c>
      <c r="F405" s="1" t="s">
        <v>2513</v>
      </c>
      <c r="G405" s="1" t="s">
        <v>2514</v>
      </c>
      <c r="H405" s="1" t="s">
        <v>2515</v>
      </c>
    </row>
    <row r="406" spans="1:8" x14ac:dyDescent="0.3">
      <c r="A406" s="2">
        <v>21208</v>
      </c>
      <c r="B406" s="1" t="s">
        <v>2516</v>
      </c>
      <c r="C406" s="1" t="s">
        <v>2517</v>
      </c>
      <c r="D406" s="1" t="s">
        <v>2518</v>
      </c>
      <c r="E406" s="1" t="s">
        <v>2519</v>
      </c>
      <c r="F406" s="1" t="s">
        <v>2520</v>
      </c>
      <c r="G406" s="1" t="s">
        <v>2521</v>
      </c>
      <c r="H406" s="1" t="s">
        <v>2522</v>
      </c>
    </row>
    <row r="407" spans="1:8" x14ac:dyDescent="0.3">
      <c r="A407" s="2" t="s">
        <v>2523</v>
      </c>
      <c r="B407" s="1" t="e">
        <f>-을</f>
        <v>#NAME?</v>
      </c>
      <c r="C407" s="1" t="s">
        <v>2524</v>
      </c>
      <c r="D407" s="1" t="s">
        <v>2525</v>
      </c>
      <c r="E407" s="1" t="s">
        <v>2526</v>
      </c>
      <c r="F407" s="1" t="s">
        <v>57</v>
      </c>
      <c r="G407" s="1" t="s">
        <v>2527</v>
      </c>
      <c r="H407" s="1" t="s">
        <v>2528</v>
      </c>
    </row>
    <row r="408" spans="1:8" x14ac:dyDescent="0.3">
      <c r="A408" s="2" t="s">
        <v>2529</v>
      </c>
      <c r="B408" s="1" t="e">
        <f>-에</f>
        <v>#NAME?</v>
      </c>
      <c r="C408" s="1" t="s">
        <v>2530</v>
      </c>
      <c r="E408" s="1" t="s">
        <v>2531</v>
      </c>
      <c r="F408" s="1" t="s">
        <v>2532</v>
      </c>
      <c r="G408" s="1" t="s">
        <v>2533</v>
      </c>
      <c r="H408" s="1" t="s">
        <v>2534</v>
      </c>
    </row>
    <row r="409" spans="1:8" x14ac:dyDescent="0.3">
      <c r="A409" s="2">
        <v>21209</v>
      </c>
      <c r="B409" s="1" t="s">
        <v>2535</v>
      </c>
      <c r="C409" s="1" t="s">
        <v>2536</v>
      </c>
      <c r="D409" s="1" t="s">
        <v>2537</v>
      </c>
      <c r="E409" s="1" t="s">
        <v>2538</v>
      </c>
      <c r="F409" s="1" t="s">
        <v>2539</v>
      </c>
      <c r="G409" s="1" t="s">
        <v>2538</v>
      </c>
      <c r="H409" s="1" t="s">
        <v>2540</v>
      </c>
    </row>
    <row r="410" spans="1:8" x14ac:dyDescent="0.3">
      <c r="A410" s="2">
        <v>21210</v>
      </c>
      <c r="B410" s="1" t="s">
        <v>2541</v>
      </c>
      <c r="C410" s="1" t="s">
        <v>2542</v>
      </c>
      <c r="D410" s="1" t="s">
        <v>2543</v>
      </c>
      <c r="E410" s="1" t="s">
        <v>2544</v>
      </c>
      <c r="F410" s="1" t="s">
        <v>2545</v>
      </c>
      <c r="G410" s="1" t="s">
        <v>2546</v>
      </c>
      <c r="H410" s="1" t="s">
        <v>2547</v>
      </c>
    </row>
    <row r="411" spans="1:8" x14ac:dyDescent="0.3">
      <c r="A411" s="2">
        <v>21211</v>
      </c>
      <c r="B411" s="1" t="s">
        <v>2548</v>
      </c>
      <c r="C411" s="1" t="s">
        <v>2549</v>
      </c>
      <c r="D411" s="1" t="s">
        <v>2550</v>
      </c>
      <c r="E411" s="1" t="s">
        <v>2551</v>
      </c>
      <c r="F411" s="1" t="s">
        <v>2552</v>
      </c>
      <c r="G411" s="1" t="s">
        <v>2553</v>
      </c>
      <c r="H411" s="1" t="s">
        <v>2548</v>
      </c>
    </row>
    <row r="412" spans="1:8" x14ac:dyDescent="0.3">
      <c r="A412" s="2">
        <v>21212</v>
      </c>
      <c r="B412" s="1" t="s">
        <v>2554</v>
      </c>
      <c r="C412" s="1" t="s">
        <v>2555</v>
      </c>
      <c r="D412" s="1" t="s">
        <v>2556</v>
      </c>
      <c r="E412" s="1" t="s">
        <v>2557</v>
      </c>
      <c r="F412" s="1" t="s">
        <v>2558</v>
      </c>
      <c r="G412" s="1" t="s">
        <v>2559</v>
      </c>
      <c r="H412" s="1" t="s">
        <v>2554</v>
      </c>
    </row>
    <row r="413" spans="1:8" x14ac:dyDescent="0.3">
      <c r="A413" s="2">
        <v>21213</v>
      </c>
      <c r="B413" s="1" t="s">
        <v>2560</v>
      </c>
      <c r="C413" s="1" t="s">
        <v>2561</v>
      </c>
      <c r="D413" s="1" t="s">
        <v>2562</v>
      </c>
      <c r="E413" s="1" t="s">
        <v>2563</v>
      </c>
      <c r="F413" s="1" t="s">
        <v>2564</v>
      </c>
      <c r="G413" s="1" t="s">
        <v>2560</v>
      </c>
      <c r="H413" s="1" t="s">
        <v>2560</v>
      </c>
    </row>
    <row r="414" spans="1:8" x14ac:dyDescent="0.3">
      <c r="A414" s="2">
        <v>21214</v>
      </c>
      <c r="B414" s="1" t="s">
        <v>2565</v>
      </c>
      <c r="C414" s="1" t="s">
        <v>2566</v>
      </c>
      <c r="D414" s="1" t="s">
        <v>2567</v>
      </c>
      <c r="E414" s="1" t="s">
        <v>2568</v>
      </c>
      <c r="F414" s="1" t="s">
        <v>2569</v>
      </c>
      <c r="G414" s="1" t="s">
        <v>2570</v>
      </c>
      <c r="H414" s="1" t="s">
        <v>2571</v>
      </c>
    </row>
    <row r="415" spans="1:8" x14ac:dyDescent="0.3">
      <c r="A415" s="2">
        <v>21215</v>
      </c>
      <c r="B415" s="1" t="s">
        <v>2572</v>
      </c>
      <c r="C415" s="1" t="s">
        <v>2573</v>
      </c>
      <c r="D415" s="1" t="s">
        <v>2574</v>
      </c>
      <c r="E415" s="1" t="s">
        <v>2575</v>
      </c>
      <c r="F415" s="1" t="s">
        <v>2576</v>
      </c>
      <c r="G415" s="1" t="s">
        <v>2577</v>
      </c>
      <c r="H415" s="1" t="s">
        <v>2578</v>
      </c>
    </row>
    <row r="416" spans="1:8" x14ac:dyDescent="0.3">
      <c r="A416" s="2">
        <v>21216</v>
      </c>
      <c r="B416" s="1" t="s">
        <v>2579</v>
      </c>
      <c r="C416" s="1" t="s">
        <v>2580</v>
      </c>
      <c r="D416" s="1" t="s">
        <v>2579</v>
      </c>
      <c r="E416" s="1" t="s">
        <v>2581</v>
      </c>
      <c r="F416" s="1" t="s">
        <v>2579</v>
      </c>
      <c r="G416" s="1" t="s">
        <v>2582</v>
      </c>
      <c r="H416" s="1" t="s">
        <v>2583</v>
      </c>
    </row>
    <row r="417" spans="1:8" x14ac:dyDescent="0.3">
      <c r="A417" s="2">
        <v>21217</v>
      </c>
      <c r="B417" s="1" t="s">
        <v>2584</v>
      </c>
      <c r="C417" s="1" t="s">
        <v>2585</v>
      </c>
      <c r="D417" s="1" t="s">
        <v>2586</v>
      </c>
      <c r="E417" s="1" t="s">
        <v>2587</v>
      </c>
      <c r="F417" s="1" t="s">
        <v>2588</v>
      </c>
      <c r="G417" s="1" t="s">
        <v>2589</v>
      </c>
      <c r="H417" s="1" t="s">
        <v>2588</v>
      </c>
    </row>
    <row r="418" spans="1:8" x14ac:dyDescent="0.3">
      <c r="A418" s="2">
        <v>21218</v>
      </c>
      <c r="B418" s="1" t="s">
        <v>2590</v>
      </c>
      <c r="C418" s="1" t="s">
        <v>2591</v>
      </c>
      <c r="D418" s="1" t="s">
        <v>2592</v>
      </c>
      <c r="E418" s="1" t="s">
        <v>2593</v>
      </c>
      <c r="F418" s="1" t="s">
        <v>2594</v>
      </c>
      <c r="G418" s="1" t="s">
        <v>2595</v>
      </c>
      <c r="H418" s="1" t="s">
        <v>2596</v>
      </c>
    </row>
    <row r="419" spans="1:8" x14ac:dyDescent="0.3">
      <c r="A419" s="2">
        <v>21219</v>
      </c>
      <c r="B419" s="1" t="s">
        <v>2597</v>
      </c>
      <c r="C419" s="1" t="s">
        <v>2598</v>
      </c>
      <c r="E419" s="1" t="s">
        <v>2599</v>
      </c>
      <c r="F419" s="1" t="s">
        <v>2600</v>
      </c>
      <c r="G419" s="1" t="s">
        <v>2601</v>
      </c>
      <c r="H419" s="1" t="s">
        <v>2602</v>
      </c>
    </row>
    <row r="420" spans="1:8" x14ac:dyDescent="0.3">
      <c r="A420" s="2" t="s">
        <v>2603</v>
      </c>
      <c r="B420" s="1" t="e">
        <f>-어야</f>
        <v>#NAME?</v>
      </c>
      <c r="C420" s="1" t="s">
        <v>2604</v>
      </c>
      <c r="D420" s="1" t="s">
        <v>2605</v>
      </c>
      <c r="E420" s="1" t="s">
        <v>2606</v>
      </c>
      <c r="F420" s="1" t="s">
        <v>2607</v>
      </c>
      <c r="G420" s="1" t="s">
        <v>2608</v>
      </c>
      <c r="H420" s="1" t="s">
        <v>2609</v>
      </c>
    </row>
    <row r="421" spans="1:8" x14ac:dyDescent="0.3">
      <c r="A421" s="2">
        <v>21220</v>
      </c>
      <c r="B421" s="1" t="s">
        <v>2610</v>
      </c>
      <c r="C421" s="1" t="s">
        <v>2611</v>
      </c>
      <c r="D421" s="1" t="s">
        <v>2612</v>
      </c>
      <c r="E421" s="1" t="s">
        <v>2613</v>
      </c>
      <c r="F421" s="1" t="s">
        <v>2614</v>
      </c>
      <c r="G421" s="1" t="s">
        <v>2615</v>
      </c>
      <c r="H421" s="1" t="s">
        <v>2616</v>
      </c>
    </row>
    <row r="422" spans="1:8" x14ac:dyDescent="0.3">
      <c r="A422" s="2">
        <v>21221</v>
      </c>
      <c r="B422" s="1" t="s">
        <v>2617</v>
      </c>
      <c r="C422" s="1" t="s">
        <v>2618</v>
      </c>
      <c r="D422" s="1" t="s">
        <v>2619</v>
      </c>
      <c r="E422" s="1" t="s">
        <v>2620</v>
      </c>
      <c r="F422" s="1" t="s">
        <v>2621</v>
      </c>
      <c r="G422" s="1" t="s">
        <v>2622</v>
      </c>
      <c r="H422" s="1" t="s">
        <v>2623</v>
      </c>
    </row>
    <row r="423" spans="1:8" x14ac:dyDescent="0.3">
      <c r="A423" s="2">
        <v>21222</v>
      </c>
      <c r="B423" s="1" t="s">
        <v>2624</v>
      </c>
      <c r="C423" s="1" t="s">
        <v>2625</v>
      </c>
      <c r="D423" s="1" t="s">
        <v>2626</v>
      </c>
      <c r="E423" s="1" t="s">
        <v>2627</v>
      </c>
      <c r="F423" s="1" t="s">
        <v>2628</v>
      </c>
      <c r="G423" s="1" t="s">
        <v>2629</v>
      </c>
      <c r="H423" s="1" t="s">
        <v>2630</v>
      </c>
    </row>
    <row r="424" spans="1:8" x14ac:dyDescent="0.3">
      <c r="A424" s="2">
        <v>21223</v>
      </c>
      <c r="B424" s="1" t="s">
        <v>2631</v>
      </c>
      <c r="C424" s="1" t="s">
        <v>2632</v>
      </c>
      <c r="D424" s="1" t="s">
        <v>2633</v>
      </c>
      <c r="F424" s="1" t="s">
        <v>2634</v>
      </c>
      <c r="G424" s="1" t="s">
        <v>2633</v>
      </c>
      <c r="H424" s="1" t="s">
        <v>2633</v>
      </c>
    </row>
    <row r="425" spans="1:8" x14ac:dyDescent="0.3">
      <c r="A425" s="2">
        <v>21224</v>
      </c>
      <c r="B425" s="1" t="s">
        <v>2635</v>
      </c>
      <c r="C425" s="1" t="s">
        <v>2636</v>
      </c>
      <c r="D425" s="1" t="s">
        <v>2637</v>
      </c>
      <c r="E425" s="1" t="s">
        <v>2638</v>
      </c>
      <c r="F425" s="1" t="s">
        <v>2639</v>
      </c>
      <c r="G425" s="1" t="s">
        <v>2640</v>
      </c>
      <c r="H425" s="1" t="s">
        <v>2641</v>
      </c>
    </row>
    <row r="426" spans="1:8" x14ac:dyDescent="0.3">
      <c r="A426" s="2" t="s">
        <v>2642</v>
      </c>
      <c r="B426" s="1" t="e">
        <f>-을</f>
        <v>#NAME?</v>
      </c>
      <c r="C426" s="1" t="s">
        <v>2643</v>
      </c>
      <c r="D426" s="1" t="s">
        <v>2644</v>
      </c>
      <c r="E426" s="1" t="s">
        <v>2645</v>
      </c>
      <c r="F426" s="1" t="s">
        <v>2646</v>
      </c>
      <c r="G426" s="1" t="s">
        <v>2647</v>
      </c>
      <c r="H426" s="1" t="s">
        <v>2648</v>
      </c>
    </row>
    <row r="427" spans="1:8" x14ac:dyDescent="0.3">
      <c r="A427" s="2">
        <v>21225</v>
      </c>
      <c r="B427" s="1" t="s">
        <v>2649</v>
      </c>
      <c r="C427" s="1" t="s">
        <v>2650</v>
      </c>
      <c r="E427" s="1" t="s">
        <v>2651</v>
      </c>
      <c r="F427" s="1" t="s">
        <v>57</v>
      </c>
      <c r="G427" s="1" t="s">
        <v>2652</v>
      </c>
      <c r="H427" s="1" t="s">
        <v>2653</v>
      </c>
    </row>
    <row r="428" spans="1:8" x14ac:dyDescent="0.3">
      <c r="A428" s="2" t="s">
        <v>2654</v>
      </c>
      <c r="B428" s="1" t="e">
        <f>-을</f>
        <v>#NAME?</v>
      </c>
      <c r="C428" s="1" t="s">
        <v>2655</v>
      </c>
      <c r="D428" s="1" t="s">
        <v>2656</v>
      </c>
      <c r="E428" s="1" t="s">
        <v>2657</v>
      </c>
      <c r="F428" s="1" t="s">
        <v>2658</v>
      </c>
      <c r="G428" s="1" t="s">
        <v>2659</v>
      </c>
      <c r="H428" s="1" t="s">
        <v>2660</v>
      </c>
    </row>
    <row r="429" spans="1:8" x14ac:dyDescent="0.3">
      <c r="A429" s="2" t="s">
        <v>2661</v>
      </c>
      <c r="B429" s="1" t="e">
        <f>-에</f>
        <v>#NAME?</v>
      </c>
      <c r="C429" s="1" t="s">
        <v>2662</v>
      </c>
      <c r="E429" s="1" t="s">
        <v>2663</v>
      </c>
      <c r="F429" s="1" t="s">
        <v>2664</v>
      </c>
      <c r="G429" s="1" t="s">
        <v>2665</v>
      </c>
      <c r="H429" s="1" t="s">
        <v>2663</v>
      </c>
    </row>
    <row r="430" spans="1:8" x14ac:dyDescent="0.3">
      <c r="A430" s="2">
        <v>21226</v>
      </c>
      <c r="B430" s="1" t="s">
        <v>2666</v>
      </c>
      <c r="C430" s="1" t="s">
        <v>2667</v>
      </c>
      <c r="D430" s="1" t="s">
        <v>2668</v>
      </c>
      <c r="E430" s="1" t="s">
        <v>2669</v>
      </c>
      <c r="F430" s="1" t="s">
        <v>2670</v>
      </c>
      <c r="G430" s="1" t="s">
        <v>2671</v>
      </c>
      <c r="H430" s="1" t="s">
        <v>2669</v>
      </c>
    </row>
    <row r="431" spans="1:8" x14ac:dyDescent="0.3">
      <c r="A431" s="2">
        <v>21227</v>
      </c>
      <c r="B431" s="1" t="s">
        <v>2672</v>
      </c>
      <c r="C431" s="1" t="s">
        <v>2673</v>
      </c>
      <c r="D431" s="1" t="s">
        <v>2674</v>
      </c>
      <c r="E431" s="1" t="s">
        <v>2672</v>
      </c>
      <c r="F431" s="1" t="s">
        <v>2675</v>
      </c>
      <c r="G431" s="1" t="s">
        <v>2676</v>
      </c>
      <c r="H431" s="1" t="s">
        <v>2677</v>
      </c>
    </row>
    <row r="432" spans="1:8" x14ac:dyDescent="0.3">
      <c r="A432" s="2">
        <v>21228</v>
      </c>
      <c r="B432" s="1" t="s">
        <v>2678</v>
      </c>
      <c r="C432" s="1" t="s">
        <v>2679</v>
      </c>
      <c r="D432" s="1" t="s">
        <v>2680</v>
      </c>
      <c r="E432" s="1" t="s">
        <v>2681</v>
      </c>
      <c r="F432" s="1" t="s">
        <v>2682</v>
      </c>
      <c r="G432" s="1" t="s">
        <v>2683</v>
      </c>
      <c r="H432" s="1" t="s">
        <v>2684</v>
      </c>
    </row>
    <row r="433" spans="1:8" x14ac:dyDescent="0.3">
      <c r="A433" s="2" t="s">
        <v>2685</v>
      </c>
      <c r="B433" s="1" t="s">
        <v>2686</v>
      </c>
      <c r="C433" s="1" t="s">
        <v>2687</v>
      </c>
      <c r="D433" s="1" t="s">
        <v>2688</v>
      </c>
      <c r="E433" s="1" t="s">
        <v>2689</v>
      </c>
      <c r="F433" s="1" t="s">
        <v>2690</v>
      </c>
      <c r="G433" s="1" t="s">
        <v>2691</v>
      </c>
      <c r="H433" s="1" t="s">
        <v>2692</v>
      </c>
    </row>
    <row r="434" spans="1:8" x14ac:dyDescent="0.3">
      <c r="A434" s="2" t="s">
        <v>2693</v>
      </c>
      <c r="B434" s="1" t="s">
        <v>2694</v>
      </c>
      <c r="C434" s="1" t="s">
        <v>2695</v>
      </c>
      <c r="D434" s="1" t="s">
        <v>2696</v>
      </c>
      <c r="E434" s="1" t="s">
        <v>2697</v>
      </c>
      <c r="F434" s="1" t="s">
        <v>2698</v>
      </c>
      <c r="G434" s="1" t="s">
        <v>2699</v>
      </c>
      <c r="H434" s="1" t="s">
        <v>2700</v>
      </c>
    </row>
    <row r="435" spans="1:8" x14ac:dyDescent="0.3">
      <c r="A435" s="2" t="s">
        <v>2701</v>
      </c>
      <c r="B435" s="1" t="s">
        <v>2702</v>
      </c>
      <c r="C435" s="1" t="s">
        <v>2703</v>
      </c>
      <c r="D435" s="1" t="s">
        <v>2704</v>
      </c>
      <c r="E435" s="1" t="s">
        <v>2705</v>
      </c>
      <c r="F435" s="1" t="s">
        <v>2706</v>
      </c>
      <c r="G435" s="1" t="s">
        <v>2707</v>
      </c>
      <c r="H435" s="1" t="s">
        <v>2708</v>
      </c>
    </row>
    <row r="436" spans="1:8" x14ac:dyDescent="0.3">
      <c r="A436" s="2" t="s">
        <v>2709</v>
      </c>
      <c r="B436" s="1" t="s">
        <v>2710</v>
      </c>
      <c r="C436" s="1" t="s">
        <v>2711</v>
      </c>
      <c r="D436" s="1" t="s">
        <v>2712</v>
      </c>
      <c r="E436" s="1" t="s">
        <v>2713</v>
      </c>
      <c r="F436" s="1" t="s">
        <v>2714</v>
      </c>
      <c r="G436" s="1" t="s">
        <v>2715</v>
      </c>
      <c r="H436" s="1" t="s">
        <v>2716</v>
      </c>
    </row>
    <row r="437" spans="1:8" x14ac:dyDescent="0.3">
      <c r="A437" s="2" t="s">
        <v>2717</v>
      </c>
      <c r="B437" s="1" t="s">
        <v>2678</v>
      </c>
      <c r="C437" s="1" t="s">
        <v>2718</v>
      </c>
      <c r="D437" s="1" t="s">
        <v>2719</v>
      </c>
      <c r="E437" s="1" t="s">
        <v>2720</v>
      </c>
      <c r="F437" s="1" t="s">
        <v>2721</v>
      </c>
      <c r="G437" s="1" t="s">
        <v>57</v>
      </c>
      <c r="H437" s="1" t="s">
        <v>2722</v>
      </c>
    </row>
    <row r="438" spans="1:8" x14ac:dyDescent="0.3">
      <c r="A438" s="2" t="s">
        <v>2723</v>
      </c>
      <c r="B438" s="1" t="s">
        <v>2724</v>
      </c>
      <c r="C438" s="1" t="s">
        <v>2725</v>
      </c>
      <c r="D438" s="1" t="s">
        <v>2726</v>
      </c>
      <c r="E438" s="1" t="s">
        <v>2727</v>
      </c>
      <c r="F438" s="1" t="s">
        <v>2728</v>
      </c>
      <c r="G438" s="1" t="s">
        <v>2729</v>
      </c>
      <c r="H438" s="1" t="s">
        <v>2730</v>
      </c>
    </row>
    <row r="439" spans="1:8" x14ac:dyDescent="0.3">
      <c r="A439" s="2" t="s">
        <v>2731</v>
      </c>
      <c r="B439" s="1" t="s">
        <v>2724</v>
      </c>
      <c r="C439" s="1" t="s">
        <v>2732</v>
      </c>
      <c r="D439" s="1" t="s">
        <v>2733</v>
      </c>
      <c r="E439" s="1" t="s">
        <v>2734</v>
      </c>
      <c r="F439" s="1" t="s">
        <v>2735</v>
      </c>
      <c r="G439" s="1" t="s">
        <v>57</v>
      </c>
      <c r="H439" s="1" t="s">
        <v>2736</v>
      </c>
    </row>
    <row r="440" spans="1:8" x14ac:dyDescent="0.3">
      <c r="A440" s="2" t="s">
        <v>2737</v>
      </c>
      <c r="B440" s="1" t="s">
        <v>2738</v>
      </c>
      <c r="C440" s="1" t="s">
        <v>2739</v>
      </c>
      <c r="D440" s="1" t="s">
        <v>2740</v>
      </c>
      <c r="E440" s="1" t="s">
        <v>2741</v>
      </c>
      <c r="F440" s="1" t="s">
        <v>2742</v>
      </c>
      <c r="G440" s="1" t="s">
        <v>57</v>
      </c>
      <c r="H440" s="1" t="s">
        <v>2743</v>
      </c>
    </row>
    <row r="441" spans="1:8" x14ac:dyDescent="0.3">
      <c r="A441" s="2" t="s">
        <v>2744</v>
      </c>
      <c r="B441" s="1" t="s">
        <v>2745</v>
      </c>
      <c r="C441" s="1" t="s">
        <v>2746</v>
      </c>
      <c r="D441" s="1" t="s">
        <v>2747</v>
      </c>
      <c r="E441" s="1" t="s">
        <v>2748</v>
      </c>
      <c r="F441" s="1" t="s">
        <v>2749</v>
      </c>
      <c r="G441" s="1" t="s">
        <v>2750</v>
      </c>
      <c r="H441" s="1" t="s">
        <v>2751</v>
      </c>
    </row>
    <row r="442" spans="1:8" x14ac:dyDescent="0.3">
      <c r="A442" s="2">
        <v>21229</v>
      </c>
      <c r="B442" s="1" t="s">
        <v>2752</v>
      </c>
      <c r="C442" s="1" t="s">
        <v>2753</v>
      </c>
      <c r="D442" s="1" t="s">
        <v>2754</v>
      </c>
      <c r="E442" s="1" t="s">
        <v>2755</v>
      </c>
      <c r="F442" s="1" t="s">
        <v>2756</v>
      </c>
      <c r="G442" s="1" t="s">
        <v>2757</v>
      </c>
      <c r="H442" s="1" t="s">
        <v>2758</v>
      </c>
    </row>
    <row r="443" spans="1:8" x14ac:dyDescent="0.3">
      <c r="A443" s="2">
        <v>21230</v>
      </c>
      <c r="B443" s="1" t="s">
        <v>2759</v>
      </c>
      <c r="C443" s="1" t="s">
        <v>2760</v>
      </c>
      <c r="D443" s="1" t="s">
        <v>2761</v>
      </c>
      <c r="E443" s="1" t="s">
        <v>2762</v>
      </c>
      <c r="F443" s="1" t="s">
        <v>2763</v>
      </c>
      <c r="G443" s="1" t="s">
        <v>2764</v>
      </c>
      <c r="H443" s="1" t="s">
        <v>2765</v>
      </c>
    </row>
    <row r="444" spans="1:8" x14ac:dyDescent="0.3">
      <c r="A444" s="2" t="s">
        <v>2766</v>
      </c>
      <c r="B444" s="1" t="s">
        <v>2767</v>
      </c>
      <c r="C444" s="1" t="s">
        <v>2768</v>
      </c>
      <c r="D444" s="1" t="s">
        <v>2769</v>
      </c>
      <c r="E444" s="1" t="s">
        <v>2770</v>
      </c>
      <c r="F444" s="1" t="s">
        <v>2771</v>
      </c>
      <c r="G444" s="1" t="s">
        <v>2772</v>
      </c>
      <c r="H444" s="1" t="s">
        <v>2773</v>
      </c>
    </row>
    <row r="445" spans="1:8" x14ac:dyDescent="0.3">
      <c r="A445" s="2">
        <v>21231</v>
      </c>
      <c r="B445" s="1" t="s">
        <v>2774</v>
      </c>
      <c r="C445" s="1" t="s">
        <v>2775</v>
      </c>
      <c r="D445" s="1" t="s">
        <v>2776</v>
      </c>
      <c r="E445" s="1" t="s">
        <v>2777</v>
      </c>
      <c r="F445" s="1" t="s">
        <v>2778</v>
      </c>
      <c r="G445" s="1" t="s">
        <v>2779</v>
      </c>
      <c r="H445" s="1" t="s">
        <v>2780</v>
      </c>
    </row>
    <row r="446" spans="1:8" x14ac:dyDescent="0.3">
      <c r="A446" s="2">
        <v>21232</v>
      </c>
      <c r="B446" s="1" t="s">
        <v>2781</v>
      </c>
      <c r="C446" s="1" t="s">
        <v>2782</v>
      </c>
      <c r="D446" s="1" t="s">
        <v>2783</v>
      </c>
      <c r="E446" s="1" t="s">
        <v>2784</v>
      </c>
      <c r="F446" s="1" t="s">
        <v>2785</v>
      </c>
      <c r="G446" s="1" t="s">
        <v>2786</v>
      </c>
      <c r="H446" s="1" t="s">
        <v>2787</v>
      </c>
    </row>
    <row r="447" spans="1:8" x14ac:dyDescent="0.3">
      <c r="A447" s="2">
        <v>21233</v>
      </c>
      <c r="B447" s="1" t="s">
        <v>2788</v>
      </c>
      <c r="C447" s="1" t="s">
        <v>2789</v>
      </c>
      <c r="D447" s="1" t="s">
        <v>2790</v>
      </c>
      <c r="E447" s="1" t="s">
        <v>2791</v>
      </c>
      <c r="F447" s="1" t="s">
        <v>2792</v>
      </c>
      <c r="G447" s="1" t="s">
        <v>2793</v>
      </c>
      <c r="H447" s="1" t="s">
        <v>2794</v>
      </c>
    </row>
    <row r="448" spans="1:8" x14ac:dyDescent="0.3">
      <c r="A448" s="2">
        <v>21234</v>
      </c>
      <c r="B448" s="1" t="s">
        <v>2795</v>
      </c>
      <c r="C448" s="1" t="s">
        <v>2796</v>
      </c>
      <c r="D448" s="1" t="s">
        <v>2797</v>
      </c>
      <c r="E448" s="1" t="s">
        <v>2798</v>
      </c>
      <c r="F448" s="1" t="s">
        <v>2795</v>
      </c>
      <c r="G448" s="1" t="s">
        <v>2799</v>
      </c>
      <c r="H448" s="1" t="s">
        <v>2800</v>
      </c>
    </row>
    <row r="449" spans="1:8" x14ac:dyDescent="0.3">
      <c r="A449" s="2">
        <v>21235</v>
      </c>
      <c r="B449" s="1" t="s">
        <v>2801</v>
      </c>
      <c r="C449" s="1" t="s">
        <v>2802</v>
      </c>
      <c r="D449" s="1" t="s">
        <v>2803</v>
      </c>
      <c r="E449" s="1" t="s">
        <v>2804</v>
      </c>
      <c r="F449" s="1" t="s">
        <v>2805</v>
      </c>
      <c r="G449" s="1" t="s">
        <v>2806</v>
      </c>
      <c r="H449" s="1" t="s">
        <v>2807</v>
      </c>
    </row>
    <row r="450" spans="1:8" x14ac:dyDescent="0.3">
      <c r="A450" s="2" t="s">
        <v>2808</v>
      </c>
      <c r="B450" s="1" t="e">
        <f>-을</f>
        <v>#NAME?</v>
      </c>
      <c r="C450" s="1" t="s">
        <v>2809</v>
      </c>
      <c r="D450" s="1" t="s">
        <v>2810</v>
      </c>
      <c r="E450" s="1" t="s">
        <v>2811</v>
      </c>
      <c r="F450" s="1" t="s">
        <v>2812</v>
      </c>
      <c r="G450" s="1" t="s">
        <v>2813</v>
      </c>
      <c r="H450" s="1" t="s">
        <v>2814</v>
      </c>
    </row>
    <row r="451" spans="1:8" x14ac:dyDescent="0.3">
      <c r="A451" s="2" t="s">
        <v>2815</v>
      </c>
      <c r="B451" s="1" t="e">
        <f>-에</f>
        <v>#NAME?</v>
      </c>
      <c r="C451" s="1" t="s">
        <v>2816</v>
      </c>
      <c r="E451" s="1" t="s">
        <v>2817</v>
      </c>
      <c r="F451" s="1" t="s">
        <v>2818</v>
      </c>
      <c r="G451" s="1" t="s">
        <v>2819</v>
      </c>
      <c r="H451" s="1" t="s">
        <v>2820</v>
      </c>
    </row>
    <row r="452" spans="1:8" x14ac:dyDescent="0.3">
      <c r="A452" s="2">
        <v>21236</v>
      </c>
      <c r="B452" s="1" t="s">
        <v>2821</v>
      </c>
      <c r="C452" s="1" t="s">
        <v>2822</v>
      </c>
      <c r="D452" s="1" t="s">
        <v>2823</v>
      </c>
      <c r="E452" s="1" t="s">
        <v>2821</v>
      </c>
      <c r="F452" s="1" t="s">
        <v>2824</v>
      </c>
      <c r="G452" s="1" t="s">
        <v>2825</v>
      </c>
      <c r="H452" s="1" t="s">
        <v>2821</v>
      </c>
    </row>
    <row r="453" spans="1:8" x14ac:dyDescent="0.3">
      <c r="A453" s="2" t="s">
        <v>2826</v>
      </c>
      <c r="B453" s="1" t="s">
        <v>2827</v>
      </c>
      <c r="C453" s="1" t="s">
        <v>2828</v>
      </c>
      <c r="D453" s="1" t="s">
        <v>2829</v>
      </c>
      <c r="E453" s="1" t="s">
        <v>2830</v>
      </c>
      <c r="F453" s="1" t="s">
        <v>2831</v>
      </c>
      <c r="G453" s="1" t="s">
        <v>2831</v>
      </c>
      <c r="H453" s="1" t="s">
        <v>2832</v>
      </c>
    </row>
    <row r="454" spans="1:8" x14ac:dyDescent="0.3">
      <c r="A454" s="2" t="s">
        <v>2833</v>
      </c>
      <c r="B454" s="1" t="s">
        <v>2834</v>
      </c>
      <c r="C454" s="1" t="s">
        <v>2835</v>
      </c>
      <c r="D454" s="1" t="s">
        <v>2836</v>
      </c>
      <c r="E454" s="1" t="s">
        <v>2837</v>
      </c>
      <c r="F454" s="1" t="s">
        <v>2836</v>
      </c>
      <c r="G454" s="1" t="s">
        <v>2836</v>
      </c>
      <c r="H454" s="1" t="s">
        <v>2836</v>
      </c>
    </row>
    <row r="455" spans="1:8" x14ac:dyDescent="0.3">
      <c r="A455" s="2" t="s">
        <v>2838</v>
      </c>
      <c r="B455" s="1" t="s">
        <v>2839</v>
      </c>
      <c r="C455" s="1" t="s">
        <v>2840</v>
      </c>
      <c r="D455" s="1" t="s">
        <v>2841</v>
      </c>
      <c r="E455" s="1" t="s">
        <v>2842</v>
      </c>
      <c r="F455" s="1" t="s">
        <v>2843</v>
      </c>
      <c r="G455" s="1" t="s">
        <v>2843</v>
      </c>
      <c r="H455" s="1" t="s">
        <v>2844</v>
      </c>
    </row>
    <row r="456" spans="1:8" x14ac:dyDescent="0.3">
      <c r="A456" s="2">
        <v>21237</v>
      </c>
      <c r="B456" s="1" t="s">
        <v>2845</v>
      </c>
      <c r="C456" s="1" t="s">
        <v>2846</v>
      </c>
      <c r="D456" s="1" t="s">
        <v>2847</v>
      </c>
      <c r="E456" s="1" t="s">
        <v>2847</v>
      </c>
      <c r="F456" s="1" t="s">
        <v>2847</v>
      </c>
      <c r="G456" s="1" t="s">
        <v>2847</v>
      </c>
      <c r="H456" s="1" t="s">
        <v>2847</v>
      </c>
    </row>
    <row r="457" spans="1:8" x14ac:dyDescent="0.3">
      <c r="A457" s="2" t="s">
        <v>2848</v>
      </c>
      <c r="B457" s="1" t="s">
        <v>2849</v>
      </c>
      <c r="C457" s="1" t="s">
        <v>2850</v>
      </c>
      <c r="D457" s="1" t="s">
        <v>2851</v>
      </c>
      <c r="E457" s="1" t="s">
        <v>2851</v>
      </c>
      <c r="F457" s="1" t="s">
        <v>2851</v>
      </c>
      <c r="G457" s="1" t="s">
        <v>2851</v>
      </c>
      <c r="H457" s="1" t="s">
        <v>2851</v>
      </c>
    </row>
    <row r="458" spans="1:8" x14ac:dyDescent="0.3">
      <c r="A458" s="2" t="s">
        <v>2852</v>
      </c>
      <c r="B458" s="1" t="s">
        <v>2853</v>
      </c>
      <c r="C458" s="1" t="s">
        <v>2854</v>
      </c>
      <c r="D458" s="1" t="s">
        <v>2855</v>
      </c>
      <c r="E458" s="1" t="s">
        <v>2856</v>
      </c>
      <c r="F458" s="1" t="s">
        <v>2856</v>
      </c>
      <c r="G458" s="1" t="s">
        <v>2856</v>
      </c>
      <c r="H458" s="1" t="s">
        <v>2856</v>
      </c>
    </row>
    <row r="459" spans="1:8" x14ac:dyDescent="0.3">
      <c r="A459" s="2" t="s">
        <v>2857</v>
      </c>
      <c r="B459" s="1" t="s">
        <v>2858</v>
      </c>
      <c r="C459" s="1" t="s">
        <v>2859</v>
      </c>
      <c r="D459" s="1" t="s">
        <v>2860</v>
      </c>
      <c r="E459" s="1" t="s">
        <v>2861</v>
      </c>
      <c r="F459" s="1" t="s">
        <v>2861</v>
      </c>
      <c r="G459" s="1" t="s">
        <v>2861</v>
      </c>
      <c r="H459" s="1" t="s">
        <v>2861</v>
      </c>
    </row>
    <row r="460" spans="1:8" x14ac:dyDescent="0.3">
      <c r="A460" s="2">
        <v>21238</v>
      </c>
      <c r="B460" s="1" t="s">
        <v>2862</v>
      </c>
      <c r="C460" s="1" t="s">
        <v>2863</v>
      </c>
      <c r="D460" s="1" t="s">
        <v>2864</v>
      </c>
      <c r="E460" s="1" t="s">
        <v>2865</v>
      </c>
      <c r="F460" s="1" t="s">
        <v>2866</v>
      </c>
      <c r="G460" s="1" t="s">
        <v>2865</v>
      </c>
      <c r="H460" s="1" t="s">
        <v>2867</v>
      </c>
    </row>
    <row r="461" spans="1:8" x14ac:dyDescent="0.3">
      <c r="A461" s="2" t="s">
        <v>2868</v>
      </c>
      <c r="B461" s="1" t="s">
        <v>2869</v>
      </c>
      <c r="C461" s="1" t="s">
        <v>2870</v>
      </c>
      <c r="D461" s="1" t="s">
        <v>2871</v>
      </c>
      <c r="E461" s="1" t="s">
        <v>2871</v>
      </c>
      <c r="F461" s="1" t="s">
        <v>2871</v>
      </c>
      <c r="G461" s="1" t="s">
        <v>2871</v>
      </c>
      <c r="H461" s="1" t="s">
        <v>2871</v>
      </c>
    </row>
    <row r="462" spans="1:8" x14ac:dyDescent="0.3">
      <c r="A462" s="2" t="s">
        <v>2872</v>
      </c>
      <c r="B462" s="1" t="s">
        <v>2873</v>
      </c>
      <c r="C462" s="1" t="s">
        <v>2874</v>
      </c>
      <c r="D462" s="1" t="s">
        <v>2875</v>
      </c>
      <c r="E462" s="1" t="s">
        <v>2876</v>
      </c>
      <c r="F462" s="1" t="s">
        <v>2877</v>
      </c>
      <c r="G462" s="1" t="s">
        <v>2876</v>
      </c>
      <c r="H462" s="1" t="s">
        <v>2878</v>
      </c>
    </row>
    <row r="463" spans="1:8" x14ac:dyDescent="0.3">
      <c r="A463" s="2" t="s">
        <v>2879</v>
      </c>
      <c r="B463" s="1" t="s">
        <v>2880</v>
      </c>
      <c r="C463" s="1" t="s">
        <v>2881</v>
      </c>
      <c r="D463" s="1" t="s">
        <v>2882</v>
      </c>
      <c r="E463" s="1" t="s">
        <v>2883</v>
      </c>
      <c r="F463" s="1" t="s">
        <v>2883</v>
      </c>
      <c r="G463" s="1" t="s">
        <v>2884</v>
      </c>
      <c r="H463" s="1" t="s">
        <v>2884</v>
      </c>
    </row>
    <row r="464" spans="1:8" x14ac:dyDescent="0.3">
      <c r="A464" s="2">
        <v>21239</v>
      </c>
      <c r="B464" s="1" t="s">
        <v>2885</v>
      </c>
      <c r="C464" s="1" t="s">
        <v>2886</v>
      </c>
      <c r="D464" s="1" t="s">
        <v>2887</v>
      </c>
      <c r="E464" s="1" t="s">
        <v>2888</v>
      </c>
      <c r="F464" s="1" t="s">
        <v>2889</v>
      </c>
      <c r="G464" s="1" t="s">
        <v>2890</v>
      </c>
      <c r="H464" s="1" t="s">
        <v>2891</v>
      </c>
    </row>
    <row r="465" spans="1:8" x14ac:dyDescent="0.3">
      <c r="A465" s="2" t="s">
        <v>2892</v>
      </c>
      <c r="B465" s="1" t="s">
        <v>2893</v>
      </c>
      <c r="C465" s="1" t="s">
        <v>2894</v>
      </c>
      <c r="D465" s="1" t="s">
        <v>2895</v>
      </c>
      <c r="E465" s="1" t="s">
        <v>2895</v>
      </c>
      <c r="F465" s="1" t="s">
        <v>2895</v>
      </c>
      <c r="G465" s="1" t="s">
        <v>2895</v>
      </c>
      <c r="H465" s="1" t="s">
        <v>2895</v>
      </c>
    </row>
    <row r="466" spans="1:8" x14ac:dyDescent="0.3">
      <c r="A466" s="2" t="s">
        <v>2896</v>
      </c>
      <c r="B466" s="1" t="s">
        <v>2897</v>
      </c>
      <c r="C466" s="1" t="s">
        <v>2898</v>
      </c>
      <c r="D466" s="1" t="s">
        <v>2899</v>
      </c>
      <c r="E466" s="1" t="s">
        <v>2900</v>
      </c>
      <c r="F466" s="1" t="s">
        <v>2901</v>
      </c>
      <c r="G466" s="1" t="s">
        <v>2900</v>
      </c>
      <c r="H466" s="1" t="s">
        <v>2902</v>
      </c>
    </row>
    <row r="467" spans="1:8" x14ac:dyDescent="0.3">
      <c r="A467" s="2" t="s">
        <v>2903</v>
      </c>
      <c r="B467" s="1" t="s">
        <v>2904</v>
      </c>
      <c r="C467" s="1" t="s">
        <v>2905</v>
      </c>
      <c r="D467" s="1" t="s">
        <v>2906</v>
      </c>
      <c r="E467" s="1" t="s">
        <v>2907</v>
      </c>
      <c r="F467" s="1" t="s">
        <v>2907</v>
      </c>
      <c r="G467" s="1" t="s">
        <v>2906</v>
      </c>
      <c r="H467" s="1" t="s">
        <v>2906</v>
      </c>
    </row>
    <row r="468" spans="1:8" x14ac:dyDescent="0.3">
      <c r="A468" s="2">
        <v>21240</v>
      </c>
      <c r="B468" s="1" t="s">
        <v>2908</v>
      </c>
      <c r="C468" s="1" t="s">
        <v>2909</v>
      </c>
      <c r="D468" s="1" t="s">
        <v>2910</v>
      </c>
      <c r="E468" s="1" t="s">
        <v>2911</v>
      </c>
      <c r="F468" s="1" t="s">
        <v>2912</v>
      </c>
      <c r="G468" s="1" t="s">
        <v>2913</v>
      </c>
      <c r="H468" s="1" t="s">
        <v>2914</v>
      </c>
    </row>
    <row r="469" spans="1:8" x14ac:dyDescent="0.3">
      <c r="A469" s="2" t="s">
        <v>2915</v>
      </c>
      <c r="B469" s="1" t="s">
        <v>2916</v>
      </c>
      <c r="C469" s="1" t="s">
        <v>2917</v>
      </c>
      <c r="D469" s="1" t="s">
        <v>2918</v>
      </c>
      <c r="E469" s="1" t="s">
        <v>2918</v>
      </c>
      <c r="F469" s="1" t="s">
        <v>2918</v>
      </c>
      <c r="G469" s="1" t="s">
        <v>2918</v>
      </c>
      <c r="H469" s="1" t="s">
        <v>2918</v>
      </c>
    </row>
    <row r="470" spans="1:8" x14ac:dyDescent="0.3">
      <c r="A470" s="2" t="s">
        <v>2919</v>
      </c>
      <c r="B470" s="1" t="s">
        <v>2920</v>
      </c>
      <c r="C470" s="1" t="s">
        <v>2921</v>
      </c>
      <c r="D470" s="1" t="s">
        <v>2922</v>
      </c>
      <c r="E470" s="1" t="s">
        <v>2923</v>
      </c>
      <c r="F470" s="1" t="s">
        <v>2924</v>
      </c>
      <c r="G470" s="1" t="s">
        <v>2925</v>
      </c>
      <c r="H470" s="1" t="s">
        <v>2926</v>
      </c>
    </row>
    <row r="471" spans="1:8" x14ac:dyDescent="0.3">
      <c r="A471" s="2" t="s">
        <v>2927</v>
      </c>
      <c r="B471" s="1" t="s">
        <v>2928</v>
      </c>
      <c r="C471" s="1" t="s">
        <v>2929</v>
      </c>
      <c r="D471" s="1" t="s">
        <v>2930</v>
      </c>
      <c r="E471" s="1" t="s">
        <v>2931</v>
      </c>
      <c r="F471" s="1" t="s">
        <v>2932</v>
      </c>
      <c r="G471" s="1" t="s">
        <v>2931</v>
      </c>
      <c r="H471" s="1" t="s">
        <v>2930</v>
      </c>
    </row>
    <row r="472" spans="1:8" x14ac:dyDescent="0.3">
      <c r="A472" s="2">
        <v>21241</v>
      </c>
      <c r="B472" s="1" t="s">
        <v>2933</v>
      </c>
      <c r="C472" s="1" t="s">
        <v>2934</v>
      </c>
      <c r="D472" s="1" t="s">
        <v>2935</v>
      </c>
      <c r="E472" s="1" t="s">
        <v>2936</v>
      </c>
      <c r="F472" s="1" t="s">
        <v>2936</v>
      </c>
      <c r="G472" s="1" t="s">
        <v>2937</v>
      </c>
      <c r="H472" s="1" t="s">
        <v>2935</v>
      </c>
    </row>
    <row r="473" spans="1:8" x14ac:dyDescent="0.3">
      <c r="A473" s="2" t="s">
        <v>2938</v>
      </c>
      <c r="B473" s="1" t="s">
        <v>2939</v>
      </c>
      <c r="C473" s="1" t="s">
        <v>2940</v>
      </c>
      <c r="D473" s="1" t="s">
        <v>2941</v>
      </c>
      <c r="E473" s="1" t="s">
        <v>2940</v>
      </c>
      <c r="F473" s="1" t="s">
        <v>2940</v>
      </c>
      <c r="G473" s="1" t="s">
        <v>2940</v>
      </c>
      <c r="H473" s="1" t="s">
        <v>2940</v>
      </c>
    </row>
    <row r="474" spans="1:8" x14ac:dyDescent="0.3">
      <c r="A474" s="2" t="s">
        <v>2942</v>
      </c>
      <c r="B474" s="1" t="s">
        <v>2943</v>
      </c>
      <c r="C474" s="1" t="s">
        <v>2944</v>
      </c>
      <c r="D474" s="1" t="s">
        <v>2945</v>
      </c>
      <c r="E474" s="1" t="s">
        <v>2946</v>
      </c>
      <c r="F474" s="1" t="s">
        <v>2947</v>
      </c>
      <c r="G474" s="1" t="s">
        <v>2948</v>
      </c>
      <c r="H474" s="1" t="s">
        <v>2949</v>
      </c>
    </row>
    <row r="475" spans="1:8" x14ac:dyDescent="0.3">
      <c r="A475" s="2" t="s">
        <v>2950</v>
      </c>
      <c r="B475" s="1" t="s">
        <v>2951</v>
      </c>
      <c r="C475" s="1" t="s">
        <v>2952</v>
      </c>
      <c r="D475" s="1" t="s">
        <v>2953</v>
      </c>
      <c r="E475" s="1" t="s">
        <v>2954</v>
      </c>
      <c r="F475" s="1" t="s">
        <v>2955</v>
      </c>
      <c r="G475" s="1" t="s">
        <v>2954</v>
      </c>
      <c r="H475" s="1" t="s">
        <v>2953</v>
      </c>
    </row>
    <row r="476" spans="1:8" x14ac:dyDescent="0.3">
      <c r="A476" s="2">
        <v>21242</v>
      </c>
      <c r="B476" s="1" t="s">
        <v>2956</v>
      </c>
      <c r="C476" s="1" t="s">
        <v>2957</v>
      </c>
      <c r="D476" s="1" t="s">
        <v>2956</v>
      </c>
      <c r="E476" s="1" t="s">
        <v>2958</v>
      </c>
      <c r="F476" s="1" t="s">
        <v>2959</v>
      </c>
      <c r="G476" s="1" t="s">
        <v>2960</v>
      </c>
      <c r="H476" s="1" t="s">
        <v>2961</v>
      </c>
    </row>
    <row r="477" spans="1:8" x14ac:dyDescent="0.3">
      <c r="A477" s="2" t="s">
        <v>2962</v>
      </c>
      <c r="B477" s="1" t="s">
        <v>2963</v>
      </c>
      <c r="C477" s="1" t="s">
        <v>2964</v>
      </c>
      <c r="D477" s="1" t="s">
        <v>2965</v>
      </c>
      <c r="E477" s="1" t="s">
        <v>2966</v>
      </c>
      <c r="F477" s="1" t="s">
        <v>2966</v>
      </c>
      <c r="G477" s="1" t="s">
        <v>2967</v>
      </c>
      <c r="H477" s="1" t="s">
        <v>2966</v>
      </c>
    </row>
    <row r="478" spans="1:8" x14ac:dyDescent="0.3">
      <c r="A478" s="2" t="s">
        <v>2968</v>
      </c>
      <c r="B478" s="1" t="s">
        <v>2969</v>
      </c>
      <c r="C478" s="1" t="s">
        <v>2970</v>
      </c>
      <c r="D478" s="1" t="s">
        <v>2971</v>
      </c>
      <c r="E478" s="1" t="s">
        <v>2972</v>
      </c>
      <c r="F478" s="1" t="s">
        <v>2973</v>
      </c>
      <c r="G478" s="1" t="s">
        <v>2972</v>
      </c>
      <c r="H478" s="1" t="s">
        <v>2974</v>
      </c>
    </row>
    <row r="479" spans="1:8" x14ac:dyDescent="0.3">
      <c r="A479" s="2" t="s">
        <v>2975</v>
      </c>
      <c r="B479" s="1" t="s">
        <v>2976</v>
      </c>
      <c r="C479" s="1" t="s">
        <v>2977</v>
      </c>
      <c r="D479" s="1" t="s">
        <v>2978</v>
      </c>
      <c r="E479" s="1" t="s">
        <v>2979</v>
      </c>
      <c r="F479" s="1" t="s">
        <v>2980</v>
      </c>
      <c r="G479" s="1" t="s">
        <v>2980</v>
      </c>
      <c r="H479" s="1" t="s">
        <v>2980</v>
      </c>
    </row>
    <row r="480" spans="1:8" x14ac:dyDescent="0.3">
      <c r="A480" s="2">
        <v>21243</v>
      </c>
      <c r="B480" s="1" t="s">
        <v>2981</v>
      </c>
      <c r="C480" s="1" t="s">
        <v>2982</v>
      </c>
      <c r="D480" s="1" t="s">
        <v>2983</v>
      </c>
      <c r="E480" s="1" t="s">
        <v>2984</v>
      </c>
      <c r="F480" s="1" t="s">
        <v>2985</v>
      </c>
      <c r="G480" s="1" t="s">
        <v>2986</v>
      </c>
      <c r="H480" s="1" t="s">
        <v>2983</v>
      </c>
    </row>
    <row r="481" spans="1:8" x14ac:dyDescent="0.3">
      <c r="A481" s="2" t="s">
        <v>2987</v>
      </c>
      <c r="B481" s="1" t="s">
        <v>2988</v>
      </c>
      <c r="C481" s="1" t="s">
        <v>2989</v>
      </c>
      <c r="D481" s="1" t="s">
        <v>2990</v>
      </c>
      <c r="E481" s="1" t="s">
        <v>2991</v>
      </c>
      <c r="F481" s="1" t="s">
        <v>2990</v>
      </c>
      <c r="G481" s="1" t="s">
        <v>2990</v>
      </c>
      <c r="H481" s="1" t="s">
        <v>2990</v>
      </c>
    </row>
    <row r="482" spans="1:8" x14ac:dyDescent="0.3">
      <c r="A482" s="2" t="s">
        <v>2992</v>
      </c>
      <c r="B482" s="1" t="s">
        <v>2993</v>
      </c>
      <c r="C482" s="1" t="s">
        <v>2994</v>
      </c>
      <c r="D482" s="1" t="s">
        <v>2995</v>
      </c>
      <c r="E482" s="1" t="s">
        <v>2996</v>
      </c>
      <c r="F482" s="1" t="s">
        <v>2997</v>
      </c>
      <c r="G482" s="1" t="s">
        <v>2995</v>
      </c>
      <c r="H482" s="1" t="s">
        <v>2998</v>
      </c>
    </row>
    <row r="483" spans="1:8" x14ac:dyDescent="0.3">
      <c r="A483" s="2" t="s">
        <v>2999</v>
      </c>
      <c r="B483" s="1" t="s">
        <v>3000</v>
      </c>
      <c r="C483" s="1" t="s">
        <v>3001</v>
      </c>
      <c r="D483" s="1" t="s">
        <v>3002</v>
      </c>
      <c r="E483" s="1" t="s">
        <v>3003</v>
      </c>
      <c r="F483" s="1" t="s">
        <v>3002</v>
      </c>
      <c r="G483" s="1" t="s">
        <v>3002</v>
      </c>
    </row>
    <row r="484" spans="1:8" x14ac:dyDescent="0.3">
      <c r="A484" s="2">
        <v>21244</v>
      </c>
      <c r="B484" s="1" t="s">
        <v>3004</v>
      </c>
      <c r="C484" s="1" t="s">
        <v>3005</v>
      </c>
      <c r="D484" s="1" t="s">
        <v>3006</v>
      </c>
      <c r="E484" s="1" t="s">
        <v>3007</v>
      </c>
      <c r="F484" s="1" t="s">
        <v>3006</v>
      </c>
      <c r="G484" s="1" t="s">
        <v>3006</v>
      </c>
      <c r="H484" s="1" t="s">
        <v>3004</v>
      </c>
    </row>
    <row r="485" spans="1:8" x14ac:dyDescent="0.3">
      <c r="A485" s="2" t="s">
        <v>3008</v>
      </c>
      <c r="B485" s="1" t="s">
        <v>3009</v>
      </c>
      <c r="C485" s="1" t="s">
        <v>3010</v>
      </c>
      <c r="D485" s="1" t="s">
        <v>3011</v>
      </c>
      <c r="E485" s="1" t="s">
        <v>3011</v>
      </c>
      <c r="F485" s="1" t="s">
        <v>3011</v>
      </c>
      <c r="G485" s="1" t="s">
        <v>3011</v>
      </c>
      <c r="H485" s="1" t="s">
        <v>3011</v>
      </c>
    </row>
    <row r="486" spans="1:8" x14ac:dyDescent="0.3">
      <c r="A486" s="2" t="s">
        <v>3012</v>
      </c>
      <c r="B486" s="1" t="s">
        <v>3013</v>
      </c>
      <c r="C486" s="1" t="s">
        <v>3014</v>
      </c>
      <c r="D486" s="1" t="s">
        <v>3015</v>
      </c>
      <c r="E486" s="1" t="s">
        <v>3015</v>
      </c>
      <c r="F486" s="1" t="s">
        <v>3016</v>
      </c>
      <c r="G486" s="1" t="s">
        <v>3015</v>
      </c>
      <c r="H486" s="1" t="s">
        <v>3017</v>
      </c>
    </row>
    <row r="487" spans="1:8" x14ac:dyDescent="0.3">
      <c r="A487" s="2" t="s">
        <v>3018</v>
      </c>
      <c r="B487" s="1" t="s">
        <v>3019</v>
      </c>
      <c r="C487" s="1" t="s">
        <v>3020</v>
      </c>
      <c r="D487" s="1" t="s">
        <v>3021</v>
      </c>
      <c r="E487" s="1" t="s">
        <v>3022</v>
      </c>
      <c r="F487" s="1" t="s">
        <v>3021</v>
      </c>
      <c r="G487" s="1" t="s">
        <v>3021</v>
      </c>
      <c r="H487" s="1" t="s">
        <v>3002</v>
      </c>
    </row>
    <row r="488" spans="1:8" x14ac:dyDescent="0.3">
      <c r="A488" s="2">
        <v>21245</v>
      </c>
      <c r="B488" s="1" t="s">
        <v>3023</v>
      </c>
      <c r="C488" s="1" t="s">
        <v>3024</v>
      </c>
      <c r="D488" s="1" t="s">
        <v>3025</v>
      </c>
      <c r="E488" s="1" t="s">
        <v>3026</v>
      </c>
      <c r="F488" s="1" t="s">
        <v>3026</v>
      </c>
      <c r="G488" s="1" t="s">
        <v>3023</v>
      </c>
      <c r="H488" s="1" t="s">
        <v>3027</v>
      </c>
    </row>
    <row r="489" spans="1:8" x14ac:dyDescent="0.3">
      <c r="A489" s="2" t="s">
        <v>3028</v>
      </c>
      <c r="B489" s="1" t="s">
        <v>3029</v>
      </c>
      <c r="C489" s="1" t="s">
        <v>3030</v>
      </c>
      <c r="D489" s="1" t="s">
        <v>3031</v>
      </c>
      <c r="E489" s="1" t="s">
        <v>3031</v>
      </c>
      <c r="F489" s="1" t="s">
        <v>3031</v>
      </c>
      <c r="G489" s="1" t="s">
        <v>3032</v>
      </c>
      <c r="H489" s="1" t="s">
        <v>3033</v>
      </c>
    </row>
    <row r="490" spans="1:8" x14ac:dyDescent="0.3">
      <c r="A490" s="2" t="s">
        <v>3034</v>
      </c>
      <c r="B490" s="1" t="s">
        <v>3035</v>
      </c>
      <c r="C490" s="1" t="s">
        <v>3036</v>
      </c>
      <c r="D490" s="1" t="s">
        <v>3037</v>
      </c>
      <c r="E490" s="1" t="s">
        <v>3038</v>
      </c>
      <c r="F490" s="1" t="s">
        <v>3039</v>
      </c>
      <c r="G490" s="1" t="s">
        <v>3040</v>
      </c>
      <c r="H490" s="1" t="s">
        <v>3041</v>
      </c>
    </row>
    <row r="491" spans="1:8" x14ac:dyDescent="0.3">
      <c r="A491" s="2" t="s">
        <v>3042</v>
      </c>
      <c r="B491" s="1" t="s">
        <v>3043</v>
      </c>
      <c r="C491" s="1" t="s">
        <v>3044</v>
      </c>
      <c r="D491" s="1" t="s">
        <v>3045</v>
      </c>
      <c r="E491" s="1" t="s">
        <v>3046</v>
      </c>
      <c r="F491" s="1" t="s">
        <v>3046</v>
      </c>
      <c r="G491" s="1" t="s">
        <v>3045</v>
      </c>
      <c r="H491" s="1" t="s">
        <v>3047</v>
      </c>
    </row>
    <row r="492" spans="1:8" x14ac:dyDescent="0.3">
      <c r="A492" s="2">
        <v>21246</v>
      </c>
      <c r="B492" s="1" t="s">
        <v>3048</v>
      </c>
      <c r="C492" s="1" t="s">
        <v>3049</v>
      </c>
      <c r="E492" s="1" t="s">
        <v>3050</v>
      </c>
      <c r="F492" s="1" t="s">
        <v>3051</v>
      </c>
      <c r="G492" s="1" t="s">
        <v>3050</v>
      </c>
      <c r="H492" s="1" t="s">
        <v>3048</v>
      </c>
    </row>
    <row r="493" spans="1:8" x14ac:dyDescent="0.3">
      <c r="A493" s="2" t="s">
        <v>3052</v>
      </c>
      <c r="B493" s="1" t="s">
        <v>3053</v>
      </c>
      <c r="C493" s="1" t="s">
        <v>3054</v>
      </c>
      <c r="D493" s="1" t="s">
        <v>3055</v>
      </c>
      <c r="E493" s="1" t="s">
        <v>3056</v>
      </c>
      <c r="F493" s="1" t="s">
        <v>3056</v>
      </c>
      <c r="G493" s="1" t="s">
        <v>3056</v>
      </c>
      <c r="H493" s="1" t="s">
        <v>3056</v>
      </c>
    </row>
    <row r="494" spans="1:8" x14ac:dyDescent="0.3">
      <c r="A494" s="2" t="s">
        <v>3057</v>
      </c>
      <c r="B494" s="1" t="s">
        <v>3058</v>
      </c>
      <c r="C494" s="1" t="s">
        <v>3059</v>
      </c>
      <c r="D494" s="1" t="s">
        <v>3060</v>
      </c>
      <c r="E494" s="1" t="s">
        <v>3060</v>
      </c>
      <c r="F494" s="1" t="s">
        <v>3061</v>
      </c>
      <c r="G494" s="1" t="s">
        <v>3060</v>
      </c>
      <c r="H494" s="1" t="s">
        <v>3060</v>
      </c>
    </row>
    <row r="495" spans="1:8" x14ac:dyDescent="0.3">
      <c r="A495" s="2" t="s">
        <v>3062</v>
      </c>
      <c r="B495" s="1" t="s">
        <v>3063</v>
      </c>
      <c r="C495" s="1" t="s">
        <v>3064</v>
      </c>
      <c r="D495" s="1" t="s">
        <v>3065</v>
      </c>
      <c r="E495" s="1" t="s">
        <v>3066</v>
      </c>
      <c r="F495" s="1" t="s">
        <v>3066</v>
      </c>
      <c r="G495" s="1" t="s">
        <v>3066</v>
      </c>
      <c r="H495" s="1" t="s">
        <v>3066</v>
      </c>
    </row>
    <row r="496" spans="1:8" x14ac:dyDescent="0.3">
      <c r="A496" s="2">
        <v>21247</v>
      </c>
      <c r="B496" s="1" t="s">
        <v>3067</v>
      </c>
      <c r="C496" s="1" t="s">
        <v>3068</v>
      </c>
      <c r="E496" s="1" t="s">
        <v>3067</v>
      </c>
      <c r="F496" s="1" t="s">
        <v>3067</v>
      </c>
      <c r="G496" s="1" t="s">
        <v>3067</v>
      </c>
      <c r="H496" s="1" t="s">
        <v>3067</v>
      </c>
    </row>
    <row r="497" spans="1:8" x14ac:dyDescent="0.3">
      <c r="A497" s="2" t="s">
        <v>3069</v>
      </c>
      <c r="B497" s="1" t="s">
        <v>3070</v>
      </c>
      <c r="C497" s="1" t="s">
        <v>3071</v>
      </c>
      <c r="D497" s="1" t="s">
        <v>3072</v>
      </c>
      <c r="E497" s="1" t="s">
        <v>3072</v>
      </c>
      <c r="F497" s="1" t="s">
        <v>3072</v>
      </c>
      <c r="G497" s="1" t="s">
        <v>3072</v>
      </c>
      <c r="H497" s="1" t="s">
        <v>3073</v>
      </c>
    </row>
    <row r="498" spans="1:8" x14ac:dyDescent="0.3">
      <c r="A498" s="2" t="s">
        <v>3074</v>
      </c>
      <c r="B498" s="1" t="s">
        <v>3075</v>
      </c>
      <c r="C498" s="1" t="s">
        <v>3076</v>
      </c>
      <c r="D498" s="1" t="s">
        <v>3077</v>
      </c>
      <c r="E498" s="1" t="s">
        <v>3077</v>
      </c>
      <c r="F498" s="1" t="s">
        <v>3078</v>
      </c>
      <c r="G498" s="1" t="s">
        <v>3077</v>
      </c>
      <c r="H498" s="1" t="s">
        <v>3078</v>
      </c>
    </row>
    <row r="499" spans="1:8" x14ac:dyDescent="0.3">
      <c r="A499" s="2" t="s">
        <v>3079</v>
      </c>
      <c r="B499" s="1" t="s">
        <v>3080</v>
      </c>
      <c r="C499" s="1" t="s">
        <v>3081</v>
      </c>
      <c r="D499" s="1" t="s">
        <v>3082</v>
      </c>
      <c r="E499" s="1" t="s">
        <v>3083</v>
      </c>
      <c r="F499" s="1" t="s">
        <v>3083</v>
      </c>
      <c r="G499" s="1" t="s">
        <v>3083</v>
      </c>
      <c r="H499" s="1" t="s">
        <v>3082</v>
      </c>
    </row>
    <row r="500" spans="1:8" x14ac:dyDescent="0.3">
      <c r="A500" s="2">
        <v>21248</v>
      </c>
      <c r="B500" s="1" t="s">
        <v>3084</v>
      </c>
      <c r="C500" s="1" t="s">
        <v>3085</v>
      </c>
      <c r="E500" s="1" t="s">
        <v>3084</v>
      </c>
      <c r="F500" s="1" t="s">
        <v>3084</v>
      </c>
      <c r="G500" s="1" t="s">
        <v>3084</v>
      </c>
      <c r="H500" s="1" t="s">
        <v>3084</v>
      </c>
    </row>
    <row r="501" spans="1:8" x14ac:dyDescent="0.3">
      <c r="A501" s="2" t="s">
        <v>3086</v>
      </c>
      <c r="B501" s="1" t="s">
        <v>3087</v>
      </c>
      <c r="C501" s="1" t="s">
        <v>3088</v>
      </c>
      <c r="D501" s="1" t="s">
        <v>3089</v>
      </c>
      <c r="E501" s="1" t="s">
        <v>3090</v>
      </c>
      <c r="F501" s="1" t="s">
        <v>3090</v>
      </c>
      <c r="G501" s="1" t="s">
        <v>3090</v>
      </c>
      <c r="H501" s="1" t="s">
        <v>3090</v>
      </c>
    </row>
    <row r="502" spans="1:8" x14ac:dyDescent="0.3">
      <c r="A502" s="2" t="s">
        <v>3091</v>
      </c>
      <c r="B502" s="1" t="s">
        <v>3092</v>
      </c>
      <c r="C502" s="1" t="s">
        <v>3093</v>
      </c>
      <c r="E502" s="1" t="s">
        <v>3094</v>
      </c>
      <c r="F502" s="1" t="s">
        <v>3095</v>
      </c>
      <c r="G502" s="1" t="s">
        <v>3094</v>
      </c>
      <c r="H502" s="1" t="s">
        <v>3095</v>
      </c>
    </row>
    <row r="503" spans="1:8" x14ac:dyDescent="0.3">
      <c r="A503" s="2" t="s">
        <v>3096</v>
      </c>
      <c r="B503" s="1" t="s">
        <v>3097</v>
      </c>
      <c r="C503" s="1" t="s">
        <v>3098</v>
      </c>
      <c r="D503" s="1" t="s">
        <v>3099</v>
      </c>
      <c r="E503" s="1" t="s">
        <v>3100</v>
      </c>
      <c r="F503" s="1" t="s">
        <v>3100</v>
      </c>
      <c r="G503" s="1" t="s">
        <v>3100</v>
      </c>
      <c r="H503" s="1" t="s">
        <v>3099</v>
      </c>
    </row>
    <row r="504" spans="1:8" x14ac:dyDescent="0.3">
      <c r="A504" s="2">
        <v>21249</v>
      </c>
      <c r="B504" s="1" t="s">
        <v>3101</v>
      </c>
      <c r="C504" s="1" t="s">
        <v>3102</v>
      </c>
      <c r="E504" s="1" t="s">
        <v>3103</v>
      </c>
      <c r="F504" s="1" t="s">
        <v>3104</v>
      </c>
      <c r="G504" s="1" t="s">
        <v>3104</v>
      </c>
      <c r="H504" s="1" t="s">
        <v>3104</v>
      </c>
    </row>
    <row r="505" spans="1:8" x14ac:dyDescent="0.3">
      <c r="A505" s="2" t="s">
        <v>3105</v>
      </c>
      <c r="B505" s="1" t="s">
        <v>3106</v>
      </c>
      <c r="C505" s="1" t="s">
        <v>3107</v>
      </c>
      <c r="D505" s="1" t="s">
        <v>3108</v>
      </c>
      <c r="E505" s="1" t="s">
        <v>3109</v>
      </c>
      <c r="F505" s="1" t="s">
        <v>3109</v>
      </c>
      <c r="G505" s="1" t="s">
        <v>3109</v>
      </c>
      <c r="H505" s="1" t="s">
        <v>3110</v>
      </c>
    </row>
    <row r="506" spans="1:8" x14ac:dyDescent="0.3">
      <c r="A506" s="2" t="s">
        <v>3111</v>
      </c>
      <c r="B506" s="1" t="s">
        <v>3112</v>
      </c>
      <c r="C506" s="1" t="s">
        <v>3113</v>
      </c>
      <c r="D506" s="1" t="s">
        <v>3114</v>
      </c>
      <c r="E506" s="1" t="s">
        <v>3114</v>
      </c>
      <c r="F506" s="1" t="s">
        <v>3115</v>
      </c>
      <c r="G506" s="1" t="s">
        <v>3114</v>
      </c>
      <c r="H506" s="1" t="s">
        <v>3114</v>
      </c>
    </row>
    <row r="507" spans="1:8" x14ac:dyDescent="0.3">
      <c r="A507" s="2" t="s">
        <v>3116</v>
      </c>
      <c r="B507" s="1" t="s">
        <v>3117</v>
      </c>
      <c r="C507" s="1" t="s">
        <v>3118</v>
      </c>
      <c r="D507" s="1" t="s">
        <v>3119</v>
      </c>
      <c r="E507" s="1" t="s">
        <v>3120</v>
      </c>
      <c r="F507" s="1" t="s">
        <v>3119</v>
      </c>
      <c r="G507" s="1" t="s">
        <v>3120</v>
      </c>
      <c r="H507" s="1" t="s">
        <v>3119</v>
      </c>
    </row>
    <row r="508" spans="1:8" x14ac:dyDescent="0.3">
      <c r="A508" s="2">
        <v>21250</v>
      </c>
      <c r="B508" s="1" t="s">
        <v>3121</v>
      </c>
      <c r="C508" s="1" t="s">
        <v>3122</v>
      </c>
      <c r="E508" s="1" t="s">
        <v>3123</v>
      </c>
      <c r="F508" s="1" t="s">
        <v>3124</v>
      </c>
      <c r="G508" s="1" t="s">
        <v>3125</v>
      </c>
      <c r="H508" s="1" t="s">
        <v>3121</v>
      </c>
    </row>
    <row r="509" spans="1:8" x14ac:dyDescent="0.3">
      <c r="A509" s="2" t="s">
        <v>3126</v>
      </c>
      <c r="B509" s="1" t="s">
        <v>3127</v>
      </c>
      <c r="C509" s="1" t="s">
        <v>3128</v>
      </c>
      <c r="D509" s="1" t="s">
        <v>3129</v>
      </c>
      <c r="E509" s="1" t="s">
        <v>3130</v>
      </c>
      <c r="F509" s="1" t="s">
        <v>3131</v>
      </c>
      <c r="G509" s="1" t="s">
        <v>3132</v>
      </c>
      <c r="H509" s="1" t="s">
        <v>3133</v>
      </c>
    </row>
    <row r="510" spans="1:8" x14ac:dyDescent="0.3">
      <c r="A510" s="2" t="s">
        <v>3134</v>
      </c>
      <c r="B510" s="1" t="s">
        <v>3135</v>
      </c>
      <c r="C510" s="1" t="s">
        <v>3136</v>
      </c>
      <c r="D510" s="1" t="s">
        <v>3137</v>
      </c>
      <c r="E510" s="1" t="s">
        <v>3138</v>
      </c>
      <c r="F510" s="1" t="s">
        <v>3139</v>
      </c>
      <c r="G510" s="1" t="s">
        <v>3140</v>
      </c>
      <c r="H510" s="1" t="s">
        <v>3141</v>
      </c>
    </row>
    <row r="511" spans="1:8" x14ac:dyDescent="0.3">
      <c r="A511" s="2" t="s">
        <v>3142</v>
      </c>
      <c r="B511" s="1" t="s">
        <v>3143</v>
      </c>
      <c r="C511" s="1" t="s">
        <v>3144</v>
      </c>
      <c r="D511" s="1" t="s">
        <v>3145</v>
      </c>
      <c r="E511" s="1" t="s">
        <v>3146</v>
      </c>
      <c r="F511" s="1" t="s">
        <v>3147</v>
      </c>
      <c r="G511" s="1" t="s">
        <v>3148</v>
      </c>
      <c r="H511" s="1" t="s">
        <v>3147</v>
      </c>
    </row>
    <row r="512" spans="1:8" x14ac:dyDescent="0.3">
      <c r="A512" s="2">
        <v>21251</v>
      </c>
      <c r="B512" s="1" t="s">
        <v>3149</v>
      </c>
      <c r="C512" s="1" t="s">
        <v>3150</v>
      </c>
      <c r="E512" s="1" t="s">
        <v>3149</v>
      </c>
      <c r="F512" s="1" t="s">
        <v>3151</v>
      </c>
      <c r="G512" s="1" t="s">
        <v>3149</v>
      </c>
      <c r="H512" s="1" t="s">
        <v>3149</v>
      </c>
    </row>
    <row r="513" spans="1:8" x14ac:dyDescent="0.3">
      <c r="A513" s="2" t="s">
        <v>3152</v>
      </c>
      <c r="B513" s="1" t="s">
        <v>3153</v>
      </c>
      <c r="C513" s="1" t="s">
        <v>3154</v>
      </c>
      <c r="D513" s="1" t="s">
        <v>3155</v>
      </c>
      <c r="E513" s="1" t="s">
        <v>3156</v>
      </c>
      <c r="F513" s="1" t="s">
        <v>3157</v>
      </c>
      <c r="G513" s="1" t="s">
        <v>3158</v>
      </c>
      <c r="H513" s="1" t="s">
        <v>3156</v>
      </c>
    </row>
    <row r="514" spans="1:8" x14ac:dyDescent="0.3">
      <c r="A514" s="2" t="s">
        <v>3159</v>
      </c>
      <c r="B514" s="1" t="s">
        <v>3160</v>
      </c>
      <c r="C514" s="1" t="s">
        <v>3161</v>
      </c>
      <c r="E514" s="1" t="s">
        <v>3162</v>
      </c>
      <c r="F514" s="1" t="s">
        <v>3162</v>
      </c>
      <c r="G514" s="1" t="s">
        <v>3163</v>
      </c>
      <c r="H514" s="1" t="s">
        <v>3162</v>
      </c>
    </row>
    <row r="515" spans="1:8" x14ac:dyDescent="0.3">
      <c r="A515" s="2" t="s">
        <v>3164</v>
      </c>
      <c r="B515" s="1" t="s">
        <v>3165</v>
      </c>
      <c r="C515" s="1" t="s">
        <v>3166</v>
      </c>
      <c r="D515" s="1" t="s">
        <v>3167</v>
      </c>
      <c r="E515" s="1" t="s">
        <v>3168</v>
      </c>
      <c r="F515" s="1" t="s">
        <v>3168</v>
      </c>
      <c r="G515" s="1" t="s">
        <v>3169</v>
      </c>
      <c r="H515" s="1" t="s">
        <v>3168</v>
      </c>
    </row>
    <row r="516" spans="1:8" x14ac:dyDescent="0.3">
      <c r="A516" s="2">
        <v>21252</v>
      </c>
      <c r="B516" s="1" t="s">
        <v>3170</v>
      </c>
      <c r="C516" s="1" t="s">
        <v>3171</v>
      </c>
      <c r="E516" s="1" t="s">
        <v>3170</v>
      </c>
      <c r="F516" s="1" t="s">
        <v>3172</v>
      </c>
      <c r="G516" s="1" t="s">
        <v>3170</v>
      </c>
      <c r="H516" s="1" t="s">
        <v>3170</v>
      </c>
    </row>
    <row r="517" spans="1:8" x14ac:dyDescent="0.3">
      <c r="A517" s="2" t="s">
        <v>3173</v>
      </c>
      <c r="B517" s="1" t="s">
        <v>3174</v>
      </c>
      <c r="C517" s="1" t="s">
        <v>3175</v>
      </c>
      <c r="D517" s="1" t="s">
        <v>3176</v>
      </c>
      <c r="E517" s="1" t="s">
        <v>3177</v>
      </c>
      <c r="F517" s="1" t="s">
        <v>3177</v>
      </c>
      <c r="G517" s="1" t="s">
        <v>3176</v>
      </c>
      <c r="H517" s="1" t="s">
        <v>3177</v>
      </c>
    </row>
    <row r="518" spans="1:8" x14ac:dyDescent="0.3">
      <c r="A518" s="2" t="s">
        <v>3178</v>
      </c>
      <c r="B518" s="1" t="s">
        <v>3179</v>
      </c>
      <c r="C518" s="1" t="s">
        <v>3180</v>
      </c>
      <c r="D518" s="1" t="s">
        <v>3181</v>
      </c>
      <c r="E518" s="1" t="s">
        <v>3182</v>
      </c>
      <c r="F518" s="1" t="s">
        <v>3183</v>
      </c>
      <c r="G518" s="1" t="s">
        <v>3181</v>
      </c>
      <c r="H518" s="1" t="s">
        <v>3182</v>
      </c>
    </row>
    <row r="519" spans="1:8" x14ac:dyDescent="0.3">
      <c r="A519" s="2" t="s">
        <v>3184</v>
      </c>
      <c r="B519" s="1" t="s">
        <v>3185</v>
      </c>
      <c r="C519" s="1" t="s">
        <v>3186</v>
      </c>
      <c r="D519" s="1" t="s">
        <v>3187</v>
      </c>
      <c r="E519" s="1" t="s">
        <v>3188</v>
      </c>
      <c r="F519" s="1" t="s">
        <v>3188</v>
      </c>
      <c r="G519" s="1" t="s">
        <v>3187</v>
      </c>
      <c r="H519" s="1" t="s">
        <v>3188</v>
      </c>
    </row>
    <row r="520" spans="1:8" x14ac:dyDescent="0.3">
      <c r="A520" s="2">
        <v>21253</v>
      </c>
      <c r="B520" s="1" t="s">
        <v>3189</v>
      </c>
      <c r="C520" s="1" t="s">
        <v>3190</v>
      </c>
      <c r="E520" s="1" t="s">
        <v>3189</v>
      </c>
      <c r="F520" s="1" t="s">
        <v>3191</v>
      </c>
      <c r="G520" s="1" t="s">
        <v>3189</v>
      </c>
      <c r="H520" s="1" t="s">
        <v>3192</v>
      </c>
    </row>
    <row r="521" spans="1:8" x14ac:dyDescent="0.3">
      <c r="A521" s="2" t="s">
        <v>3193</v>
      </c>
      <c r="B521" s="1" t="s">
        <v>3194</v>
      </c>
      <c r="C521" s="1" t="s">
        <v>3195</v>
      </c>
      <c r="D521" s="1" t="s">
        <v>3196</v>
      </c>
      <c r="E521" s="1" t="s">
        <v>3197</v>
      </c>
      <c r="F521" s="1" t="s">
        <v>3198</v>
      </c>
      <c r="G521" s="1" t="s">
        <v>3196</v>
      </c>
      <c r="H521" s="1" t="s">
        <v>3198</v>
      </c>
    </row>
    <row r="522" spans="1:8" x14ac:dyDescent="0.3">
      <c r="A522" s="2" t="s">
        <v>3199</v>
      </c>
      <c r="B522" s="1" t="s">
        <v>3200</v>
      </c>
      <c r="C522" s="1" t="s">
        <v>3201</v>
      </c>
      <c r="D522" s="1" t="s">
        <v>3202</v>
      </c>
      <c r="E522" s="1" t="s">
        <v>3203</v>
      </c>
      <c r="F522" s="1" t="s">
        <v>3204</v>
      </c>
      <c r="G522" s="1" t="s">
        <v>3202</v>
      </c>
      <c r="H522" s="1" t="s">
        <v>3203</v>
      </c>
    </row>
    <row r="523" spans="1:8" x14ac:dyDescent="0.3">
      <c r="A523" s="2" t="s">
        <v>3205</v>
      </c>
      <c r="B523" s="1" t="s">
        <v>3206</v>
      </c>
      <c r="C523" s="1" t="s">
        <v>3207</v>
      </c>
      <c r="D523" s="1" t="s">
        <v>3208</v>
      </c>
      <c r="E523" s="1" t="s">
        <v>3209</v>
      </c>
      <c r="F523" s="1" t="s">
        <v>3209</v>
      </c>
      <c r="G523" s="1" t="s">
        <v>3208</v>
      </c>
      <c r="H523" s="1" t="s">
        <v>3209</v>
      </c>
    </row>
    <row r="524" spans="1:8" x14ac:dyDescent="0.3">
      <c r="A524" s="2">
        <v>21254</v>
      </c>
      <c r="B524" s="1" t="s">
        <v>3210</v>
      </c>
      <c r="C524" s="1" t="s">
        <v>3210</v>
      </c>
      <c r="E524" s="1" t="s">
        <v>3210</v>
      </c>
      <c r="F524" s="1" t="s">
        <v>3210</v>
      </c>
      <c r="G524" s="1" t="s">
        <v>3210</v>
      </c>
      <c r="H524" s="1" t="s">
        <v>3211</v>
      </c>
    </row>
    <row r="525" spans="1:8" x14ac:dyDescent="0.3">
      <c r="A525" s="2" t="s">
        <v>3212</v>
      </c>
      <c r="B525" s="1" t="s">
        <v>3213</v>
      </c>
      <c r="C525" s="1" t="s">
        <v>3214</v>
      </c>
      <c r="D525" s="1" t="s">
        <v>3215</v>
      </c>
      <c r="E525" s="1" t="s">
        <v>3216</v>
      </c>
      <c r="F525" s="1" t="s">
        <v>3216</v>
      </c>
      <c r="G525" s="1" t="s">
        <v>3215</v>
      </c>
      <c r="H525" s="1" t="s">
        <v>3215</v>
      </c>
    </row>
    <row r="526" spans="1:8" x14ac:dyDescent="0.3">
      <c r="A526" s="2" t="s">
        <v>3217</v>
      </c>
      <c r="B526" s="1" t="s">
        <v>3218</v>
      </c>
      <c r="C526" s="1" t="s">
        <v>3219</v>
      </c>
      <c r="D526" s="1" t="s">
        <v>3220</v>
      </c>
      <c r="E526" s="1" t="s">
        <v>3221</v>
      </c>
      <c r="F526" s="1" t="s">
        <v>3222</v>
      </c>
      <c r="G526" s="1" t="s">
        <v>3221</v>
      </c>
      <c r="H526" s="1" t="s">
        <v>3223</v>
      </c>
    </row>
    <row r="527" spans="1:8" x14ac:dyDescent="0.3">
      <c r="A527" s="2" t="s">
        <v>3224</v>
      </c>
      <c r="B527" s="1" t="s">
        <v>3225</v>
      </c>
      <c r="C527" s="1" t="s">
        <v>3226</v>
      </c>
      <c r="D527" s="1" t="s">
        <v>3227</v>
      </c>
      <c r="E527" s="1" t="s">
        <v>3228</v>
      </c>
      <c r="F527" s="1" t="s">
        <v>3228</v>
      </c>
      <c r="G527" s="1" t="s">
        <v>3228</v>
      </c>
      <c r="H527" s="1" t="s">
        <v>3228</v>
      </c>
    </row>
    <row r="528" spans="1:8" x14ac:dyDescent="0.3">
      <c r="A528" s="2">
        <v>21255</v>
      </c>
      <c r="B528" s="1" t="s">
        <v>3229</v>
      </c>
      <c r="C528" s="1" t="s">
        <v>3230</v>
      </c>
      <c r="E528" s="1" t="s">
        <v>3231</v>
      </c>
      <c r="F528" s="1" t="s">
        <v>3231</v>
      </c>
      <c r="G528" s="1" t="s">
        <v>3231</v>
      </c>
      <c r="H528" s="1" t="s">
        <v>3231</v>
      </c>
    </row>
    <row r="529" spans="1:8" x14ac:dyDescent="0.3">
      <c r="A529" s="2">
        <v>21256</v>
      </c>
      <c r="B529" s="1" t="s">
        <v>3232</v>
      </c>
    </row>
    <row r="530" spans="1:8" x14ac:dyDescent="0.3">
      <c r="A530" s="2" t="s">
        <v>3233</v>
      </c>
      <c r="B530" s="1" t="s">
        <v>3234</v>
      </c>
      <c r="C530" s="1" t="s">
        <v>3235</v>
      </c>
      <c r="D530" s="1" t="s">
        <v>3236</v>
      </c>
      <c r="E530" s="1" t="s">
        <v>3237</v>
      </c>
      <c r="F530" s="1" t="s">
        <v>3236</v>
      </c>
      <c r="G530" s="1" t="s">
        <v>3238</v>
      </c>
      <c r="H530" s="1" t="s">
        <v>3236</v>
      </c>
    </row>
    <row r="531" spans="1:8" x14ac:dyDescent="0.3">
      <c r="A531" s="2" t="s">
        <v>3239</v>
      </c>
      <c r="B531" s="1" t="s">
        <v>3240</v>
      </c>
      <c r="C531" s="1" t="s">
        <v>3241</v>
      </c>
      <c r="E531" s="1" t="s">
        <v>3242</v>
      </c>
      <c r="F531" s="1" t="s">
        <v>3242</v>
      </c>
      <c r="G531" s="1" t="s">
        <v>3242</v>
      </c>
      <c r="H531" s="1" t="s">
        <v>3243</v>
      </c>
    </row>
    <row r="532" spans="1:8" x14ac:dyDescent="0.3">
      <c r="A532" s="2" t="s">
        <v>3244</v>
      </c>
      <c r="B532" s="1" t="s">
        <v>3245</v>
      </c>
      <c r="C532" s="1" t="s">
        <v>3246</v>
      </c>
      <c r="E532" s="1" t="s">
        <v>3247</v>
      </c>
      <c r="F532" s="1" t="s">
        <v>3247</v>
      </c>
      <c r="G532" s="1" t="s">
        <v>3247</v>
      </c>
      <c r="H532" s="1" t="s">
        <v>3248</v>
      </c>
    </row>
    <row r="533" spans="1:8" x14ac:dyDescent="0.3">
      <c r="A533" s="2">
        <v>21257</v>
      </c>
      <c r="B533" s="1" t="s">
        <v>3249</v>
      </c>
    </row>
    <row r="534" spans="1:8" x14ac:dyDescent="0.3">
      <c r="A534" s="2" t="s">
        <v>3250</v>
      </c>
      <c r="B534" s="1" t="s">
        <v>3251</v>
      </c>
      <c r="C534" s="1" t="s">
        <v>3252</v>
      </c>
      <c r="E534" s="1" t="s">
        <v>3253</v>
      </c>
      <c r="G534" s="1" t="s">
        <v>3253</v>
      </c>
      <c r="H534" s="1" t="s">
        <v>3254</v>
      </c>
    </row>
    <row r="535" spans="1:8" x14ac:dyDescent="0.3">
      <c r="A535" s="2" t="s">
        <v>3255</v>
      </c>
      <c r="B535" s="1" t="s">
        <v>3256</v>
      </c>
      <c r="C535" s="1" t="s">
        <v>3257</v>
      </c>
      <c r="E535" s="1" t="s">
        <v>3258</v>
      </c>
      <c r="F535" s="1" t="s">
        <v>3259</v>
      </c>
      <c r="G535" s="1" t="s">
        <v>3258</v>
      </c>
      <c r="H535" s="1" t="s">
        <v>3260</v>
      </c>
    </row>
    <row r="536" spans="1:8" x14ac:dyDescent="0.3">
      <c r="A536" s="2" t="s">
        <v>3261</v>
      </c>
      <c r="B536" s="1" t="s">
        <v>3262</v>
      </c>
      <c r="C536" s="1" t="s">
        <v>3263</v>
      </c>
      <c r="E536" s="1" t="s">
        <v>3264</v>
      </c>
      <c r="G536" s="1" t="s">
        <v>3265</v>
      </c>
      <c r="H536" s="1" t="s">
        <v>57</v>
      </c>
    </row>
    <row r="537" spans="1:8" x14ac:dyDescent="0.3">
      <c r="A537" s="2">
        <v>21258</v>
      </c>
      <c r="B537" s="1" t="s">
        <v>3266</v>
      </c>
    </row>
    <row r="538" spans="1:8" x14ac:dyDescent="0.3">
      <c r="A538" s="2" t="s">
        <v>3267</v>
      </c>
      <c r="B538" s="1" t="s">
        <v>3268</v>
      </c>
      <c r="C538" s="1" t="s">
        <v>3269</v>
      </c>
      <c r="F538" s="1" t="s">
        <v>3270</v>
      </c>
      <c r="G538" s="1" t="s">
        <v>3271</v>
      </c>
      <c r="H538" s="1" t="s">
        <v>57</v>
      </c>
    </row>
    <row r="539" spans="1:8" x14ac:dyDescent="0.3">
      <c r="A539" s="2" t="s">
        <v>3272</v>
      </c>
      <c r="B539" s="1" t="s">
        <v>3273</v>
      </c>
      <c r="C539" s="1" t="s">
        <v>3274</v>
      </c>
      <c r="F539" s="1" t="s">
        <v>3275</v>
      </c>
      <c r="G539" s="1" t="s">
        <v>3276</v>
      </c>
      <c r="H539" s="1" t="s">
        <v>3277</v>
      </c>
    </row>
    <row r="540" spans="1:8" x14ac:dyDescent="0.3">
      <c r="A540" s="2" t="s">
        <v>3278</v>
      </c>
      <c r="B540" s="1" t="s">
        <v>3279</v>
      </c>
      <c r="C540" s="1" t="s">
        <v>3280</v>
      </c>
      <c r="F540" s="1" t="s">
        <v>3281</v>
      </c>
      <c r="G540" s="1" t="s">
        <v>3282</v>
      </c>
      <c r="H540" s="1" t="s">
        <v>3283</v>
      </c>
    </row>
    <row r="541" spans="1:8" x14ac:dyDescent="0.3">
      <c r="A541" s="2">
        <v>21259</v>
      </c>
      <c r="B541" s="1" t="s">
        <v>3284</v>
      </c>
    </row>
    <row r="542" spans="1:8" x14ac:dyDescent="0.3">
      <c r="A542" s="2" t="s">
        <v>3285</v>
      </c>
      <c r="B542" s="1" t="s">
        <v>3286</v>
      </c>
      <c r="C542" s="1" t="s">
        <v>3287</v>
      </c>
      <c r="D542" s="1" t="s">
        <v>3288</v>
      </c>
      <c r="E542" s="1" t="s">
        <v>3289</v>
      </c>
      <c r="F542" s="1" t="s">
        <v>3290</v>
      </c>
      <c r="G542" s="1" t="s">
        <v>3291</v>
      </c>
      <c r="H542" s="1" t="s">
        <v>3292</v>
      </c>
    </row>
    <row r="543" spans="1:8" x14ac:dyDescent="0.3">
      <c r="A543" s="2" t="s">
        <v>3293</v>
      </c>
      <c r="B543" s="1" t="s">
        <v>3294</v>
      </c>
      <c r="C543" s="1" t="s">
        <v>3295</v>
      </c>
      <c r="E543" s="1" t="s">
        <v>3276</v>
      </c>
      <c r="F543" s="1" t="s">
        <v>3296</v>
      </c>
      <c r="G543" s="1" t="s">
        <v>3297</v>
      </c>
      <c r="H543" s="1" t="s">
        <v>3298</v>
      </c>
    </row>
    <row r="544" spans="1:8" x14ac:dyDescent="0.3">
      <c r="A544" s="2" t="s">
        <v>3299</v>
      </c>
      <c r="B544" s="1" t="s">
        <v>3300</v>
      </c>
      <c r="C544" s="1" t="s">
        <v>3301</v>
      </c>
      <c r="F544" s="1" t="s">
        <v>3282</v>
      </c>
      <c r="G544" s="1" t="s">
        <v>3302</v>
      </c>
      <c r="H544" s="1" t="s">
        <v>57</v>
      </c>
    </row>
    <row r="545" spans="1:8" x14ac:dyDescent="0.3">
      <c r="A545" s="2">
        <v>21260</v>
      </c>
      <c r="B545" s="1" t="s">
        <v>3303</v>
      </c>
      <c r="F545" s="1" t="s">
        <v>3304</v>
      </c>
    </row>
    <row r="546" spans="1:8" x14ac:dyDescent="0.3">
      <c r="A546" s="2" t="s">
        <v>3305</v>
      </c>
      <c r="B546" s="1" t="s">
        <v>3306</v>
      </c>
      <c r="C546" s="1" t="s">
        <v>3307</v>
      </c>
      <c r="E546" s="1" t="s">
        <v>3308</v>
      </c>
      <c r="F546" s="1" t="s">
        <v>3309</v>
      </c>
      <c r="G546" s="1" t="s">
        <v>3310</v>
      </c>
      <c r="H546" s="1" t="s">
        <v>3311</v>
      </c>
    </row>
    <row r="547" spans="1:8" x14ac:dyDescent="0.3">
      <c r="A547" s="2" t="s">
        <v>3312</v>
      </c>
      <c r="B547" s="1" t="s">
        <v>3313</v>
      </c>
      <c r="C547" s="1" t="s">
        <v>3314</v>
      </c>
      <c r="E547" s="1" t="s">
        <v>3297</v>
      </c>
      <c r="F547" s="1" t="s">
        <v>3315</v>
      </c>
      <c r="G547" s="1" t="s">
        <v>3316</v>
      </c>
      <c r="H547" s="1" t="s">
        <v>3317</v>
      </c>
    </row>
    <row r="548" spans="1:8" x14ac:dyDescent="0.3">
      <c r="A548" s="2" t="s">
        <v>3318</v>
      </c>
      <c r="B548" s="1" t="s">
        <v>3319</v>
      </c>
      <c r="C548" s="1" t="s">
        <v>3320</v>
      </c>
      <c r="E548" s="1" t="s">
        <v>3321</v>
      </c>
      <c r="F548" s="1" t="s">
        <v>3322</v>
      </c>
      <c r="G548" s="1" t="s">
        <v>3321</v>
      </c>
      <c r="H548" s="1" t="s">
        <v>3323</v>
      </c>
    </row>
    <row r="549" spans="1:8" x14ac:dyDescent="0.3">
      <c r="A549" s="2">
        <v>21261</v>
      </c>
      <c r="B549" s="1" t="s">
        <v>3324</v>
      </c>
    </row>
    <row r="550" spans="1:8" x14ac:dyDescent="0.3">
      <c r="A550" s="2" t="s">
        <v>3325</v>
      </c>
      <c r="B550" s="1" t="s">
        <v>3326</v>
      </c>
      <c r="C550" s="1" t="s">
        <v>3327</v>
      </c>
      <c r="E550" s="1" t="s">
        <v>3328</v>
      </c>
      <c r="F550" s="1" t="s">
        <v>3329</v>
      </c>
      <c r="G550" s="1" t="s">
        <v>3330</v>
      </c>
      <c r="H550" s="1" t="s">
        <v>3331</v>
      </c>
    </row>
    <row r="551" spans="1:8" x14ac:dyDescent="0.3">
      <c r="A551" s="2" t="s">
        <v>3332</v>
      </c>
      <c r="B551" s="1" t="s">
        <v>3333</v>
      </c>
      <c r="C551" s="1" t="s">
        <v>3334</v>
      </c>
      <c r="E551" s="1" t="s">
        <v>3335</v>
      </c>
      <c r="F551" s="1" t="s">
        <v>3336</v>
      </c>
      <c r="G551" s="1" t="s">
        <v>3337</v>
      </c>
      <c r="H551" s="1" t="s">
        <v>3338</v>
      </c>
    </row>
    <row r="552" spans="1:8" x14ac:dyDescent="0.3">
      <c r="A552" s="2" t="s">
        <v>3339</v>
      </c>
      <c r="B552" s="1" t="s">
        <v>3340</v>
      </c>
      <c r="C552" s="1" t="s">
        <v>3341</v>
      </c>
      <c r="E552" s="1" t="s">
        <v>3342</v>
      </c>
      <c r="F552" s="1" t="s">
        <v>3343</v>
      </c>
      <c r="G552" s="1" t="s">
        <v>3344</v>
      </c>
      <c r="H552" s="1" t="s">
        <v>3345</v>
      </c>
    </row>
    <row r="553" spans="1:8" x14ac:dyDescent="0.3">
      <c r="A553" s="2">
        <v>21262</v>
      </c>
      <c r="B553" s="1" t="s">
        <v>3346</v>
      </c>
    </row>
    <row r="554" spans="1:8" x14ac:dyDescent="0.3">
      <c r="A554" s="2" t="s">
        <v>3347</v>
      </c>
      <c r="B554" s="1" t="s">
        <v>3348</v>
      </c>
      <c r="C554" s="1" t="s">
        <v>3349</v>
      </c>
      <c r="E554" s="1" t="s">
        <v>3350</v>
      </c>
      <c r="F554" s="1" t="s">
        <v>3351</v>
      </c>
      <c r="G554" s="1" t="s">
        <v>3352</v>
      </c>
      <c r="H554" s="1" t="s">
        <v>3353</v>
      </c>
    </row>
    <row r="555" spans="1:8" x14ac:dyDescent="0.3">
      <c r="A555" s="2" t="s">
        <v>3354</v>
      </c>
      <c r="B555" s="1" t="s">
        <v>3355</v>
      </c>
      <c r="C555" s="1" t="s">
        <v>3356</v>
      </c>
      <c r="E555" s="1" t="s">
        <v>3337</v>
      </c>
      <c r="F555" s="1" t="s">
        <v>3357</v>
      </c>
      <c r="G555" s="1" t="s">
        <v>3358</v>
      </c>
    </row>
    <row r="556" spans="1:8" x14ac:dyDescent="0.3">
      <c r="A556" s="2" t="s">
        <v>3359</v>
      </c>
      <c r="B556" s="1" t="s">
        <v>3360</v>
      </c>
      <c r="C556" s="1" t="s">
        <v>3361</v>
      </c>
      <c r="E556" s="1" t="s">
        <v>3362</v>
      </c>
      <c r="F556" s="1" t="s">
        <v>3363</v>
      </c>
      <c r="G556" s="1" t="s">
        <v>3364</v>
      </c>
      <c r="H556" s="1" t="s">
        <v>3363</v>
      </c>
    </row>
    <row r="557" spans="1:8" x14ac:dyDescent="0.3">
      <c r="A557" s="2">
        <v>21263</v>
      </c>
      <c r="B557" s="1" t="s">
        <v>3365</v>
      </c>
      <c r="G557" s="1" t="s">
        <v>3366</v>
      </c>
    </row>
    <row r="558" spans="1:8" x14ac:dyDescent="0.3">
      <c r="A558" s="2" t="s">
        <v>3367</v>
      </c>
      <c r="B558" s="1" t="s">
        <v>3368</v>
      </c>
      <c r="C558" s="1" t="s">
        <v>3369</v>
      </c>
      <c r="E558" s="1" t="s">
        <v>3370</v>
      </c>
      <c r="G558" s="1" t="s">
        <v>3371</v>
      </c>
      <c r="H558" s="1" t="s">
        <v>3372</v>
      </c>
    </row>
    <row r="559" spans="1:8" x14ac:dyDescent="0.3">
      <c r="A559" s="2" t="s">
        <v>3373</v>
      </c>
      <c r="B559" s="1" t="s">
        <v>3374</v>
      </c>
      <c r="C559" s="1" t="s">
        <v>3375</v>
      </c>
      <c r="G559" s="1" t="s">
        <v>3376</v>
      </c>
      <c r="H559" s="1" t="s">
        <v>3377</v>
      </c>
    </row>
    <row r="560" spans="1:8" x14ac:dyDescent="0.3">
      <c r="A560" s="2" t="s">
        <v>3378</v>
      </c>
      <c r="B560" s="1" t="s">
        <v>3379</v>
      </c>
      <c r="C560" s="1" t="s">
        <v>3380</v>
      </c>
      <c r="E560" s="1" t="s">
        <v>3381</v>
      </c>
      <c r="F560" s="1" t="s">
        <v>3382</v>
      </c>
      <c r="G560" s="1" t="s">
        <v>3381</v>
      </c>
      <c r="H560" s="1" t="s">
        <v>3383</v>
      </c>
    </row>
    <row r="561" spans="1:8" x14ac:dyDescent="0.3">
      <c r="A561" s="2">
        <v>21264</v>
      </c>
      <c r="B561" s="1" t="s">
        <v>3384</v>
      </c>
      <c r="C561" s="1" t="s">
        <v>3385</v>
      </c>
    </row>
    <row r="562" spans="1:8" x14ac:dyDescent="0.3">
      <c r="A562" s="2" t="s">
        <v>3386</v>
      </c>
      <c r="B562" s="1" t="s">
        <v>3387</v>
      </c>
      <c r="C562" s="1" t="s">
        <v>3388</v>
      </c>
      <c r="E562" s="1" t="s">
        <v>3372</v>
      </c>
      <c r="F562" s="1" t="s">
        <v>3389</v>
      </c>
    </row>
    <row r="563" spans="1:8" x14ac:dyDescent="0.3">
      <c r="A563" s="2" t="s">
        <v>3390</v>
      </c>
      <c r="B563" s="1" t="s">
        <v>3391</v>
      </c>
      <c r="C563" s="1" t="s">
        <v>3392</v>
      </c>
      <c r="E563" s="1" t="s">
        <v>3393</v>
      </c>
      <c r="H563" s="1" t="s">
        <v>3394</v>
      </c>
    </row>
    <row r="564" spans="1:8" x14ac:dyDescent="0.3">
      <c r="A564" s="2" t="s">
        <v>3395</v>
      </c>
      <c r="B564" s="1" t="s">
        <v>3396</v>
      </c>
      <c r="C564" s="1" t="s">
        <v>3397</v>
      </c>
      <c r="G564" s="1" t="s">
        <v>3398</v>
      </c>
      <c r="H564" s="1" t="s">
        <v>3399</v>
      </c>
    </row>
    <row r="565" spans="1:8" x14ac:dyDescent="0.3">
      <c r="A565" s="2">
        <v>21265</v>
      </c>
      <c r="B565" s="1" t="s">
        <v>3400</v>
      </c>
    </row>
    <row r="566" spans="1:8" x14ac:dyDescent="0.3">
      <c r="A566" s="2" t="s">
        <v>3401</v>
      </c>
      <c r="B566" s="1" t="s">
        <v>3402</v>
      </c>
      <c r="C566" s="1" t="s">
        <v>3403</v>
      </c>
      <c r="E566" s="1" t="s">
        <v>3404</v>
      </c>
      <c r="F566" s="1" t="s">
        <v>3405</v>
      </c>
      <c r="G566" s="1" t="s">
        <v>3406</v>
      </c>
      <c r="H566" s="1" t="s">
        <v>3407</v>
      </c>
    </row>
    <row r="567" spans="1:8" x14ac:dyDescent="0.3">
      <c r="A567" s="2" t="s">
        <v>3408</v>
      </c>
      <c r="B567" s="1" t="s">
        <v>3409</v>
      </c>
      <c r="C567" s="1" t="s">
        <v>3410</v>
      </c>
      <c r="E567" s="1" t="s">
        <v>3411</v>
      </c>
      <c r="F567" s="1" t="s">
        <v>3412</v>
      </c>
      <c r="G567" s="1" t="s">
        <v>3413</v>
      </c>
      <c r="H567" s="1" t="s">
        <v>3414</v>
      </c>
    </row>
    <row r="568" spans="1:8" x14ac:dyDescent="0.3">
      <c r="A568" s="2" t="s">
        <v>3415</v>
      </c>
      <c r="B568" s="1" t="s">
        <v>3416</v>
      </c>
      <c r="C568" s="1" t="s">
        <v>3417</v>
      </c>
      <c r="F568" s="1" t="s">
        <v>3418</v>
      </c>
      <c r="G568" s="1" t="s">
        <v>3418</v>
      </c>
      <c r="H568" s="1" t="s">
        <v>3419</v>
      </c>
    </row>
    <row r="569" spans="1:8" x14ac:dyDescent="0.3">
      <c r="A569" s="2">
        <v>21301</v>
      </c>
      <c r="B569" s="1" t="s">
        <v>3420</v>
      </c>
      <c r="C569" s="1" t="s">
        <v>3421</v>
      </c>
      <c r="D569" s="1" t="s">
        <v>3422</v>
      </c>
      <c r="E569" s="1" t="s">
        <v>3423</v>
      </c>
      <c r="F569" s="1" t="s">
        <v>3424</v>
      </c>
      <c r="G569" s="1" t="s">
        <v>3425</v>
      </c>
      <c r="H569" s="1" t="s">
        <v>3420</v>
      </c>
    </row>
    <row r="570" spans="1:8" x14ac:dyDescent="0.3">
      <c r="A570" s="2">
        <v>21302</v>
      </c>
      <c r="B570" s="1" t="s">
        <v>3426</v>
      </c>
      <c r="C570" s="1" t="s">
        <v>3427</v>
      </c>
      <c r="D570" s="1" t="s">
        <v>3428</v>
      </c>
      <c r="E570" s="1" t="s">
        <v>3429</v>
      </c>
      <c r="F570" s="1" t="s">
        <v>3430</v>
      </c>
      <c r="G570" s="1" t="s">
        <v>3431</v>
      </c>
      <c r="H570" s="1" t="s">
        <v>3432</v>
      </c>
    </row>
    <row r="571" spans="1:8" x14ac:dyDescent="0.3">
      <c r="A571" s="2">
        <v>21303</v>
      </c>
      <c r="B571" s="1" t="s">
        <v>3433</v>
      </c>
      <c r="C571" s="1" t="s">
        <v>3434</v>
      </c>
      <c r="D571" s="1" t="s">
        <v>3435</v>
      </c>
      <c r="E571" s="1" t="s">
        <v>3433</v>
      </c>
      <c r="F571" s="1" t="s">
        <v>3436</v>
      </c>
      <c r="G571" s="1" t="s">
        <v>3437</v>
      </c>
      <c r="H571" s="1" t="s">
        <v>3433</v>
      </c>
    </row>
    <row r="572" spans="1:8" x14ac:dyDescent="0.3">
      <c r="A572" s="2">
        <v>21304</v>
      </c>
      <c r="B572" s="1" t="s">
        <v>3438</v>
      </c>
      <c r="C572" s="1" t="s">
        <v>3439</v>
      </c>
      <c r="D572" s="1" t="s">
        <v>3440</v>
      </c>
      <c r="E572" s="1" t="s">
        <v>3441</v>
      </c>
      <c r="F572" s="1" t="s">
        <v>3442</v>
      </c>
      <c r="G572" s="1" t="s">
        <v>3443</v>
      </c>
      <c r="H572" s="1" t="s">
        <v>3440</v>
      </c>
    </row>
    <row r="573" spans="1:8" x14ac:dyDescent="0.3">
      <c r="A573" s="2">
        <v>21305</v>
      </c>
      <c r="B573" s="1" t="s">
        <v>3444</v>
      </c>
      <c r="C573" s="1" t="s">
        <v>57</v>
      </c>
      <c r="D573" s="1" t="s">
        <v>3445</v>
      </c>
      <c r="E573" s="1" t="s">
        <v>57</v>
      </c>
      <c r="F573" s="1" t="s">
        <v>3446</v>
      </c>
      <c r="H573" s="1" t="s">
        <v>3447</v>
      </c>
    </row>
    <row r="574" spans="1:8" x14ac:dyDescent="0.3">
      <c r="A574" s="2">
        <v>21306</v>
      </c>
      <c r="B574" s="1" t="s">
        <v>3448</v>
      </c>
      <c r="C574" s="1" t="s">
        <v>3449</v>
      </c>
      <c r="D574" s="1" t="s">
        <v>3450</v>
      </c>
      <c r="E574" s="1" t="s">
        <v>3451</v>
      </c>
      <c r="F574" s="1" t="s">
        <v>3452</v>
      </c>
      <c r="G574" s="1" t="s">
        <v>3453</v>
      </c>
      <c r="H574" s="1" t="s">
        <v>3454</v>
      </c>
    </row>
    <row r="575" spans="1:8" x14ac:dyDescent="0.3">
      <c r="A575" s="2">
        <v>21307</v>
      </c>
      <c r="B575" s="1" t="s">
        <v>3455</v>
      </c>
      <c r="C575" s="1" t="s">
        <v>3456</v>
      </c>
      <c r="D575" s="1" t="s">
        <v>3457</v>
      </c>
      <c r="E575" s="1" t="s">
        <v>3458</v>
      </c>
      <c r="F575" s="1" t="s">
        <v>3458</v>
      </c>
      <c r="G575" s="1" t="s">
        <v>3459</v>
      </c>
      <c r="H575" s="1" t="s">
        <v>3460</v>
      </c>
    </row>
    <row r="576" spans="1:8" x14ac:dyDescent="0.3">
      <c r="A576" s="2">
        <v>21308</v>
      </c>
      <c r="B576" s="1" t="s">
        <v>3461</v>
      </c>
      <c r="C576" s="1" t="s">
        <v>3462</v>
      </c>
      <c r="D576" s="1" t="s">
        <v>3463</v>
      </c>
      <c r="E576" s="1" t="s">
        <v>3464</v>
      </c>
      <c r="F576" s="1" t="s">
        <v>3465</v>
      </c>
      <c r="G576" s="1" t="s">
        <v>3466</v>
      </c>
      <c r="H576" s="1" t="s">
        <v>3461</v>
      </c>
    </row>
    <row r="577" spans="1:8" x14ac:dyDescent="0.3">
      <c r="A577" s="2">
        <v>21309</v>
      </c>
      <c r="B577" s="1" t="s">
        <v>3467</v>
      </c>
      <c r="C577" s="1" t="s">
        <v>3468</v>
      </c>
      <c r="D577" s="1" t="s">
        <v>3469</v>
      </c>
      <c r="E577" s="1" t="s">
        <v>3470</v>
      </c>
      <c r="F577" s="1" t="s">
        <v>3467</v>
      </c>
      <c r="G577" s="1" t="s">
        <v>3471</v>
      </c>
      <c r="H577" s="1" t="s">
        <v>3472</v>
      </c>
    </row>
    <row r="578" spans="1:8" x14ac:dyDescent="0.3">
      <c r="A578" s="2">
        <v>21310</v>
      </c>
      <c r="B578" s="1" t="s">
        <v>3473</v>
      </c>
      <c r="C578" s="1" t="s">
        <v>3474</v>
      </c>
      <c r="D578" s="1" t="s">
        <v>3475</v>
      </c>
      <c r="E578" s="1" t="s">
        <v>3476</v>
      </c>
      <c r="F578" s="1" t="s">
        <v>3477</v>
      </c>
      <c r="G578" s="1" t="s">
        <v>3477</v>
      </c>
      <c r="H578" s="1" t="s">
        <v>3478</v>
      </c>
    </row>
    <row r="579" spans="1:8" x14ac:dyDescent="0.3">
      <c r="A579" s="2">
        <v>21311</v>
      </c>
      <c r="B579" s="1" t="s">
        <v>3479</v>
      </c>
      <c r="C579" s="1" t="s">
        <v>3480</v>
      </c>
      <c r="D579" s="1" t="s">
        <v>3481</v>
      </c>
      <c r="E579" s="1" t="s">
        <v>3482</v>
      </c>
      <c r="F579" s="1" t="s">
        <v>3483</v>
      </c>
      <c r="G579" s="1" t="s">
        <v>3484</v>
      </c>
      <c r="H579" s="1" t="s">
        <v>3485</v>
      </c>
    </row>
    <row r="580" spans="1:8" x14ac:dyDescent="0.3">
      <c r="A580" s="2">
        <v>21312</v>
      </c>
      <c r="B580" s="1" t="s">
        <v>3486</v>
      </c>
      <c r="C580" s="1" t="s">
        <v>3487</v>
      </c>
      <c r="D580" s="1" t="s">
        <v>3488</v>
      </c>
      <c r="E580" s="1" t="s">
        <v>3489</v>
      </c>
      <c r="F580" s="1" t="s">
        <v>3490</v>
      </c>
      <c r="G580" s="1" t="s">
        <v>3491</v>
      </c>
      <c r="H580" s="1" t="s">
        <v>3492</v>
      </c>
    </row>
    <row r="581" spans="1:8" x14ac:dyDescent="0.3">
      <c r="A581" s="2">
        <v>21313</v>
      </c>
      <c r="B581" s="1" t="s">
        <v>3493</v>
      </c>
      <c r="C581" s="1" t="s">
        <v>3494</v>
      </c>
      <c r="D581" s="1" t="s">
        <v>3495</v>
      </c>
      <c r="E581" s="1" t="s">
        <v>3493</v>
      </c>
      <c r="F581" s="1" t="s">
        <v>3496</v>
      </c>
      <c r="G581" s="1" t="s">
        <v>3493</v>
      </c>
      <c r="H581" s="1" t="s">
        <v>3493</v>
      </c>
    </row>
    <row r="582" spans="1:8" x14ac:dyDescent="0.3">
      <c r="A582" s="2">
        <v>21314</v>
      </c>
      <c r="B582" s="1" t="s">
        <v>3497</v>
      </c>
      <c r="C582" s="1" t="s">
        <v>3498</v>
      </c>
      <c r="D582" s="1" t="s">
        <v>3499</v>
      </c>
      <c r="E582" s="1" t="s">
        <v>3497</v>
      </c>
      <c r="F582" s="1" t="s">
        <v>3500</v>
      </c>
      <c r="G582" s="1" t="s">
        <v>3501</v>
      </c>
      <c r="H582" s="1" t="s">
        <v>3502</v>
      </c>
    </row>
    <row r="583" spans="1:8" x14ac:dyDescent="0.3">
      <c r="A583" s="2">
        <v>21315</v>
      </c>
      <c r="B583" s="1" t="s">
        <v>3503</v>
      </c>
      <c r="C583" s="1" t="s">
        <v>3504</v>
      </c>
      <c r="E583" s="1" t="s">
        <v>3505</v>
      </c>
      <c r="F583" s="1" t="s">
        <v>3506</v>
      </c>
      <c r="G583" s="1" t="s">
        <v>3507</v>
      </c>
      <c r="H583" s="1" t="s">
        <v>3508</v>
      </c>
    </row>
    <row r="584" spans="1:8" x14ac:dyDescent="0.3">
      <c r="A584" s="2" t="s">
        <v>3509</v>
      </c>
      <c r="B584" s="1" t="e">
        <f>-에</f>
        <v>#NAME?</v>
      </c>
      <c r="C584" s="1" t="s">
        <v>3510</v>
      </c>
      <c r="D584" s="1" t="s">
        <v>3511</v>
      </c>
      <c r="E584" s="1" t="s">
        <v>3512</v>
      </c>
      <c r="F584" s="1" t="s">
        <v>3513</v>
      </c>
      <c r="G584" s="1" t="s">
        <v>3514</v>
      </c>
      <c r="H584" s="1" t="s">
        <v>3515</v>
      </c>
    </row>
    <row r="585" spans="1:8" x14ac:dyDescent="0.3">
      <c r="A585" s="2" t="s">
        <v>3516</v>
      </c>
      <c r="B585" s="1" t="e">
        <f>-을</f>
        <v>#NAME?</v>
      </c>
      <c r="C585" s="1" t="s">
        <v>3517</v>
      </c>
      <c r="D585" s="1" t="s">
        <v>3518</v>
      </c>
      <c r="E585" s="1" t="s">
        <v>3519</v>
      </c>
      <c r="F585" s="1" t="s">
        <v>3520</v>
      </c>
      <c r="G585" s="1" t="s">
        <v>3521</v>
      </c>
      <c r="H585" s="1" t="s">
        <v>3514</v>
      </c>
    </row>
    <row r="586" spans="1:8" x14ac:dyDescent="0.3">
      <c r="A586" s="2">
        <v>21316</v>
      </c>
      <c r="B586" s="1" t="s">
        <v>3522</v>
      </c>
      <c r="C586" s="1" t="s">
        <v>3523</v>
      </c>
      <c r="D586" s="1" t="s">
        <v>3524</v>
      </c>
      <c r="E586" s="1" t="s">
        <v>3525</v>
      </c>
      <c r="F586" s="1" t="s">
        <v>3526</v>
      </c>
      <c r="G586" s="1" t="s">
        <v>3527</v>
      </c>
      <c r="H586" s="1" t="s">
        <v>3528</v>
      </c>
    </row>
    <row r="587" spans="1:8" x14ac:dyDescent="0.3">
      <c r="A587" s="2">
        <v>21317</v>
      </c>
      <c r="B587" s="1" t="s">
        <v>3529</v>
      </c>
      <c r="C587" s="1" t="s">
        <v>3530</v>
      </c>
      <c r="D587" s="1" t="s">
        <v>3531</v>
      </c>
      <c r="E587" s="1" t="s">
        <v>3532</v>
      </c>
      <c r="F587" s="1" t="s">
        <v>3533</v>
      </c>
      <c r="G587" s="1" t="s">
        <v>3534</v>
      </c>
      <c r="H587" s="1" t="s">
        <v>3535</v>
      </c>
    </row>
    <row r="588" spans="1:8" x14ac:dyDescent="0.3">
      <c r="A588" s="2">
        <v>21318</v>
      </c>
      <c r="B588" s="1" t="s">
        <v>3536</v>
      </c>
      <c r="C588" s="1" t="s">
        <v>3537</v>
      </c>
      <c r="D588" s="1" t="s">
        <v>3538</v>
      </c>
      <c r="E588" s="1" t="s">
        <v>3539</v>
      </c>
      <c r="F588" s="1" t="s">
        <v>3540</v>
      </c>
      <c r="G588" s="1" t="s">
        <v>3541</v>
      </c>
      <c r="H588" s="1" t="s">
        <v>3542</v>
      </c>
    </row>
    <row r="589" spans="1:8" x14ac:dyDescent="0.3">
      <c r="A589" s="2">
        <v>21319</v>
      </c>
      <c r="B589" s="1" t="s">
        <v>3543</v>
      </c>
      <c r="C589" s="1" t="s">
        <v>3544</v>
      </c>
      <c r="D589" s="1" t="s">
        <v>3545</v>
      </c>
      <c r="E589" s="1" t="s">
        <v>3546</v>
      </c>
      <c r="F589" s="1" t="s">
        <v>3547</v>
      </c>
      <c r="G589" s="1" t="s">
        <v>3548</v>
      </c>
      <c r="H589" s="1" t="s">
        <v>3549</v>
      </c>
    </row>
    <row r="590" spans="1:8" x14ac:dyDescent="0.3">
      <c r="A590" s="2">
        <v>21320</v>
      </c>
      <c r="B590" s="1" t="s">
        <v>3550</v>
      </c>
      <c r="C590" s="1" t="s">
        <v>3551</v>
      </c>
      <c r="D590" s="1" t="s">
        <v>3552</v>
      </c>
      <c r="E590" s="1" t="s">
        <v>3553</v>
      </c>
      <c r="F590" s="1" t="s">
        <v>3554</v>
      </c>
      <c r="G590" s="1" t="s">
        <v>3555</v>
      </c>
      <c r="H590" s="1" t="s">
        <v>3556</v>
      </c>
    </row>
    <row r="591" spans="1:8" x14ac:dyDescent="0.3">
      <c r="A591" s="2">
        <v>21321</v>
      </c>
      <c r="B591" s="1" t="s">
        <v>3557</v>
      </c>
      <c r="C591" s="1" t="s">
        <v>3558</v>
      </c>
      <c r="D591" s="1" t="s">
        <v>3559</v>
      </c>
      <c r="E591" s="1" t="s">
        <v>3560</v>
      </c>
      <c r="F591" s="1" t="s">
        <v>3557</v>
      </c>
      <c r="G591" s="1" t="s">
        <v>3561</v>
      </c>
      <c r="H591" s="1" t="s">
        <v>3562</v>
      </c>
    </row>
    <row r="592" spans="1:8" x14ac:dyDescent="0.3">
      <c r="A592" s="2">
        <v>21322</v>
      </c>
      <c r="B592" s="1" t="s">
        <v>3563</v>
      </c>
      <c r="C592" s="1" t="s">
        <v>3564</v>
      </c>
      <c r="D592" s="1" t="s">
        <v>3565</v>
      </c>
      <c r="E592" s="1" t="s">
        <v>3566</v>
      </c>
      <c r="F592" s="1" t="s">
        <v>3563</v>
      </c>
      <c r="G592" s="1" t="s">
        <v>3567</v>
      </c>
      <c r="H592" s="1" t="s">
        <v>3567</v>
      </c>
    </row>
    <row r="593" spans="1:8" x14ac:dyDescent="0.3">
      <c r="A593" s="2">
        <v>21323</v>
      </c>
      <c r="B593" s="1" t="s">
        <v>3568</v>
      </c>
      <c r="C593" s="1" t="s">
        <v>3569</v>
      </c>
      <c r="D593" s="1" t="s">
        <v>3570</v>
      </c>
      <c r="E593" s="1" t="s">
        <v>3571</v>
      </c>
      <c r="F593" s="1" t="s">
        <v>3572</v>
      </c>
      <c r="G593" s="1" t="s">
        <v>3573</v>
      </c>
      <c r="H593" s="1" t="s">
        <v>3572</v>
      </c>
    </row>
    <row r="594" spans="1:8" x14ac:dyDescent="0.3">
      <c r="A594" s="2">
        <v>21324</v>
      </c>
      <c r="B594" s="1" t="s">
        <v>3574</v>
      </c>
      <c r="C594" s="1" t="s">
        <v>3575</v>
      </c>
      <c r="D594" s="1" t="s">
        <v>3576</v>
      </c>
      <c r="E594" s="1" t="s">
        <v>3577</v>
      </c>
      <c r="F594" s="1" t="s">
        <v>3578</v>
      </c>
      <c r="G594" s="1" t="s">
        <v>3579</v>
      </c>
      <c r="H594" s="1" t="s">
        <v>3580</v>
      </c>
    </row>
    <row r="595" spans="1:8" x14ac:dyDescent="0.3">
      <c r="A595" s="2">
        <v>21325</v>
      </c>
      <c r="B595" s="1" t="s">
        <v>3581</v>
      </c>
      <c r="C595" s="1" t="s">
        <v>3582</v>
      </c>
      <c r="D595" s="1" t="s">
        <v>3583</v>
      </c>
      <c r="E595" s="1" t="s">
        <v>3584</v>
      </c>
      <c r="F595" s="1" t="s">
        <v>3585</v>
      </c>
      <c r="G595" s="1" t="s">
        <v>3586</v>
      </c>
      <c r="H595" s="1" t="s">
        <v>3587</v>
      </c>
    </row>
    <row r="596" spans="1:8" x14ac:dyDescent="0.3">
      <c r="A596" s="2">
        <v>21326</v>
      </c>
      <c r="B596" s="1" t="s">
        <v>3588</v>
      </c>
      <c r="C596" s="1" t="s">
        <v>3589</v>
      </c>
      <c r="D596" s="1" t="s">
        <v>3590</v>
      </c>
      <c r="E596" s="1" t="s">
        <v>3591</v>
      </c>
      <c r="F596" s="1" t="s">
        <v>3592</v>
      </c>
      <c r="G596" s="1" t="s">
        <v>3593</v>
      </c>
      <c r="H596" s="1" t="s">
        <v>3588</v>
      </c>
    </row>
    <row r="597" spans="1:8" x14ac:dyDescent="0.3">
      <c r="A597" s="2">
        <v>21327</v>
      </c>
      <c r="B597" s="1" t="s">
        <v>3594</v>
      </c>
      <c r="C597" s="1" t="s">
        <v>3595</v>
      </c>
      <c r="D597" s="1" t="s">
        <v>3596</v>
      </c>
      <c r="E597" s="1" t="s">
        <v>3597</v>
      </c>
      <c r="F597" s="1" t="s">
        <v>3598</v>
      </c>
      <c r="G597" s="1" t="s">
        <v>3599</v>
      </c>
      <c r="H597" s="1" t="s">
        <v>3597</v>
      </c>
    </row>
    <row r="598" spans="1:8" x14ac:dyDescent="0.3">
      <c r="A598" s="2">
        <v>21328</v>
      </c>
      <c r="B598" s="1" t="s">
        <v>3600</v>
      </c>
      <c r="C598" s="1" t="s">
        <v>3601</v>
      </c>
      <c r="D598" s="1" t="s">
        <v>3602</v>
      </c>
      <c r="E598" s="1" t="s">
        <v>3603</v>
      </c>
      <c r="F598" s="1" t="s">
        <v>3604</v>
      </c>
      <c r="G598" s="1" t="s">
        <v>3600</v>
      </c>
      <c r="H598" s="1" t="s">
        <v>3605</v>
      </c>
    </row>
    <row r="599" spans="1:8" x14ac:dyDescent="0.3">
      <c r="A599" s="2">
        <v>21329</v>
      </c>
      <c r="B599" s="1" t="s">
        <v>3606</v>
      </c>
      <c r="C599" s="1" t="s">
        <v>3607</v>
      </c>
      <c r="D599" s="1" t="s">
        <v>3606</v>
      </c>
      <c r="E599" s="1" t="s">
        <v>3606</v>
      </c>
      <c r="F599" s="1" t="s">
        <v>3608</v>
      </c>
      <c r="G599" s="1" t="s">
        <v>3606</v>
      </c>
      <c r="H599" s="1" t="s">
        <v>3606</v>
      </c>
    </row>
    <row r="600" spans="1:8" x14ac:dyDescent="0.3">
      <c r="A600" s="2">
        <v>21330</v>
      </c>
      <c r="B600" s="1" t="s">
        <v>3609</v>
      </c>
      <c r="C600" s="1" t="s">
        <v>3610</v>
      </c>
      <c r="D600" s="1" t="s">
        <v>3611</v>
      </c>
      <c r="E600" s="1" t="s">
        <v>3612</v>
      </c>
      <c r="F600" s="1" t="s">
        <v>3613</v>
      </c>
      <c r="G600" s="1" t="s">
        <v>3614</v>
      </c>
      <c r="H600" s="1" t="s">
        <v>3611</v>
      </c>
    </row>
    <row r="601" spans="1:8" x14ac:dyDescent="0.3">
      <c r="A601" s="2">
        <v>21331</v>
      </c>
      <c r="B601" s="1" t="s">
        <v>3615</v>
      </c>
      <c r="C601" s="1" t="s">
        <v>3616</v>
      </c>
      <c r="E601" s="1" t="s">
        <v>3617</v>
      </c>
      <c r="F601" s="1" t="s">
        <v>3618</v>
      </c>
      <c r="G601" s="1" t="s">
        <v>3619</v>
      </c>
      <c r="H601" s="1" t="s">
        <v>3620</v>
      </c>
    </row>
    <row r="602" spans="1:8" x14ac:dyDescent="0.3">
      <c r="A602" s="2" t="s">
        <v>3621</v>
      </c>
      <c r="B602" s="1" t="e">
        <f>-에</f>
        <v>#NAME?</v>
      </c>
      <c r="C602" s="1" t="s">
        <v>3622</v>
      </c>
      <c r="D602" s="1" t="s">
        <v>3623</v>
      </c>
      <c r="E602" s="1" t="s">
        <v>3624</v>
      </c>
      <c r="F602" s="1" t="s">
        <v>3623</v>
      </c>
      <c r="G602" s="1" t="s">
        <v>3625</v>
      </c>
      <c r="H602" s="1" t="s">
        <v>3626</v>
      </c>
    </row>
    <row r="603" spans="1:8" x14ac:dyDescent="0.3">
      <c r="A603" s="2">
        <v>21332</v>
      </c>
      <c r="B603" s="1" t="s">
        <v>3627</v>
      </c>
      <c r="C603" s="1" t="s">
        <v>3628</v>
      </c>
      <c r="D603" s="1" t="s">
        <v>3629</v>
      </c>
      <c r="E603" s="1" t="s">
        <v>3629</v>
      </c>
      <c r="F603" s="1" t="s">
        <v>3629</v>
      </c>
      <c r="G603" s="1" t="s">
        <v>3630</v>
      </c>
      <c r="H603" s="1" t="s">
        <v>3631</v>
      </c>
    </row>
    <row r="604" spans="1:8" x14ac:dyDescent="0.3">
      <c r="A604" s="2">
        <v>21333</v>
      </c>
      <c r="B604" s="1" t="s">
        <v>3632</v>
      </c>
      <c r="C604" s="1" t="s">
        <v>3633</v>
      </c>
      <c r="D604" s="1" t="s">
        <v>3634</v>
      </c>
      <c r="E604" s="1" t="s">
        <v>3635</v>
      </c>
      <c r="F604" s="1" t="s">
        <v>3636</v>
      </c>
      <c r="G604" s="1" t="s">
        <v>3637</v>
      </c>
      <c r="H604" s="1" t="s">
        <v>3638</v>
      </c>
    </row>
    <row r="605" spans="1:8" x14ac:dyDescent="0.3">
      <c r="A605" s="2">
        <v>21334</v>
      </c>
      <c r="B605" s="1" t="s">
        <v>3639</v>
      </c>
      <c r="C605" s="1" t="s">
        <v>3640</v>
      </c>
      <c r="D605" s="1" t="s">
        <v>3641</v>
      </c>
      <c r="E605" s="1" t="s">
        <v>3639</v>
      </c>
      <c r="F605" s="1" t="s">
        <v>3642</v>
      </c>
      <c r="G605" s="1" t="s">
        <v>3643</v>
      </c>
      <c r="H605" s="1" t="s">
        <v>3644</v>
      </c>
    </row>
    <row r="606" spans="1:8" x14ac:dyDescent="0.3">
      <c r="A606" s="2">
        <v>21335</v>
      </c>
      <c r="B606" s="1" t="s">
        <v>3645</v>
      </c>
      <c r="C606" s="1" t="s">
        <v>3646</v>
      </c>
      <c r="D606" s="1" t="s">
        <v>3647</v>
      </c>
      <c r="E606" s="1" t="s">
        <v>3645</v>
      </c>
      <c r="F606" s="1" t="s">
        <v>3648</v>
      </c>
      <c r="G606" s="1" t="s">
        <v>3649</v>
      </c>
      <c r="H606" s="1" t="s">
        <v>3645</v>
      </c>
    </row>
    <row r="607" spans="1:8" x14ac:dyDescent="0.3">
      <c r="A607" s="2">
        <v>21336</v>
      </c>
      <c r="B607" s="1" t="s">
        <v>3650</v>
      </c>
      <c r="C607" s="1" t="s">
        <v>3651</v>
      </c>
      <c r="D607" s="1" t="s">
        <v>3652</v>
      </c>
      <c r="E607" s="1" t="s">
        <v>3653</v>
      </c>
      <c r="F607" s="1" t="s">
        <v>57</v>
      </c>
      <c r="G607" s="1" t="s">
        <v>3652</v>
      </c>
      <c r="H607" s="1" t="s">
        <v>3652</v>
      </c>
    </row>
    <row r="608" spans="1:8" x14ac:dyDescent="0.3">
      <c r="A608" s="2">
        <v>21337</v>
      </c>
      <c r="B608" s="1" t="s">
        <v>3654</v>
      </c>
      <c r="C608" s="1" t="s">
        <v>3655</v>
      </c>
      <c r="D608" s="1" t="s">
        <v>3656</v>
      </c>
      <c r="E608" s="1" t="s">
        <v>3657</v>
      </c>
      <c r="F608" s="1" t="s">
        <v>3658</v>
      </c>
      <c r="G608" s="1" t="s">
        <v>3659</v>
      </c>
      <c r="H608" s="1" t="s">
        <v>3660</v>
      </c>
    </row>
    <row r="609" spans="1:8" x14ac:dyDescent="0.3">
      <c r="A609" s="2">
        <v>21338</v>
      </c>
      <c r="B609" s="1" t="s">
        <v>3661</v>
      </c>
      <c r="C609" s="1" t="s">
        <v>3662</v>
      </c>
      <c r="D609" s="1" t="s">
        <v>3663</v>
      </c>
      <c r="E609" s="1" t="s">
        <v>3664</v>
      </c>
      <c r="F609" s="1" t="s">
        <v>3665</v>
      </c>
      <c r="G609" s="1" t="s">
        <v>3666</v>
      </c>
      <c r="H609" s="1" t="s">
        <v>3667</v>
      </c>
    </row>
    <row r="610" spans="1:8" x14ac:dyDescent="0.3">
      <c r="A610" s="2" t="s">
        <v>3668</v>
      </c>
      <c r="B610" s="1" t="s">
        <v>3669</v>
      </c>
      <c r="C610" s="1" t="s">
        <v>3670</v>
      </c>
      <c r="D610" s="1" t="s">
        <v>3671</v>
      </c>
      <c r="E610" s="1" t="s">
        <v>3672</v>
      </c>
      <c r="F610" s="1" t="s">
        <v>3673</v>
      </c>
      <c r="G610" s="1" t="s">
        <v>3674</v>
      </c>
      <c r="H610" s="1" t="s">
        <v>3675</v>
      </c>
    </row>
    <row r="611" spans="1:8" x14ac:dyDescent="0.3">
      <c r="A611" s="2">
        <v>21339</v>
      </c>
      <c r="B611" s="1" t="s">
        <v>3676</v>
      </c>
      <c r="C611" s="1" t="s">
        <v>3677</v>
      </c>
      <c r="D611" s="1" t="s">
        <v>3678</v>
      </c>
      <c r="E611" s="1" t="s">
        <v>3678</v>
      </c>
      <c r="F611" s="1" t="s">
        <v>3678</v>
      </c>
      <c r="G611" s="1" t="s">
        <v>3678</v>
      </c>
      <c r="H611" s="1" t="s">
        <v>3678</v>
      </c>
    </row>
    <row r="612" spans="1:8" x14ac:dyDescent="0.3">
      <c r="A612" s="2">
        <v>21340</v>
      </c>
      <c r="B612" s="1" t="s">
        <v>3679</v>
      </c>
      <c r="C612" s="1" t="s">
        <v>3680</v>
      </c>
      <c r="D612" s="1" t="s">
        <v>3681</v>
      </c>
      <c r="E612" s="1" t="s">
        <v>3682</v>
      </c>
      <c r="F612" s="1" t="s">
        <v>57</v>
      </c>
      <c r="G612" s="1" t="s">
        <v>3683</v>
      </c>
      <c r="H612" s="1" t="s">
        <v>3684</v>
      </c>
    </row>
    <row r="613" spans="1:8" x14ac:dyDescent="0.3">
      <c r="A613" s="2">
        <v>21401</v>
      </c>
      <c r="B613" s="1" t="s">
        <v>3685</v>
      </c>
      <c r="C613" s="1" t="s">
        <v>3686</v>
      </c>
      <c r="D613" s="1" t="s">
        <v>3687</v>
      </c>
      <c r="E613" s="1" t="s">
        <v>3685</v>
      </c>
      <c r="F613" s="1" t="s">
        <v>3688</v>
      </c>
      <c r="G613" s="1" t="s">
        <v>3689</v>
      </c>
      <c r="H613" s="1" t="s">
        <v>3685</v>
      </c>
    </row>
    <row r="614" spans="1:8" x14ac:dyDescent="0.3">
      <c r="A614" s="2" t="s">
        <v>3690</v>
      </c>
      <c r="B614" s="1" t="s">
        <v>3691</v>
      </c>
      <c r="C614" s="1" t="s">
        <v>3692</v>
      </c>
      <c r="D614" s="1" t="s">
        <v>3691</v>
      </c>
      <c r="E614" s="1" t="s">
        <v>3691</v>
      </c>
      <c r="F614" s="1" t="s">
        <v>3693</v>
      </c>
      <c r="G614" s="1" t="s">
        <v>3694</v>
      </c>
      <c r="H614" s="1" t="s">
        <v>3691</v>
      </c>
    </row>
    <row r="615" spans="1:8" x14ac:dyDescent="0.3">
      <c r="A615" s="2">
        <v>21402</v>
      </c>
      <c r="B615" s="1" t="s">
        <v>3695</v>
      </c>
      <c r="C615" s="1" t="s">
        <v>3696</v>
      </c>
      <c r="D615" s="1" t="s">
        <v>3697</v>
      </c>
      <c r="E615" s="1" t="s">
        <v>3698</v>
      </c>
      <c r="F615" s="1" t="s">
        <v>3699</v>
      </c>
      <c r="G615" s="1" t="s">
        <v>3700</v>
      </c>
      <c r="H615" s="1" t="s">
        <v>3701</v>
      </c>
    </row>
    <row r="616" spans="1:8" x14ac:dyDescent="0.3">
      <c r="A616" s="2" t="s">
        <v>3702</v>
      </c>
      <c r="B616" s="1" t="s">
        <v>3703</v>
      </c>
      <c r="C616" s="1" t="s">
        <v>3704</v>
      </c>
      <c r="E616" s="1" t="s">
        <v>3705</v>
      </c>
      <c r="F616" s="1" t="s">
        <v>3706</v>
      </c>
      <c r="H616" s="1" t="s">
        <v>3707</v>
      </c>
    </row>
    <row r="617" spans="1:8" x14ac:dyDescent="0.3">
      <c r="A617" s="2">
        <v>21403</v>
      </c>
      <c r="B617" s="1" t="s">
        <v>3708</v>
      </c>
      <c r="C617" s="1" t="s">
        <v>3709</v>
      </c>
      <c r="D617" s="1" t="s">
        <v>3710</v>
      </c>
      <c r="E617" s="1" t="s">
        <v>3711</v>
      </c>
      <c r="F617" s="1" t="s">
        <v>3712</v>
      </c>
      <c r="G617" s="1" t="s">
        <v>3713</v>
      </c>
      <c r="H617" s="1" t="s">
        <v>3714</v>
      </c>
    </row>
    <row r="618" spans="1:8" x14ac:dyDescent="0.3">
      <c r="A618" s="2" t="s">
        <v>3715</v>
      </c>
      <c r="B618" s="1" t="s">
        <v>3716</v>
      </c>
      <c r="C618" s="1" t="s">
        <v>3717</v>
      </c>
      <c r="E618" s="1" t="s">
        <v>3718</v>
      </c>
      <c r="F618" s="1" t="s">
        <v>3719</v>
      </c>
      <c r="G618" s="1" t="s">
        <v>3720</v>
      </c>
      <c r="H618" s="1" t="s">
        <v>3721</v>
      </c>
    </row>
    <row r="619" spans="1:8" x14ac:dyDescent="0.3">
      <c r="A619" s="2">
        <v>21404</v>
      </c>
      <c r="B619" s="1" t="s">
        <v>3722</v>
      </c>
      <c r="C619" s="1" t="s">
        <v>3723</v>
      </c>
      <c r="D619" s="1" t="s">
        <v>3724</v>
      </c>
      <c r="E619" s="1" t="s">
        <v>3725</v>
      </c>
      <c r="F619" s="1" t="s">
        <v>3726</v>
      </c>
      <c r="H619" s="1" t="s">
        <v>3727</v>
      </c>
    </row>
    <row r="620" spans="1:8" x14ac:dyDescent="0.3">
      <c r="A620" s="2">
        <v>21405</v>
      </c>
      <c r="B620" s="1" t="s">
        <v>3728</v>
      </c>
      <c r="C620" s="1" t="s">
        <v>3729</v>
      </c>
      <c r="D620" s="1" t="s">
        <v>3730</v>
      </c>
      <c r="E620" s="1" t="s">
        <v>3731</v>
      </c>
      <c r="F620" s="1" t="s">
        <v>3732</v>
      </c>
      <c r="G620" s="1" t="s">
        <v>3733</v>
      </c>
      <c r="H620" s="1" t="s">
        <v>3734</v>
      </c>
    </row>
    <row r="621" spans="1:8" x14ac:dyDescent="0.3">
      <c r="A621" s="2">
        <v>21406</v>
      </c>
      <c r="B621" s="1" t="s">
        <v>3735</v>
      </c>
      <c r="C621" s="1" t="s">
        <v>3736</v>
      </c>
      <c r="D621" s="1" t="s">
        <v>3737</v>
      </c>
      <c r="E621" s="1" t="s">
        <v>3738</v>
      </c>
      <c r="F621" s="1" t="s">
        <v>3739</v>
      </c>
      <c r="G621" s="1" t="s">
        <v>3740</v>
      </c>
      <c r="H621" s="1" t="s">
        <v>3737</v>
      </c>
    </row>
    <row r="622" spans="1:8" x14ac:dyDescent="0.3">
      <c r="A622" s="2">
        <v>21407</v>
      </c>
      <c r="B622" s="1" t="s">
        <v>3741</v>
      </c>
      <c r="C622" s="1" t="s">
        <v>3742</v>
      </c>
      <c r="D622" s="1" t="s">
        <v>3743</v>
      </c>
      <c r="E622" s="1" t="s">
        <v>3744</v>
      </c>
      <c r="F622" s="1" t="s">
        <v>3745</v>
      </c>
      <c r="G622" s="1" t="s">
        <v>3746</v>
      </c>
      <c r="H622" s="1" t="s">
        <v>3747</v>
      </c>
    </row>
    <row r="623" spans="1:8" x14ac:dyDescent="0.3">
      <c r="A623" s="2">
        <v>21408</v>
      </c>
      <c r="B623" s="1" t="s">
        <v>3748</v>
      </c>
      <c r="C623" s="1" t="s">
        <v>3749</v>
      </c>
      <c r="D623" s="1" t="s">
        <v>3750</v>
      </c>
      <c r="E623" s="1" t="s">
        <v>3748</v>
      </c>
      <c r="F623" s="1" t="s">
        <v>3751</v>
      </c>
      <c r="G623" s="1" t="s">
        <v>3752</v>
      </c>
      <c r="H623" s="1" t="s">
        <v>3753</v>
      </c>
    </row>
    <row r="624" spans="1:8" x14ac:dyDescent="0.3">
      <c r="A624" s="2">
        <v>21409</v>
      </c>
      <c r="B624" s="1" t="s">
        <v>3754</v>
      </c>
      <c r="C624" s="1" t="s">
        <v>3755</v>
      </c>
      <c r="D624" s="1" t="s">
        <v>3756</v>
      </c>
      <c r="E624" s="1" t="s">
        <v>3757</v>
      </c>
      <c r="F624" s="1" t="s">
        <v>3758</v>
      </c>
      <c r="G624" s="1" t="s">
        <v>3756</v>
      </c>
      <c r="H624" s="1" t="s">
        <v>3756</v>
      </c>
    </row>
    <row r="625" spans="1:8" x14ac:dyDescent="0.3">
      <c r="A625" s="2">
        <v>21410</v>
      </c>
      <c r="B625" s="1" t="s">
        <v>3759</v>
      </c>
      <c r="C625" s="1" t="s">
        <v>3760</v>
      </c>
      <c r="D625" s="1" t="s">
        <v>3761</v>
      </c>
      <c r="E625" s="1" t="s">
        <v>3762</v>
      </c>
      <c r="F625" s="1" t="s">
        <v>3763</v>
      </c>
      <c r="G625" s="1" t="s">
        <v>3764</v>
      </c>
      <c r="H625" s="1" t="s">
        <v>3765</v>
      </c>
    </row>
    <row r="626" spans="1:8" x14ac:dyDescent="0.3">
      <c r="A626" s="2">
        <v>21411</v>
      </c>
      <c r="B626" s="1" t="s">
        <v>3766</v>
      </c>
      <c r="C626" s="1" t="s">
        <v>3767</v>
      </c>
      <c r="D626" s="1" t="s">
        <v>3768</v>
      </c>
      <c r="E626" s="1" t="s">
        <v>3768</v>
      </c>
      <c r="F626" s="1" t="s">
        <v>3769</v>
      </c>
      <c r="G626" s="1" t="s">
        <v>3768</v>
      </c>
      <c r="H626" s="1" t="s">
        <v>3770</v>
      </c>
    </row>
    <row r="627" spans="1:8" x14ac:dyDescent="0.3">
      <c r="A627" s="2" t="s">
        <v>3771</v>
      </c>
      <c r="B627" s="1" t="e">
        <f>-을</f>
        <v>#NAME?</v>
      </c>
      <c r="C627" s="1" t="s">
        <v>3772</v>
      </c>
      <c r="F627" s="1" t="s">
        <v>3773</v>
      </c>
      <c r="G627" s="1" t="s">
        <v>3774</v>
      </c>
      <c r="H627" s="1" t="s">
        <v>3775</v>
      </c>
    </row>
    <row r="628" spans="1:8" x14ac:dyDescent="0.3">
      <c r="A628" s="2" t="s">
        <v>3776</v>
      </c>
      <c r="B628" s="1" t="e">
        <f>-에</f>
        <v>#NAME?</v>
      </c>
      <c r="C628" s="1" t="s">
        <v>3777</v>
      </c>
      <c r="F628" s="1" t="s">
        <v>3778</v>
      </c>
      <c r="G628" s="1" t="s">
        <v>3779</v>
      </c>
      <c r="H628" s="1" t="s">
        <v>3780</v>
      </c>
    </row>
    <row r="629" spans="1:8" x14ac:dyDescent="0.3">
      <c r="A629" s="2">
        <v>21412</v>
      </c>
      <c r="B629" s="1" t="s">
        <v>3781</v>
      </c>
      <c r="C629" s="1" t="s">
        <v>3782</v>
      </c>
      <c r="D629" s="1" t="s">
        <v>3783</v>
      </c>
      <c r="F629" s="1" t="s">
        <v>3784</v>
      </c>
      <c r="G629" s="1" t="s">
        <v>3785</v>
      </c>
      <c r="H629" s="1" t="s">
        <v>3786</v>
      </c>
    </row>
    <row r="630" spans="1:8" x14ac:dyDescent="0.3">
      <c r="A630" s="2" t="s">
        <v>3787</v>
      </c>
      <c r="B630" s="1" t="e">
        <f>-고</f>
        <v>#NAME?</v>
      </c>
      <c r="D630" s="1" t="s">
        <v>3788</v>
      </c>
      <c r="F630" s="1" t="s">
        <v>3789</v>
      </c>
      <c r="G630" s="1" t="s">
        <v>3790</v>
      </c>
      <c r="H630" s="1" t="s">
        <v>3791</v>
      </c>
    </row>
    <row r="631" spans="1:8" x14ac:dyDescent="0.3">
      <c r="A631" s="2" t="s">
        <v>3792</v>
      </c>
      <c r="B631" s="1" t="e">
        <f>-어라</f>
        <v>#NAME?</v>
      </c>
      <c r="C631" s="1" t="s">
        <v>3793</v>
      </c>
      <c r="D631" s="1" t="s">
        <v>3794</v>
      </c>
      <c r="E631" s="1" t="s">
        <v>3795</v>
      </c>
      <c r="F631" s="1" t="s">
        <v>3796</v>
      </c>
      <c r="G631" s="1" t="s">
        <v>3797</v>
      </c>
      <c r="H631" s="1" t="s">
        <v>3798</v>
      </c>
    </row>
    <row r="632" spans="1:8" x14ac:dyDescent="0.3">
      <c r="A632" s="2">
        <v>21413</v>
      </c>
      <c r="B632" s="1" t="s">
        <v>3799</v>
      </c>
      <c r="C632" s="1" t="s">
        <v>3800</v>
      </c>
      <c r="D632" s="1" t="s">
        <v>3801</v>
      </c>
      <c r="E632" s="1" t="s">
        <v>3802</v>
      </c>
      <c r="F632" s="1" t="s">
        <v>3802</v>
      </c>
      <c r="G632" s="1" t="s">
        <v>3803</v>
      </c>
      <c r="H632" s="1" t="s">
        <v>3804</v>
      </c>
    </row>
    <row r="633" spans="1:8" x14ac:dyDescent="0.3">
      <c r="A633" s="2" t="s">
        <v>3805</v>
      </c>
      <c r="B633" s="1" t="e">
        <f>-을</f>
        <v>#NAME?</v>
      </c>
      <c r="C633" s="1" t="s">
        <v>3806</v>
      </c>
      <c r="D633" s="1" t="s">
        <v>3807</v>
      </c>
      <c r="E633" s="1" t="s">
        <v>3808</v>
      </c>
      <c r="F633" s="1" t="s">
        <v>3809</v>
      </c>
      <c r="G633" s="1" t="s">
        <v>3810</v>
      </c>
      <c r="H633" s="1" t="s">
        <v>3811</v>
      </c>
    </row>
    <row r="634" spans="1:8" x14ac:dyDescent="0.3">
      <c r="A634" s="2" t="s">
        <v>3812</v>
      </c>
      <c r="B634" s="1" t="e">
        <f>-에</f>
        <v>#NAME?</v>
      </c>
      <c r="C634" s="1" t="s">
        <v>3813</v>
      </c>
      <c r="F634" s="1" t="s">
        <v>3814</v>
      </c>
      <c r="G634" s="1" t="s">
        <v>3815</v>
      </c>
      <c r="H634" s="1" t="s">
        <v>3816</v>
      </c>
    </row>
    <row r="635" spans="1:8" x14ac:dyDescent="0.3">
      <c r="A635" s="2">
        <v>21414</v>
      </c>
      <c r="B635" s="1" t="s">
        <v>3817</v>
      </c>
      <c r="C635" s="1" t="s">
        <v>3818</v>
      </c>
      <c r="D635" s="1" t="s">
        <v>3819</v>
      </c>
      <c r="E635" s="1" t="s">
        <v>3820</v>
      </c>
      <c r="F635" s="1" t="s">
        <v>3821</v>
      </c>
      <c r="G635" s="1" t="s">
        <v>3822</v>
      </c>
      <c r="H635" s="1" t="s">
        <v>3823</v>
      </c>
    </row>
    <row r="636" spans="1:8" x14ac:dyDescent="0.3">
      <c r="A636" s="2">
        <v>21415</v>
      </c>
      <c r="B636" s="1" t="s">
        <v>3824</v>
      </c>
      <c r="E636" s="1" t="s">
        <v>3825</v>
      </c>
      <c r="F636" s="1" t="s">
        <v>3826</v>
      </c>
      <c r="G636" s="1" t="s">
        <v>3827</v>
      </c>
      <c r="H636" s="1" t="s">
        <v>3828</v>
      </c>
    </row>
    <row r="637" spans="1:8" x14ac:dyDescent="0.3">
      <c r="A637" s="2" t="s">
        <v>3829</v>
      </c>
      <c r="B637" s="1" t="e">
        <f>-고</f>
        <v>#NAME?</v>
      </c>
      <c r="C637" s="1" t="s">
        <v>3830</v>
      </c>
      <c r="D637" s="1" t="s">
        <v>3831</v>
      </c>
      <c r="E637" s="1" t="s">
        <v>3832</v>
      </c>
      <c r="F637" s="1" t="s">
        <v>3833</v>
      </c>
      <c r="G637" s="1" t="s">
        <v>3834</v>
      </c>
      <c r="H637" s="1" t="s">
        <v>3835</v>
      </c>
    </row>
    <row r="638" spans="1:8" x14ac:dyDescent="0.3">
      <c r="A638" s="2" t="s">
        <v>3836</v>
      </c>
      <c r="B638" s="1" t="e">
        <f>-어라</f>
        <v>#NAME?</v>
      </c>
      <c r="C638" s="1" t="s">
        <v>3837</v>
      </c>
      <c r="D638" s="1" t="s">
        <v>3838</v>
      </c>
      <c r="E638" s="1" t="s">
        <v>3839</v>
      </c>
      <c r="F638" s="1" t="s">
        <v>3840</v>
      </c>
      <c r="G638" s="1" t="s">
        <v>3841</v>
      </c>
      <c r="H638" s="1" t="s">
        <v>3842</v>
      </c>
    </row>
    <row r="639" spans="1:8" x14ac:dyDescent="0.3">
      <c r="A639" s="2">
        <v>21416</v>
      </c>
      <c r="B639" s="1" t="s">
        <v>3843</v>
      </c>
      <c r="C639" s="1" t="s">
        <v>3844</v>
      </c>
      <c r="D639" s="1" t="s">
        <v>3845</v>
      </c>
      <c r="E639" s="1" t="s">
        <v>3846</v>
      </c>
      <c r="F639" s="1" t="s">
        <v>3847</v>
      </c>
      <c r="G639" s="1" t="s">
        <v>3848</v>
      </c>
      <c r="H639" s="1" t="s">
        <v>3847</v>
      </c>
    </row>
    <row r="640" spans="1:8" x14ac:dyDescent="0.3">
      <c r="A640" s="2">
        <v>21417</v>
      </c>
      <c r="B640" s="1" t="s">
        <v>3849</v>
      </c>
      <c r="C640" s="1" t="s">
        <v>3850</v>
      </c>
      <c r="D640" s="1" t="s">
        <v>3851</v>
      </c>
      <c r="E640" s="1" t="s">
        <v>3852</v>
      </c>
      <c r="F640" s="1" t="s">
        <v>3853</v>
      </c>
      <c r="G640" s="1" t="s">
        <v>3854</v>
      </c>
      <c r="H640" s="1" t="s">
        <v>3855</v>
      </c>
    </row>
    <row r="641" spans="1:8" x14ac:dyDescent="0.3">
      <c r="A641" s="2">
        <v>21418</v>
      </c>
      <c r="B641" s="1" t="s">
        <v>3856</v>
      </c>
      <c r="C641" s="1" t="s">
        <v>3857</v>
      </c>
      <c r="E641" s="1" t="s">
        <v>3858</v>
      </c>
      <c r="F641" s="1" t="s">
        <v>3859</v>
      </c>
      <c r="G641" s="1" t="s">
        <v>3856</v>
      </c>
      <c r="H641" s="1" t="s">
        <v>3860</v>
      </c>
    </row>
    <row r="642" spans="1:8" x14ac:dyDescent="0.3">
      <c r="A642" s="2">
        <v>21419</v>
      </c>
      <c r="B642" s="1" t="s">
        <v>3861</v>
      </c>
      <c r="C642" s="1" t="s">
        <v>3862</v>
      </c>
      <c r="D642" s="1" t="s">
        <v>3863</v>
      </c>
      <c r="E642" s="1" t="s">
        <v>3864</v>
      </c>
      <c r="F642" s="1" t="s">
        <v>3865</v>
      </c>
      <c r="G642" s="1" t="s">
        <v>3861</v>
      </c>
      <c r="H642" s="1" t="s">
        <v>3861</v>
      </c>
    </row>
    <row r="643" spans="1:8" x14ac:dyDescent="0.3">
      <c r="A643" s="2">
        <v>21420</v>
      </c>
      <c r="B643" s="1" t="s">
        <v>3866</v>
      </c>
      <c r="C643" s="1" t="s">
        <v>3867</v>
      </c>
      <c r="D643" s="1" t="s">
        <v>3868</v>
      </c>
      <c r="E643" s="1" t="s">
        <v>3869</v>
      </c>
      <c r="F643" s="1" t="s">
        <v>3870</v>
      </c>
      <c r="G643" s="1" t="s">
        <v>3871</v>
      </c>
      <c r="H643" s="1" t="s">
        <v>3871</v>
      </c>
    </row>
    <row r="644" spans="1:8" x14ac:dyDescent="0.3">
      <c r="A644" s="2">
        <v>21421</v>
      </c>
      <c r="B644" s="1" t="s">
        <v>3872</v>
      </c>
      <c r="C644" s="1" t="s">
        <v>3873</v>
      </c>
      <c r="D644" s="1" t="s">
        <v>3874</v>
      </c>
      <c r="E644" s="1" t="s">
        <v>3875</v>
      </c>
      <c r="F644" s="1" t="s">
        <v>3876</v>
      </c>
      <c r="G644" s="1" t="s">
        <v>3877</v>
      </c>
      <c r="H644" s="1" t="s">
        <v>3878</v>
      </c>
    </row>
    <row r="645" spans="1:8" x14ac:dyDescent="0.3">
      <c r="A645" s="2" t="s">
        <v>3879</v>
      </c>
      <c r="B645" s="1" t="s">
        <v>3880</v>
      </c>
      <c r="C645" s="1" t="s">
        <v>3881</v>
      </c>
      <c r="D645" s="1" t="s">
        <v>3882</v>
      </c>
      <c r="E645" s="1" t="s">
        <v>3883</v>
      </c>
      <c r="F645" s="1" t="s">
        <v>3884</v>
      </c>
      <c r="G645" s="1" t="s">
        <v>3885</v>
      </c>
      <c r="H645" s="1" t="s">
        <v>3886</v>
      </c>
    </row>
    <row r="646" spans="1:8" x14ac:dyDescent="0.3">
      <c r="A646" s="2">
        <v>21422</v>
      </c>
      <c r="B646" s="1" t="s">
        <v>3887</v>
      </c>
      <c r="C646" s="1" t="s">
        <v>3888</v>
      </c>
      <c r="D646" s="1" t="s">
        <v>3889</v>
      </c>
      <c r="E646" s="1" t="s">
        <v>3890</v>
      </c>
      <c r="F646" s="1" t="s">
        <v>3891</v>
      </c>
      <c r="G646" s="1" t="s">
        <v>3892</v>
      </c>
      <c r="H646" s="1" t="s">
        <v>3893</v>
      </c>
    </row>
    <row r="647" spans="1:8" x14ac:dyDescent="0.3">
      <c r="A647" s="2">
        <v>21423</v>
      </c>
      <c r="B647" s="1" t="s">
        <v>3894</v>
      </c>
      <c r="C647" s="1" t="s">
        <v>3895</v>
      </c>
      <c r="D647" s="1" t="s">
        <v>3896</v>
      </c>
      <c r="E647" s="1" t="s">
        <v>3894</v>
      </c>
      <c r="F647" s="1" t="s">
        <v>3894</v>
      </c>
      <c r="G647" s="1" t="s">
        <v>3894</v>
      </c>
      <c r="H647" s="1" t="s">
        <v>3897</v>
      </c>
    </row>
    <row r="648" spans="1:8" x14ac:dyDescent="0.3">
      <c r="A648" s="2">
        <v>21424</v>
      </c>
      <c r="B648" s="1" t="s">
        <v>3898</v>
      </c>
      <c r="C648" s="1" t="s">
        <v>3899</v>
      </c>
      <c r="D648" s="1" t="s">
        <v>3900</v>
      </c>
      <c r="E648" s="1" t="s">
        <v>3901</v>
      </c>
      <c r="F648" s="1" t="s">
        <v>3902</v>
      </c>
      <c r="G648" s="1" t="s">
        <v>3903</v>
      </c>
      <c r="H648" s="1" t="s">
        <v>3904</v>
      </c>
    </row>
    <row r="649" spans="1:8" x14ac:dyDescent="0.3">
      <c r="A649" s="2">
        <v>21425</v>
      </c>
      <c r="B649" s="1" t="s">
        <v>3905</v>
      </c>
      <c r="C649" s="1" t="s">
        <v>3906</v>
      </c>
      <c r="D649" s="1" t="s">
        <v>3907</v>
      </c>
      <c r="E649" s="1" t="s">
        <v>3908</v>
      </c>
      <c r="F649" s="1" t="s">
        <v>3909</v>
      </c>
      <c r="G649" s="1" t="s">
        <v>3905</v>
      </c>
      <c r="H649" s="1" t="s">
        <v>3910</v>
      </c>
    </row>
    <row r="650" spans="1:8" x14ac:dyDescent="0.3">
      <c r="A650" s="2">
        <v>21426</v>
      </c>
      <c r="B650" s="1" t="s">
        <v>3911</v>
      </c>
      <c r="C650" s="1" t="s">
        <v>3912</v>
      </c>
      <c r="D650" s="1" t="s">
        <v>3913</v>
      </c>
      <c r="E650" s="1" t="s">
        <v>3914</v>
      </c>
      <c r="F650" s="1" t="s">
        <v>3915</v>
      </c>
      <c r="G650" s="1" t="s">
        <v>3916</v>
      </c>
      <c r="H650" s="1" t="s">
        <v>3917</v>
      </c>
    </row>
    <row r="651" spans="1:8" x14ac:dyDescent="0.3">
      <c r="A651" s="2">
        <v>21427</v>
      </c>
      <c r="B651" s="1" t="s">
        <v>3918</v>
      </c>
      <c r="C651" s="1" t="s">
        <v>3919</v>
      </c>
      <c r="D651" s="1" t="s">
        <v>3920</v>
      </c>
      <c r="E651" s="1" t="s">
        <v>3921</v>
      </c>
      <c r="F651" s="1" t="s">
        <v>3922</v>
      </c>
      <c r="G651" s="1" t="s">
        <v>3923</v>
      </c>
      <c r="H651" s="1" t="s">
        <v>3924</v>
      </c>
    </row>
    <row r="652" spans="1:8" x14ac:dyDescent="0.3">
      <c r="A652" s="2" t="s">
        <v>3925</v>
      </c>
      <c r="B652" s="1" t="s">
        <v>3926</v>
      </c>
      <c r="C652" s="1" t="s">
        <v>3927</v>
      </c>
      <c r="D652" s="1" t="s">
        <v>3928</v>
      </c>
      <c r="E652" s="1" t="s">
        <v>3929</v>
      </c>
      <c r="F652" s="1" t="s">
        <v>3930</v>
      </c>
      <c r="H652" s="1" t="s">
        <v>3931</v>
      </c>
    </row>
    <row r="653" spans="1:8" x14ac:dyDescent="0.3">
      <c r="A653" s="2">
        <v>21428</v>
      </c>
      <c r="B653" s="1" t="s">
        <v>3932</v>
      </c>
      <c r="C653" s="1" t="s">
        <v>3933</v>
      </c>
      <c r="D653" s="1" t="s">
        <v>3934</v>
      </c>
      <c r="E653" s="1" t="s">
        <v>3935</v>
      </c>
      <c r="F653" s="1" t="s">
        <v>3936</v>
      </c>
      <c r="G653" s="1" t="s">
        <v>3937</v>
      </c>
      <c r="H653" s="1" t="s">
        <v>3938</v>
      </c>
    </row>
    <row r="654" spans="1:8" x14ac:dyDescent="0.3">
      <c r="A654" s="2">
        <v>21429</v>
      </c>
      <c r="B654" s="1" t="s">
        <v>3939</v>
      </c>
      <c r="C654" s="1" t="s">
        <v>3940</v>
      </c>
      <c r="D654" s="1" t="s">
        <v>3941</v>
      </c>
      <c r="E654" s="1" t="s">
        <v>3942</v>
      </c>
      <c r="F654" s="1" t="s">
        <v>3943</v>
      </c>
      <c r="G654" s="1" t="s">
        <v>3944</v>
      </c>
      <c r="H654" s="1" t="s">
        <v>3945</v>
      </c>
    </row>
    <row r="655" spans="1:8" x14ac:dyDescent="0.3">
      <c r="A655" s="2">
        <v>21430</v>
      </c>
      <c r="B655" s="1" t="s">
        <v>3946</v>
      </c>
      <c r="C655" s="1" t="s">
        <v>3947</v>
      </c>
      <c r="D655" s="1" t="s">
        <v>3948</v>
      </c>
      <c r="E655" s="1" t="s">
        <v>3949</v>
      </c>
      <c r="F655" s="1" t="s">
        <v>3950</v>
      </c>
      <c r="G655" s="1" t="s">
        <v>3951</v>
      </c>
      <c r="H655" s="1" t="s">
        <v>3952</v>
      </c>
    </row>
    <row r="656" spans="1:8" x14ac:dyDescent="0.3">
      <c r="A656" s="2" t="s">
        <v>3953</v>
      </c>
      <c r="B656" s="1" t="e">
        <f>-에</f>
        <v>#NAME?</v>
      </c>
      <c r="C656" s="1" t="s">
        <v>3954</v>
      </c>
      <c r="E656" s="1" t="s">
        <v>3955</v>
      </c>
      <c r="G656" s="1" t="s">
        <v>3956</v>
      </c>
      <c r="H656" s="1" t="s">
        <v>3957</v>
      </c>
    </row>
    <row r="657" spans="1:8" x14ac:dyDescent="0.3">
      <c r="A657" s="2">
        <v>21431</v>
      </c>
      <c r="B657" s="1" t="s">
        <v>3958</v>
      </c>
      <c r="C657" s="1" t="s">
        <v>3959</v>
      </c>
      <c r="D657" s="1" t="s">
        <v>3960</v>
      </c>
      <c r="E657" s="1" t="s">
        <v>3961</v>
      </c>
      <c r="F657" s="1" t="s">
        <v>3962</v>
      </c>
      <c r="G657" s="1" t="s">
        <v>3959</v>
      </c>
      <c r="H657" s="1" t="s">
        <v>3963</v>
      </c>
    </row>
    <row r="658" spans="1:8" x14ac:dyDescent="0.3">
      <c r="A658" s="2">
        <v>21432</v>
      </c>
      <c r="B658" s="1" t="s">
        <v>3964</v>
      </c>
      <c r="C658" s="1" t="s">
        <v>3965</v>
      </c>
      <c r="D658" s="1" t="s">
        <v>3966</v>
      </c>
      <c r="E658" s="1" t="s">
        <v>3967</v>
      </c>
      <c r="F658" s="1" t="s">
        <v>3968</v>
      </c>
      <c r="G658" s="1" t="s">
        <v>3969</v>
      </c>
      <c r="H658" s="1" t="s">
        <v>3970</v>
      </c>
    </row>
    <row r="659" spans="1:8" x14ac:dyDescent="0.3">
      <c r="A659" s="2">
        <v>21433</v>
      </c>
      <c r="B659" s="1" t="s">
        <v>3971</v>
      </c>
      <c r="C659" s="1" t="s">
        <v>3972</v>
      </c>
      <c r="D659" s="1" t="s">
        <v>3971</v>
      </c>
      <c r="E659" s="1" t="s">
        <v>3973</v>
      </c>
      <c r="F659" s="1" t="s">
        <v>3971</v>
      </c>
      <c r="G659" s="1" t="s">
        <v>3974</v>
      </c>
      <c r="H659" s="1" t="s">
        <v>3975</v>
      </c>
    </row>
    <row r="660" spans="1:8" x14ac:dyDescent="0.3">
      <c r="A660" s="2">
        <v>21434</v>
      </c>
      <c r="B660" s="1" t="s">
        <v>3976</v>
      </c>
      <c r="C660" s="1" t="s">
        <v>3977</v>
      </c>
      <c r="D660" s="1" t="s">
        <v>3978</v>
      </c>
      <c r="E660" s="1" t="s">
        <v>3979</v>
      </c>
      <c r="F660" s="1" t="s">
        <v>3980</v>
      </c>
      <c r="G660" s="1" t="s">
        <v>3981</v>
      </c>
      <c r="H660" s="1" t="s">
        <v>3982</v>
      </c>
    </row>
    <row r="661" spans="1:8" x14ac:dyDescent="0.3">
      <c r="A661" s="2">
        <v>21435</v>
      </c>
      <c r="B661" s="1" t="s">
        <v>3983</v>
      </c>
      <c r="C661" s="1" t="s">
        <v>3984</v>
      </c>
      <c r="D661" s="1" t="s">
        <v>3985</v>
      </c>
      <c r="E661" s="1" t="s">
        <v>3986</v>
      </c>
      <c r="F661" s="1" t="s">
        <v>3987</v>
      </c>
      <c r="G661" s="1" t="s">
        <v>3988</v>
      </c>
      <c r="H661" s="1" t="s">
        <v>3989</v>
      </c>
    </row>
    <row r="662" spans="1:8" x14ac:dyDescent="0.3">
      <c r="A662" s="2">
        <v>21436</v>
      </c>
      <c r="B662" s="1" t="s">
        <v>3990</v>
      </c>
      <c r="C662" s="1" t="s">
        <v>3991</v>
      </c>
      <c r="D662" s="1" t="s">
        <v>3992</v>
      </c>
      <c r="E662" s="1" t="s">
        <v>3992</v>
      </c>
      <c r="F662" s="1" t="s">
        <v>3993</v>
      </c>
      <c r="G662" s="1" t="s">
        <v>3992</v>
      </c>
      <c r="H662" s="1" t="s">
        <v>3994</v>
      </c>
    </row>
    <row r="663" spans="1:8" x14ac:dyDescent="0.3">
      <c r="A663" s="2">
        <v>21437</v>
      </c>
      <c r="B663" s="1" t="s">
        <v>3995</v>
      </c>
      <c r="C663" s="1" t="s">
        <v>3996</v>
      </c>
      <c r="D663" s="1" t="s">
        <v>3997</v>
      </c>
      <c r="E663" s="1" t="s">
        <v>3995</v>
      </c>
      <c r="F663" s="1" t="s">
        <v>3998</v>
      </c>
      <c r="G663" s="1" t="s">
        <v>3995</v>
      </c>
      <c r="H663" s="1" t="s">
        <v>3995</v>
      </c>
    </row>
    <row r="664" spans="1:8" x14ac:dyDescent="0.3">
      <c r="A664" s="2">
        <v>21438</v>
      </c>
      <c r="B664" s="1" t="s">
        <v>3999</v>
      </c>
      <c r="C664" s="1" t="s">
        <v>4000</v>
      </c>
      <c r="D664" s="1" t="s">
        <v>4001</v>
      </c>
      <c r="E664" s="1" t="s">
        <v>4001</v>
      </c>
      <c r="F664" s="1" t="s">
        <v>4002</v>
      </c>
      <c r="G664" s="1" t="s">
        <v>4001</v>
      </c>
      <c r="H664" s="1" t="s">
        <v>4003</v>
      </c>
    </row>
    <row r="665" spans="1:8" x14ac:dyDescent="0.3">
      <c r="A665" s="2">
        <v>21439</v>
      </c>
      <c r="B665" s="1" t="s">
        <v>4004</v>
      </c>
      <c r="C665" s="1" t="s">
        <v>4005</v>
      </c>
      <c r="D665" s="1" t="s">
        <v>4004</v>
      </c>
      <c r="E665" s="1" t="s">
        <v>4006</v>
      </c>
      <c r="F665" s="1" t="s">
        <v>4007</v>
      </c>
      <c r="G665" s="1" t="s">
        <v>4008</v>
      </c>
      <c r="H665" s="1" t="s">
        <v>4007</v>
      </c>
    </row>
    <row r="666" spans="1:8" x14ac:dyDescent="0.3">
      <c r="A666" s="2" t="s">
        <v>4009</v>
      </c>
      <c r="B666" s="1" t="s">
        <v>4010</v>
      </c>
      <c r="C666" s="1" t="s">
        <v>4011</v>
      </c>
      <c r="D666" s="1" t="s">
        <v>4012</v>
      </c>
      <c r="E666" s="1" t="s">
        <v>4013</v>
      </c>
      <c r="F666" s="1" t="s">
        <v>4014</v>
      </c>
      <c r="G666" s="1" t="s">
        <v>4015</v>
      </c>
      <c r="H666" s="1" t="s">
        <v>4010</v>
      </c>
    </row>
    <row r="667" spans="1:8" x14ac:dyDescent="0.3">
      <c r="A667" s="2">
        <v>21440</v>
      </c>
      <c r="B667" s="1" t="s">
        <v>4016</v>
      </c>
      <c r="C667" s="1" t="s">
        <v>4017</v>
      </c>
      <c r="D667" s="1" t="s">
        <v>4018</v>
      </c>
      <c r="E667" s="1" t="s">
        <v>4016</v>
      </c>
      <c r="F667" s="1" t="s">
        <v>4019</v>
      </c>
      <c r="G667" s="1" t="s">
        <v>4016</v>
      </c>
      <c r="H667" s="1" t="s">
        <v>4016</v>
      </c>
    </row>
    <row r="668" spans="1:8" x14ac:dyDescent="0.3">
      <c r="A668" s="2">
        <v>21441</v>
      </c>
      <c r="B668" s="1" t="s">
        <v>4020</v>
      </c>
      <c r="C668" s="1" t="s">
        <v>4021</v>
      </c>
      <c r="D668" s="1" t="s">
        <v>4022</v>
      </c>
      <c r="E668" s="1" t="s">
        <v>4023</v>
      </c>
      <c r="F668" s="1" t="s">
        <v>4024</v>
      </c>
      <c r="G668" s="1" t="s">
        <v>4025</v>
      </c>
      <c r="H668" s="1" t="s">
        <v>4026</v>
      </c>
    </row>
    <row r="669" spans="1:8" x14ac:dyDescent="0.3">
      <c r="A669" s="2">
        <v>21442</v>
      </c>
      <c r="B669" s="1" t="s">
        <v>4027</v>
      </c>
      <c r="C669" s="1" t="s">
        <v>4028</v>
      </c>
      <c r="D669" s="1" t="s">
        <v>4029</v>
      </c>
      <c r="E669" s="1" t="s">
        <v>4030</v>
      </c>
      <c r="F669" s="1" t="s">
        <v>4031</v>
      </c>
      <c r="G669" s="1" t="s">
        <v>4032</v>
      </c>
      <c r="H669" s="1" t="s">
        <v>4030</v>
      </c>
    </row>
    <row r="670" spans="1:8" x14ac:dyDescent="0.3">
      <c r="A670" s="2">
        <v>21443</v>
      </c>
      <c r="B670" s="1" t="s">
        <v>4033</v>
      </c>
      <c r="C670" s="1" t="s">
        <v>4034</v>
      </c>
      <c r="D670" s="1" t="s">
        <v>4035</v>
      </c>
      <c r="E670" s="1" t="s">
        <v>4036</v>
      </c>
      <c r="F670" s="1" t="s">
        <v>4037</v>
      </c>
      <c r="G670" s="1" t="s">
        <v>4038</v>
      </c>
      <c r="H670" s="1" t="s">
        <v>4039</v>
      </c>
    </row>
    <row r="671" spans="1:8" x14ac:dyDescent="0.3">
      <c r="A671" s="2">
        <v>21501</v>
      </c>
      <c r="B671" s="1" t="s">
        <v>4040</v>
      </c>
      <c r="C671" s="1" t="s">
        <v>4041</v>
      </c>
      <c r="D671" s="1" t="s">
        <v>4042</v>
      </c>
      <c r="E671" s="1" t="s">
        <v>4043</v>
      </c>
      <c r="F671" s="1" t="s">
        <v>4044</v>
      </c>
      <c r="G671" s="1" t="s">
        <v>4045</v>
      </c>
      <c r="H671" s="1" t="s">
        <v>4046</v>
      </c>
    </row>
    <row r="672" spans="1:8" x14ac:dyDescent="0.3">
      <c r="A672" s="2">
        <v>21502</v>
      </c>
      <c r="B672" s="1" t="s">
        <v>4047</v>
      </c>
      <c r="C672" s="1" t="s">
        <v>4048</v>
      </c>
      <c r="D672" s="1" t="s">
        <v>4049</v>
      </c>
      <c r="E672" s="1" t="s">
        <v>4050</v>
      </c>
      <c r="F672" s="1" t="s">
        <v>4051</v>
      </c>
      <c r="G672" s="1" t="s">
        <v>4052</v>
      </c>
      <c r="H672" s="1" t="s">
        <v>4053</v>
      </c>
    </row>
    <row r="673" spans="1:8" x14ac:dyDescent="0.3">
      <c r="A673" s="2">
        <v>21503</v>
      </c>
      <c r="B673" s="1" t="s">
        <v>4054</v>
      </c>
      <c r="C673" s="1" t="s">
        <v>4055</v>
      </c>
      <c r="D673" s="1" t="s">
        <v>4056</v>
      </c>
      <c r="E673" s="1" t="s">
        <v>4057</v>
      </c>
      <c r="F673" s="1" t="s">
        <v>4056</v>
      </c>
      <c r="G673" s="1" t="s">
        <v>4056</v>
      </c>
      <c r="H673" s="1" t="s">
        <v>4056</v>
      </c>
    </row>
    <row r="674" spans="1:8" x14ac:dyDescent="0.3">
      <c r="A674" s="2">
        <v>21504</v>
      </c>
      <c r="B674" s="1" t="s">
        <v>4058</v>
      </c>
      <c r="C674" s="1" t="s">
        <v>57</v>
      </c>
      <c r="D674" s="1" t="s">
        <v>57</v>
      </c>
      <c r="E674" s="1" t="s">
        <v>57</v>
      </c>
      <c r="F674" s="1" t="s">
        <v>4059</v>
      </c>
      <c r="G674" s="1" t="s">
        <v>57</v>
      </c>
      <c r="H674" s="1" t="s">
        <v>4060</v>
      </c>
    </row>
    <row r="675" spans="1:8" x14ac:dyDescent="0.3">
      <c r="A675" s="2">
        <v>21505</v>
      </c>
      <c r="B675" s="1" t="s">
        <v>4061</v>
      </c>
      <c r="C675" s="1" t="s">
        <v>4062</v>
      </c>
      <c r="D675" s="1" t="s">
        <v>4063</v>
      </c>
      <c r="E675" s="1" t="s">
        <v>4064</v>
      </c>
      <c r="F675" s="1" t="s">
        <v>4064</v>
      </c>
      <c r="G675" s="1" t="s">
        <v>4065</v>
      </c>
      <c r="H675" s="1" t="s">
        <v>4066</v>
      </c>
    </row>
    <row r="676" spans="1:8" x14ac:dyDescent="0.3">
      <c r="A676" s="2" t="s">
        <v>4067</v>
      </c>
      <c r="B676" s="1" t="e">
        <f>-는</f>
        <v>#NAME?</v>
      </c>
      <c r="C676" s="1" t="s">
        <v>4068</v>
      </c>
      <c r="D676" s="1" t="s">
        <v>4069</v>
      </c>
      <c r="E676" s="1" t="s">
        <v>4070</v>
      </c>
      <c r="F676" s="1" t="s">
        <v>4071</v>
      </c>
      <c r="G676" s="1" t="s">
        <v>4072</v>
      </c>
      <c r="H676" s="1" t="s">
        <v>4073</v>
      </c>
    </row>
    <row r="677" spans="1:8" x14ac:dyDescent="0.3">
      <c r="A677" s="2" t="s">
        <v>4074</v>
      </c>
      <c r="B677" s="1" t="s">
        <v>4075</v>
      </c>
      <c r="C677" s="1" t="s">
        <v>4076</v>
      </c>
      <c r="D677" s="1" t="s">
        <v>4077</v>
      </c>
      <c r="E677" s="1" t="s">
        <v>4078</v>
      </c>
      <c r="F677" s="1" t="s">
        <v>4079</v>
      </c>
      <c r="G677" s="1" t="s">
        <v>4080</v>
      </c>
      <c r="H677" s="1" t="s">
        <v>4081</v>
      </c>
    </row>
    <row r="678" spans="1:8" x14ac:dyDescent="0.3">
      <c r="A678" s="2" t="s">
        <v>4082</v>
      </c>
      <c r="B678" s="1" t="s">
        <v>4083</v>
      </c>
      <c r="C678" s="1" t="s">
        <v>4084</v>
      </c>
      <c r="D678" s="1" t="s">
        <v>4085</v>
      </c>
      <c r="E678" s="1" t="s">
        <v>4086</v>
      </c>
      <c r="F678" s="1" t="s">
        <v>57</v>
      </c>
      <c r="G678" s="1" t="s">
        <v>4087</v>
      </c>
      <c r="H678" s="1" t="s">
        <v>4088</v>
      </c>
    </row>
    <row r="679" spans="1:8" x14ac:dyDescent="0.3">
      <c r="A679" s="2" t="s">
        <v>4089</v>
      </c>
      <c r="B679" s="1" t="s">
        <v>4090</v>
      </c>
      <c r="C679" s="1" t="s">
        <v>4091</v>
      </c>
      <c r="D679" s="1" t="s">
        <v>4090</v>
      </c>
      <c r="E679" s="1" t="s">
        <v>4092</v>
      </c>
      <c r="F679" s="1" t="s">
        <v>4090</v>
      </c>
      <c r="G679" s="1" t="s">
        <v>4090</v>
      </c>
      <c r="H679" s="1" t="s">
        <v>4090</v>
      </c>
    </row>
    <row r="680" spans="1:8" x14ac:dyDescent="0.3">
      <c r="A680" s="2" t="s">
        <v>4093</v>
      </c>
      <c r="B680" s="1" t="s">
        <v>4094</v>
      </c>
      <c r="C680" s="1" t="s">
        <v>4095</v>
      </c>
      <c r="D680" s="1" t="s">
        <v>4096</v>
      </c>
      <c r="E680" s="1" t="s">
        <v>4094</v>
      </c>
      <c r="F680" s="1" t="s">
        <v>4094</v>
      </c>
      <c r="G680" s="1" t="s">
        <v>4097</v>
      </c>
      <c r="H680" s="1" t="s">
        <v>4098</v>
      </c>
    </row>
    <row r="681" spans="1:8" x14ac:dyDescent="0.3">
      <c r="A681" s="2" t="s">
        <v>4099</v>
      </c>
      <c r="B681" s="1" t="s">
        <v>4100</v>
      </c>
      <c r="C681" s="1" t="s">
        <v>4101</v>
      </c>
      <c r="D681" s="1" t="s">
        <v>4102</v>
      </c>
      <c r="E681" s="1" t="s">
        <v>4103</v>
      </c>
      <c r="F681" s="1" t="s">
        <v>4104</v>
      </c>
      <c r="G681" s="1" t="s">
        <v>4105</v>
      </c>
      <c r="H681" s="1" t="s">
        <v>4106</v>
      </c>
    </row>
    <row r="682" spans="1:8" x14ac:dyDescent="0.3">
      <c r="A682" s="2">
        <v>21506</v>
      </c>
      <c r="B682" s="1" t="s">
        <v>4107</v>
      </c>
      <c r="C682" s="1" t="s">
        <v>57</v>
      </c>
      <c r="D682" s="1" t="s">
        <v>4108</v>
      </c>
      <c r="E682" s="1" t="s">
        <v>57</v>
      </c>
      <c r="F682" s="1" t="s">
        <v>4109</v>
      </c>
      <c r="H682" s="1" t="s">
        <v>57</v>
      </c>
    </row>
    <row r="683" spans="1:8" x14ac:dyDescent="0.3">
      <c r="A683" s="2">
        <v>21507</v>
      </c>
      <c r="B683" s="1" t="s">
        <v>4110</v>
      </c>
      <c r="C683" s="1" t="s">
        <v>4111</v>
      </c>
      <c r="E683" s="1" t="s">
        <v>4112</v>
      </c>
      <c r="G683" s="1" t="s">
        <v>4113</v>
      </c>
      <c r="H683" s="1" t="s">
        <v>4114</v>
      </c>
    </row>
    <row r="684" spans="1:8" x14ac:dyDescent="0.3">
      <c r="A684" s="2" t="s">
        <v>4115</v>
      </c>
      <c r="B684" s="1" t="e">
        <f>-을</f>
        <v>#NAME?</v>
      </c>
      <c r="C684" s="1" t="s">
        <v>4116</v>
      </c>
      <c r="D684" s="1" t="s">
        <v>4117</v>
      </c>
      <c r="E684" s="1" t="s">
        <v>4118</v>
      </c>
      <c r="F684" s="1" t="s">
        <v>4119</v>
      </c>
      <c r="G684" s="1" t="s">
        <v>4120</v>
      </c>
      <c r="H684" s="1" t="s">
        <v>4121</v>
      </c>
    </row>
    <row r="685" spans="1:8" x14ac:dyDescent="0.3">
      <c r="A685" s="2" t="s">
        <v>4122</v>
      </c>
      <c r="B685" s="1" t="e">
        <f>-에</f>
        <v>#NAME?</v>
      </c>
      <c r="C685" s="1" t="s">
        <v>4123</v>
      </c>
      <c r="E685" s="1" t="s">
        <v>4124</v>
      </c>
      <c r="G685" s="1" t="s">
        <v>4125</v>
      </c>
      <c r="H685" s="1" t="s">
        <v>4126</v>
      </c>
    </row>
    <row r="686" spans="1:8" x14ac:dyDescent="0.3">
      <c r="A686" s="2" t="s">
        <v>4127</v>
      </c>
      <c r="B686" s="1" t="s">
        <v>4128</v>
      </c>
      <c r="C686" s="1" t="s">
        <v>4129</v>
      </c>
      <c r="D686" s="1" t="s">
        <v>4130</v>
      </c>
      <c r="E686" s="1" t="s">
        <v>4130</v>
      </c>
      <c r="F686" s="1" t="s">
        <v>4130</v>
      </c>
      <c r="G686" s="1" t="s">
        <v>4131</v>
      </c>
      <c r="H686" s="1" t="s">
        <v>4132</v>
      </c>
    </row>
    <row r="687" spans="1:8" x14ac:dyDescent="0.3">
      <c r="A687" s="2">
        <v>21508</v>
      </c>
      <c r="B687" s="1" t="s">
        <v>4133</v>
      </c>
      <c r="C687" s="1" t="s">
        <v>4134</v>
      </c>
      <c r="D687" s="1" t="s">
        <v>4135</v>
      </c>
      <c r="E687" s="1" t="s">
        <v>4136</v>
      </c>
      <c r="F687" s="1" t="s">
        <v>4137</v>
      </c>
      <c r="G687" s="1" t="s">
        <v>4138</v>
      </c>
      <c r="H687" s="1" t="s">
        <v>4139</v>
      </c>
    </row>
    <row r="688" spans="1:8" x14ac:dyDescent="0.3">
      <c r="A688" s="2" t="s">
        <v>4140</v>
      </c>
      <c r="B688" s="1" t="s">
        <v>4141</v>
      </c>
      <c r="C688" s="1" t="s">
        <v>4142</v>
      </c>
      <c r="D688" s="1" t="s">
        <v>4143</v>
      </c>
      <c r="E688" s="1" t="s">
        <v>4144</v>
      </c>
      <c r="F688" s="1" t="s">
        <v>4145</v>
      </c>
      <c r="G688" s="1" t="s">
        <v>4146</v>
      </c>
      <c r="H688" s="1" t="s">
        <v>4147</v>
      </c>
    </row>
    <row r="689" spans="1:8" x14ac:dyDescent="0.3">
      <c r="A689" s="2" t="s">
        <v>4148</v>
      </c>
      <c r="B689" s="1" t="s">
        <v>4149</v>
      </c>
      <c r="C689" s="1" t="s">
        <v>4150</v>
      </c>
      <c r="D689" s="1" t="s">
        <v>4151</v>
      </c>
      <c r="E689" s="1" t="s">
        <v>4152</v>
      </c>
      <c r="F689" s="1" t="s">
        <v>4153</v>
      </c>
      <c r="G689" s="1" t="s">
        <v>4154</v>
      </c>
      <c r="H689" s="1" t="s">
        <v>4154</v>
      </c>
    </row>
    <row r="690" spans="1:8" x14ac:dyDescent="0.3">
      <c r="A690" s="2" t="s">
        <v>4155</v>
      </c>
      <c r="B690" s="1" t="s">
        <v>4156</v>
      </c>
      <c r="C690" s="1" t="s">
        <v>4157</v>
      </c>
      <c r="D690" s="1" t="s">
        <v>4156</v>
      </c>
      <c r="E690" s="1" t="s">
        <v>4158</v>
      </c>
      <c r="F690" s="1" t="s">
        <v>4159</v>
      </c>
      <c r="G690" s="1" t="s">
        <v>4160</v>
      </c>
      <c r="H690" s="1" t="s">
        <v>4161</v>
      </c>
    </row>
    <row r="691" spans="1:8" x14ac:dyDescent="0.3">
      <c r="A691" s="2" t="s">
        <v>4162</v>
      </c>
      <c r="B691" s="1" t="s">
        <v>4110</v>
      </c>
      <c r="C691" s="1" t="s">
        <v>4163</v>
      </c>
      <c r="D691" s="1" t="s">
        <v>4164</v>
      </c>
      <c r="E691" s="1" t="s">
        <v>4165</v>
      </c>
      <c r="F691" s="1" t="s">
        <v>4166</v>
      </c>
      <c r="G691" s="1" t="s">
        <v>4167</v>
      </c>
      <c r="H691" s="1" t="s">
        <v>4168</v>
      </c>
    </row>
    <row r="692" spans="1:8" x14ac:dyDescent="0.3">
      <c r="A692" s="2" t="s">
        <v>4169</v>
      </c>
      <c r="B692" s="1" t="s">
        <v>4170</v>
      </c>
      <c r="C692" s="1" t="s">
        <v>4171</v>
      </c>
      <c r="D692" s="1" t="s">
        <v>4172</v>
      </c>
      <c r="E692" s="1" t="s">
        <v>4173</v>
      </c>
      <c r="F692" s="1" t="s">
        <v>4174</v>
      </c>
      <c r="G692" s="1" t="s">
        <v>4175</v>
      </c>
      <c r="H692" s="1" t="s">
        <v>4170</v>
      </c>
    </row>
    <row r="693" spans="1:8" x14ac:dyDescent="0.3">
      <c r="A693" s="2">
        <v>21509</v>
      </c>
      <c r="B693" s="1" t="s">
        <v>4176</v>
      </c>
      <c r="C693" s="1" t="s">
        <v>4177</v>
      </c>
      <c r="D693" s="1" t="s">
        <v>4178</v>
      </c>
      <c r="E693" s="1" t="s">
        <v>4179</v>
      </c>
      <c r="F693" s="1" t="s">
        <v>4180</v>
      </c>
      <c r="G693" s="1" t="s">
        <v>4181</v>
      </c>
      <c r="H693" s="1" t="s">
        <v>4182</v>
      </c>
    </row>
    <row r="694" spans="1:8" x14ac:dyDescent="0.3">
      <c r="A694" s="2" t="s">
        <v>4183</v>
      </c>
      <c r="B694" s="1" t="s">
        <v>4184</v>
      </c>
      <c r="C694" s="1" t="s">
        <v>4185</v>
      </c>
      <c r="E694" s="1" t="s">
        <v>4186</v>
      </c>
      <c r="G694" s="1" t="s">
        <v>57</v>
      </c>
      <c r="H694" s="1" t="s">
        <v>4187</v>
      </c>
    </row>
    <row r="695" spans="1:8" x14ac:dyDescent="0.3">
      <c r="A695" s="2" t="s">
        <v>4188</v>
      </c>
      <c r="B695" s="1" t="s">
        <v>4189</v>
      </c>
      <c r="C695" s="1" t="s">
        <v>4190</v>
      </c>
      <c r="D695" s="1" t="s">
        <v>4191</v>
      </c>
      <c r="E695" s="1" t="s">
        <v>4192</v>
      </c>
      <c r="F695" s="1" t="s">
        <v>4193</v>
      </c>
      <c r="G695" s="1" t="s">
        <v>57</v>
      </c>
      <c r="H695" s="1" t="s">
        <v>4194</v>
      </c>
    </row>
    <row r="696" spans="1:8" x14ac:dyDescent="0.3">
      <c r="A696" s="2" t="s">
        <v>4195</v>
      </c>
      <c r="B696" s="1" t="s">
        <v>4196</v>
      </c>
      <c r="C696" s="1" t="s">
        <v>4197</v>
      </c>
      <c r="D696" s="1" t="s">
        <v>4198</v>
      </c>
      <c r="E696" s="1" t="s">
        <v>4199</v>
      </c>
      <c r="F696" s="1" t="s">
        <v>4200</v>
      </c>
      <c r="G696" s="1" t="s">
        <v>57</v>
      </c>
      <c r="H696" s="1" t="s">
        <v>4201</v>
      </c>
    </row>
    <row r="697" spans="1:8" x14ac:dyDescent="0.3">
      <c r="A697" s="2" t="s">
        <v>4202</v>
      </c>
      <c r="B697" s="1" t="s">
        <v>4203</v>
      </c>
      <c r="C697" s="1" t="s">
        <v>4204</v>
      </c>
      <c r="E697" s="1" t="s">
        <v>4205</v>
      </c>
      <c r="F697" s="1" t="s">
        <v>4206</v>
      </c>
      <c r="G697" s="1" t="s">
        <v>57</v>
      </c>
      <c r="H697" s="1" t="s">
        <v>4207</v>
      </c>
    </row>
    <row r="698" spans="1:8" x14ac:dyDescent="0.3">
      <c r="A698" s="2" t="s">
        <v>4208</v>
      </c>
      <c r="B698" s="1" t="s">
        <v>4209</v>
      </c>
      <c r="C698" s="1" t="s">
        <v>4210</v>
      </c>
      <c r="E698" s="1" t="s">
        <v>4211</v>
      </c>
      <c r="G698" s="1" t="s">
        <v>57</v>
      </c>
      <c r="H698" s="1" t="s">
        <v>4212</v>
      </c>
    </row>
    <row r="699" spans="1:8" x14ac:dyDescent="0.3">
      <c r="A699" s="2" t="s">
        <v>4213</v>
      </c>
      <c r="B699" s="1" t="s">
        <v>4214</v>
      </c>
      <c r="C699" s="1" t="s">
        <v>4215</v>
      </c>
      <c r="E699" s="1" t="s">
        <v>57</v>
      </c>
      <c r="G699" s="1" t="s">
        <v>57</v>
      </c>
      <c r="H699" s="1" t="s">
        <v>4216</v>
      </c>
    </row>
    <row r="700" spans="1:8" x14ac:dyDescent="0.3">
      <c r="A700" s="2">
        <v>21510</v>
      </c>
      <c r="B700" s="1" t="s">
        <v>4217</v>
      </c>
      <c r="C700" s="1" t="s">
        <v>4218</v>
      </c>
      <c r="D700" s="1" t="s">
        <v>4219</v>
      </c>
      <c r="E700" s="1" t="s">
        <v>4220</v>
      </c>
      <c r="F700" s="1" t="s">
        <v>4221</v>
      </c>
      <c r="G700" s="1" t="s">
        <v>4222</v>
      </c>
      <c r="H700" s="1" t="s">
        <v>4223</v>
      </c>
    </row>
    <row r="701" spans="1:8" x14ac:dyDescent="0.3">
      <c r="A701" s="2" t="s">
        <v>4224</v>
      </c>
      <c r="B701" s="1" t="s">
        <v>4225</v>
      </c>
      <c r="C701" s="1" t="s">
        <v>4226</v>
      </c>
      <c r="E701" s="1" t="s">
        <v>4227</v>
      </c>
      <c r="F701" s="1" t="s">
        <v>4227</v>
      </c>
      <c r="G701" s="1" t="s">
        <v>57</v>
      </c>
      <c r="H701" s="1" t="s">
        <v>57</v>
      </c>
    </row>
    <row r="702" spans="1:8" x14ac:dyDescent="0.3">
      <c r="A702" s="2">
        <v>21511</v>
      </c>
      <c r="B702" s="1" t="s">
        <v>4228</v>
      </c>
      <c r="C702" s="1" t="s">
        <v>4229</v>
      </c>
      <c r="D702" s="1" t="s">
        <v>4230</v>
      </c>
      <c r="E702" s="1" t="s">
        <v>4228</v>
      </c>
      <c r="F702" s="1" t="s">
        <v>4231</v>
      </c>
      <c r="G702" s="1" t="s">
        <v>4232</v>
      </c>
      <c r="H702" s="1" t="s">
        <v>4233</v>
      </c>
    </row>
    <row r="703" spans="1:8" x14ac:dyDescent="0.3">
      <c r="A703" s="2">
        <v>21512</v>
      </c>
      <c r="B703" s="1" t="s">
        <v>4234</v>
      </c>
      <c r="C703" s="1" t="s">
        <v>4235</v>
      </c>
      <c r="D703" s="1" t="s">
        <v>4236</v>
      </c>
      <c r="E703" s="1" t="s">
        <v>4237</v>
      </c>
      <c r="F703" s="1" t="s">
        <v>4238</v>
      </c>
      <c r="G703" s="1" t="s">
        <v>57</v>
      </c>
      <c r="H703" s="1" t="s">
        <v>4239</v>
      </c>
    </row>
    <row r="704" spans="1:8" x14ac:dyDescent="0.3">
      <c r="A704" s="2">
        <v>21513</v>
      </c>
      <c r="B704" s="1" t="s">
        <v>4240</v>
      </c>
      <c r="C704" s="1" t="s">
        <v>4241</v>
      </c>
      <c r="D704" s="1" t="s">
        <v>4242</v>
      </c>
      <c r="E704" s="1" t="s">
        <v>4243</v>
      </c>
      <c r="F704" s="1" t="s">
        <v>4244</v>
      </c>
      <c r="G704" s="1" t="s">
        <v>4245</v>
      </c>
      <c r="H704" s="1" t="s">
        <v>4243</v>
      </c>
    </row>
    <row r="705" spans="1:8" x14ac:dyDescent="0.3">
      <c r="A705" s="2">
        <v>21514</v>
      </c>
      <c r="B705" s="1" t="s">
        <v>4246</v>
      </c>
      <c r="C705" s="1" t="s">
        <v>4247</v>
      </c>
      <c r="D705" s="1" t="s">
        <v>4248</v>
      </c>
      <c r="E705" s="1" t="s">
        <v>4246</v>
      </c>
      <c r="F705" s="1" t="s">
        <v>4249</v>
      </c>
      <c r="G705" s="1" t="s">
        <v>4246</v>
      </c>
      <c r="H705" s="1" t="s">
        <v>4250</v>
      </c>
    </row>
    <row r="706" spans="1:8" x14ac:dyDescent="0.3">
      <c r="A706" s="2" t="s">
        <v>4251</v>
      </c>
      <c r="B706" s="1" t="s">
        <v>4252</v>
      </c>
      <c r="C706" s="1" t="s">
        <v>4253</v>
      </c>
      <c r="D706" s="1" t="s">
        <v>4254</v>
      </c>
      <c r="E706" s="1" t="s">
        <v>4255</v>
      </c>
      <c r="F706" s="1" t="s">
        <v>4256</v>
      </c>
      <c r="G706" s="1" t="s">
        <v>4257</v>
      </c>
      <c r="H706" s="1" t="s">
        <v>4258</v>
      </c>
    </row>
    <row r="707" spans="1:8" x14ac:dyDescent="0.3">
      <c r="A707" s="2" t="s">
        <v>4259</v>
      </c>
      <c r="B707" s="1" t="s">
        <v>4260</v>
      </c>
      <c r="C707" s="1" t="s">
        <v>4261</v>
      </c>
      <c r="D707" s="1" t="s">
        <v>4262</v>
      </c>
      <c r="E707" s="1" t="s">
        <v>4263</v>
      </c>
      <c r="F707" s="1" t="s">
        <v>4264</v>
      </c>
      <c r="G707" s="1" t="s">
        <v>57</v>
      </c>
      <c r="H707" s="1" t="s">
        <v>4264</v>
      </c>
    </row>
    <row r="708" spans="1:8" x14ac:dyDescent="0.3">
      <c r="A708" s="2">
        <v>21515</v>
      </c>
      <c r="B708" s="1" t="s">
        <v>4265</v>
      </c>
      <c r="C708" s="1" t="s">
        <v>4266</v>
      </c>
      <c r="D708" s="1" t="s">
        <v>4265</v>
      </c>
      <c r="E708" s="1" t="s">
        <v>4267</v>
      </c>
      <c r="F708" s="1" t="s">
        <v>4268</v>
      </c>
      <c r="G708" s="1" t="s">
        <v>4265</v>
      </c>
      <c r="H708" s="1" t="s">
        <v>4265</v>
      </c>
    </row>
    <row r="709" spans="1:8" x14ac:dyDescent="0.3">
      <c r="A709" s="2">
        <v>21516</v>
      </c>
      <c r="B709" s="1" t="s">
        <v>4269</v>
      </c>
      <c r="C709" s="1" t="s">
        <v>4270</v>
      </c>
      <c r="D709" s="1" t="s">
        <v>4271</v>
      </c>
      <c r="E709" s="1" t="s">
        <v>4272</v>
      </c>
      <c r="F709" s="1" t="s">
        <v>4273</v>
      </c>
      <c r="G709" s="1" t="s">
        <v>4274</v>
      </c>
      <c r="H709" s="1" t="s">
        <v>4275</v>
      </c>
    </row>
    <row r="710" spans="1:8" x14ac:dyDescent="0.3">
      <c r="A710" s="2">
        <v>21517</v>
      </c>
      <c r="B710" s="1" t="s">
        <v>4276</v>
      </c>
      <c r="C710" s="1" t="s">
        <v>4277</v>
      </c>
      <c r="D710" s="1" t="s">
        <v>4278</v>
      </c>
      <c r="E710" s="1" t="s">
        <v>4279</v>
      </c>
      <c r="F710" s="1" t="s">
        <v>4280</v>
      </c>
      <c r="G710" s="1" t="s">
        <v>4281</v>
      </c>
      <c r="H710" s="1" t="s">
        <v>4281</v>
      </c>
    </row>
    <row r="711" spans="1:8" x14ac:dyDescent="0.3">
      <c r="A711" s="2">
        <v>21518</v>
      </c>
      <c r="B711" s="1" t="s">
        <v>4282</v>
      </c>
      <c r="C711" s="1" t="s">
        <v>4283</v>
      </c>
      <c r="D711" s="1" t="s">
        <v>4282</v>
      </c>
      <c r="E711" s="1" t="s">
        <v>4284</v>
      </c>
      <c r="F711" s="1" t="s">
        <v>4282</v>
      </c>
      <c r="G711" s="1" t="s">
        <v>4285</v>
      </c>
      <c r="H711" s="1" t="s">
        <v>4282</v>
      </c>
    </row>
    <row r="712" spans="1:8" x14ac:dyDescent="0.3">
      <c r="A712" s="2">
        <v>21519</v>
      </c>
      <c r="B712" s="1" t="s">
        <v>4286</v>
      </c>
      <c r="C712" s="1" t="s">
        <v>4287</v>
      </c>
      <c r="D712" s="1" t="s">
        <v>4288</v>
      </c>
      <c r="E712" s="1" t="s">
        <v>4289</v>
      </c>
      <c r="F712" s="1" t="s">
        <v>4290</v>
      </c>
      <c r="G712" s="1" t="s">
        <v>4291</v>
      </c>
      <c r="H712" s="1" t="s">
        <v>4292</v>
      </c>
    </row>
    <row r="713" spans="1:8" x14ac:dyDescent="0.3">
      <c r="A713" s="2">
        <v>21520</v>
      </c>
      <c r="B713" s="1" t="s">
        <v>4293</v>
      </c>
      <c r="C713" s="1" t="s">
        <v>4294</v>
      </c>
      <c r="D713" s="1" t="s">
        <v>4295</v>
      </c>
      <c r="E713" s="1" t="s">
        <v>4296</v>
      </c>
      <c r="F713" s="1" t="s">
        <v>4297</v>
      </c>
      <c r="G713" s="1" t="s">
        <v>4298</v>
      </c>
      <c r="H713" s="1" t="s">
        <v>4298</v>
      </c>
    </row>
    <row r="714" spans="1:8" x14ac:dyDescent="0.3">
      <c r="A714" s="2" t="s">
        <v>4299</v>
      </c>
      <c r="B714" s="1" t="s">
        <v>4300</v>
      </c>
      <c r="C714" s="1" t="s">
        <v>57</v>
      </c>
      <c r="D714" s="1" t="s">
        <v>4301</v>
      </c>
      <c r="E714" s="1" t="s">
        <v>4302</v>
      </c>
      <c r="F714" s="1" t="s">
        <v>4303</v>
      </c>
      <c r="G714" s="1" t="s">
        <v>4304</v>
      </c>
      <c r="H714" s="1" t="s">
        <v>4305</v>
      </c>
    </row>
    <row r="715" spans="1:8" x14ac:dyDescent="0.3">
      <c r="A715" s="2">
        <v>21521</v>
      </c>
      <c r="B715" s="1" t="s">
        <v>4306</v>
      </c>
      <c r="C715" s="1" t="s">
        <v>4307</v>
      </c>
      <c r="D715" s="1" t="s">
        <v>4308</v>
      </c>
      <c r="E715" s="1" t="s">
        <v>4309</v>
      </c>
      <c r="F715" s="1" t="s">
        <v>4310</v>
      </c>
      <c r="G715" s="1" t="s">
        <v>4311</v>
      </c>
      <c r="H715" s="1" t="s">
        <v>4312</v>
      </c>
    </row>
    <row r="716" spans="1:8" x14ac:dyDescent="0.3">
      <c r="A716" s="2" t="s">
        <v>4313</v>
      </c>
      <c r="B716" s="1" t="s">
        <v>4314</v>
      </c>
      <c r="C716" s="1" t="s">
        <v>4315</v>
      </c>
      <c r="D716" s="1" t="s">
        <v>4316</v>
      </c>
      <c r="E716" s="1" t="s">
        <v>4317</v>
      </c>
      <c r="F716" s="1" t="s">
        <v>57</v>
      </c>
      <c r="G716" s="1" t="s">
        <v>4308</v>
      </c>
      <c r="H716" s="1" t="s">
        <v>4318</v>
      </c>
    </row>
    <row r="717" spans="1:8" x14ac:dyDescent="0.3">
      <c r="A717" s="2">
        <v>21522</v>
      </c>
      <c r="B717" s="1" t="s">
        <v>4319</v>
      </c>
      <c r="C717" s="1" t="s">
        <v>4320</v>
      </c>
      <c r="D717" s="1" t="s">
        <v>4321</v>
      </c>
      <c r="E717" s="1" t="s">
        <v>4322</v>
      </c>
      <c r="F717" s="1" t="s">
        <v>4323</v>
      </c>
      <c r="G717" s="1" t="s">
        <v>4324</v>
      </c>
      <c r="H717" s="1" t="s">
        <v>4325</v>
      </c>
    </row>
    <row r="718" spans="1:8" x14ac:dyDescent="0.3">
      <c r="A718" s="2">
        <v>21523</v>
      </c>
      <c r="B718" s="1" t="s">
        <v>4326</v>
      </c>
      <c r="C718" s="1" t="s">
        <v>4327</v>
      </c>
      <c r="D718" s="1" t="s">
        <v>4328</v>
      </c>
      <c r="E718" s="1" t="s">
        <v>4329</v>
      </c>
      <c r="F718" s="1" t="s">
        <v>4330</v>
      </c>
      <c r="G718" s="1" t="s">
        <v>4331</v>
      </c>
      <c r="H718" s="1" t="s">
        <v>4332</v>
      </c>
    </row>
    <row r="719" spans="1:8" x14ac:dyDescent="0.3">
      <c r="A719" s="2">
        <v>21524</v>
      </c>
      <c r="B719" s="1" t="s">
        <v>4333</v>
      </c>
      <c r="C719" s="1" t="s">
        <v>4334</v>
      </c>
      <c r="D719" s="1" t="s">
        <v>4333</v>
      </c>
      <c r="E719" s="1" t="s">
        <v>4335</v>
      </c>
      <c r="F719" s="1" t="s">
        <v>4336</v>
      </c>
      <c r="G719" s="1" t="s">
        <v>4337</v>
      </c>
      <c r="H719" s="1" t="s">
        <v>4338</v>
      </c>
    </row>
    <row r="720" spans="1:8" x14ac:dyDescent="0.3">
      <c r="A720" s="2">
        <v>21525</v>
      </c>
      <c r="B720" s="1" t="s">
        <v>4339</v>
      </c>
      <c r="C720" s="1" t="s">
        <v>4340</v>
      </c>
      <c r="D720" s="1" t="s">
        <v>4341</v>
      </c>
      <c r="E720" s="1" t="s">
        <v>4342</v>
      </c>
      <c r="F720" s="1" t="s">
        <v>4343</v>
      </c>
      <c r="G720" s="1" t="s">
        <v>4344</v>
      </c>
      <c r="H720" s="1" t="s">
        <v>4344</v>
      </c>
    </row>
    <row r="721" spans="1:8" x14ac:dyDescent="0.3">
      <c r="A721" s="2">
        <v>21526</v>
      </c>
      <c r="B721" s="1" t="s">
        <v>4345</v>
      </c>
      <c r="C721" s="1" t="s">
        <v>4346</v>
      </c>
      <c r="D721" s="1" t="s">
        <v>4347</v>
      </c>
      <c r="E721" s="1" t="s">
        <v>4348</v>
      </c>
      <c r="F721" s="1" t="s">
        <v>4349</v>
      </c>
      <c r="G721" s="1" t="s">
        <v>4350</v>
      </c>
      <c r="H721" s="1" t="s">
        <v>4351</v>
      </c>
    </row>
    <row r="722" spans="1:8" x14ac:dyDescent="0.3">
      <c r="A722" s="2">
        <v>21527</v>
      </c>
      <c r="B722" s="1" t="s">
        <v>4352</v>
      </c>
      <c r="C722" s="1" t="s">
        <v>4353</v>
      </c>
      <c r="D722" s="1" t="s">
        <v>4354</v>
      </c>
      <c r="E722" s="1" t="s">
        <v>4355</v>
      </c>
      <c r="F722" s="1" t="s">
        <v>4356</v>
      </c>
      <c r="G722" s="1" t="s">
        <v>4357</v>
      </c>
      <c r="H722" s="1" t="s">
        <v>4358</v>
      </c>
    </row>
    <row r="723" spans="1:8" x14ac:dyDescent="0.3">
      <c r="A723" s="2">
        <v>21528</v>
      </c>
      <c r="B723" s="1" t="s">
        <v>4359</v>
      </c>
      <c r="C723" s="1" t="s">
        <v>4360</v>
      </c>
      <c r="D723" s="1" t="s">
        <v>4359</v>
      </c>
      <c r="E723" s="1" t="s">
        <v>4359</v>
      </c>
      <c r="F723" s="1" t="s">
        <v>4361</v>
      </c>
      <c r="G723" s="1" t="s">
        <v>4362</v>
      </c>
      <c r="H723" s="1" t="s">
        <v>4359</v>
      </c>
    </row>
    <row r="724" spans="1:8" x14ac:dyDescent="0.3">
      <c r="A724" s="2">
        <v>21601</v>
      </c>
      <c r="B724" s="1" t="s">
        <v>4363</v>
      </c>
      <c r="C724" s="1" t="s">
        <v>4364</v>
      </c>
      <c r="D724" s="1" t="s">
        <v>4365</v>
      </c>
      <c r="E724" s="1" t="s">
        <v>4366</v>
      </c>
      <c r="F724" s="1" t="s">
        <v>4367</v>
      </c>
      <c r="G724" s="1" t="s">
        <v>4368</v>
      </c>
      <c r="H724" s="1" t="s">
        <v>4363</v>
      </c>
    </row>
    <row r="725" spans="1:8" x14ac:dyDescent="0.3">
      <c r="A725" s="2">
        <v>21602</v>
      </c>
      <c r="B725" s="1" t="s">
        <v>4369</v>
      </c>
      <c r="C725" s="1" t="s">
        <v>4370</v>
      </c>
      <c r="D725" s="1" t="s">
        <v>4371</v>
      </c>
      <c r="E725" s="1" t="s">
        <v>4372</v>
      </c>
      <c r="F725" s="1" t="s">
        <v>4373</v>
      </c>
      <c r="G725" s="1" t="s">
        <v>4374</v>
      </c>
      <c r="H725" s="1" t="s">
        <v>4372</v>
      </c>
    </row>
    <row r="726" spans="1:8" x14ac:dyDescent="0.3">
      <c r="A726" s="2">
        <v>21603</v>
      </c>
      <c r="B726" s="1" t="s">
        <v>4375</v>
      </c>
      <c r="C726" s="1" t="s">
        <v>4376</v>
      </c>
      <c r="D726" s="1" t="s">
        <v>4377</v>
      </c>
      <c r="E726" s="1" t="s">
        <v>4378</v>
      </c>
      <c r="F726" s="1" t="s">
        <v>4375</v>
      </c>
      <c r="G726" s="1" t="s">
        <v>4379</v>
      </c>
      <c r="H726" s="1" t="s">
        <v>4375</v>
      </c>
    </row>
    <row r="727" spans="1:8" x14ac:dyDescent="0.3">
      <c r="A727" s="2">
        <v>21604</v>
      </c>
      <c r="B727" s="1" t="s">
        <v>4380</v>
      </c>
      <c r="C727" s="1" t="s">
        <v>4381</v>
      </c>
      <c r="D727" s="1" t="s">
        <v>4382</v>
      </c>
      <c r="E727" s="1" t="s">
        <v>4383</v>
      </c>
      <c r="F727" s="1" t="s">
        <v>4384</v>
      </c>
      <c r="G727" s="1" t="s">
        <v>4385</v>
      </c>
      <c r="H727" s="1" t="s">
        <v>4386</v>
      </c>
    </row>
    <row r="728" spans="1:8" x14ac:dyDescent="0.3">
      <c r="A728" s="2">
        <v>21605</v>
      </c>
      <c r="B728" s="1" t="s">
        <v>4387</v>
      </c>
      <c r="C728" s="1" t="s">
        <v>4388</v>
      </c>
      <c r="D728" s="1" t="s">
        <v>4389</v>
      </c>
      <c r="E728" s="1" t="s">
        <v>4390</v>
      </c>
      <c r="F728" s="1" t="s">
        <v>4391</v>
      </c>
      <c r="G728" s="1" t="s">
        <v>4392</v>
      </c>
      <c r="H728" s="1" t="s">
        <v>4393</v>
      </c>
    </row>
    <row r="729" spans="1:8" x14ac:dyDescent="0.3">
      <c r="A729" s="2">
        <v>21606</v>
      </c>
      <c r="B729" s="1" t="s">
        <v>4394</v>
      </c>
      <c r="C729" s="1" t="s">
        <v>4395</v>
      </c>
      <c r="D729" s="1" t="s">
        <v>4396</v>
      </c>
      <c r="E729" s="1" t="s">
        <v>4397</v>
      </c>
      <c r="F729" s="1" t="s">
        <v>4398</v>
      </c>
      <c r="G729" s="1" t="s">
        <v>4399</v>
      </c>
      <c r="H729" s="1" t="s">
        <v>4400</v>
      </c>
    </row>
    <row r="730" spans="1:8" x14ac:dyDescent="0.3">
      <c r="A730" s="2">
        <v>21607</v>
      </c>
      <c r="B730" s="1" t="s">
        <v>4401</v>
      </c>
      <c r="C730" s="1" t="s">
        <v>4402</v>
      </c>
      <c r="D730" s="1" t="s">
        <v>4403</v>
      </c>
      <c r="E730" s="1" t="s">
        <v>4404</v>
      </c>
      <c r="F730" s="1" t="s">
        <v>4405</v>
      </c>
      <c r="G730" s="1" t="s">
        <v>4406</v>
      </c>
      <c r="H730" s="1" t="s">
        <v>4404</v>
      </c>
    </row>
    <row r="731" spans="1:8" x14ac:dyDescent="0.3">
      <c r="A731" s="2">
        <v>21608</v>
      </c>
      <c r="B731" s="1" t="s">
        <v>4407</v>
      </c>
      <c r="C731" s="1" t="s">
        <v>4408</v>
      </c>
      <c r="E731" s="1" t="s">
        <v>4409</v>
      </c>
      <c r="F731" s="1" t="s">
        <v>4410</v>
      </c>
      <c r="G731" s="1" t="s">
        <v>4411</v>
      </c>
      <c r="H731" s="1" t="s">
        <v>4412</v>
      </c>
    </row>
    <row r="732" spans="1:8" x14ac:dyDescent="0.3">
      <c r="A732" s="2">
        <v>21609</v>
      </c>
      <c r="B732" s="1" t="s">
        <v>4413</v>
      </c>
      <c r="C732" s="1" t="s">
        <v>4414</v>
      </c>
      <c r="D732" s="1" t="s">
        <v>4415</v>
      </c>
      <c r="E732" s="1" t="s">
        <v>4416</v>
      </c>
      <c r="F732" s="1" t="s">
        <v>4417</v>
      </c>
      <c r="G732" s="1" t="s">
        <v>4418</v>
      </c>
      <c r="H732" s="1" t="s">
        <v>4419</v>
      </c>
    </row>
    <row r="733" spans="1:8" x14ac:dyDescent="0.3">
      <c r="A733" s="2">
        <v>21610</v>
      </c>
      <c r="B733" s="1" t="s">
        <v>4420</v>
      </c>
      <c r="C733" s="1" t="s">
        <v>4421</v>
      </c>
      <c r="D733" s="1" t="s">
        <v>4422</v>
      </c>
      <c r="E733" s="1" t="s">
        <v>4423</v>
      </c>
      <c r="F733" s="1" t="s">
        <v>4424</v>
      </c>
      <c r="G733" s="1" t="s">
        <v>4425</v>
      </c>
      <c r="H733" s="1" t="s">
        <v>4426</v>
      </c>
    </row>
    <row r="734" spans="1:8" x14ac:dyDescent="0.3">
      <c r="A734" s="2">
        <v>21611</v>
      </c>
      <c r="B734" s="1" t="s">
        <v>4427</v>
      </c>
      <c r="C734" s="1" t="s">
        <v>4428</v>
      </c>
      <c r="D734" s="1" t="s">
        <v>4429</v>
      </c>
      <c r="E734" s="1" t="s">
        <v>4430</v>
      </c>
      <c r="F734" s="1" t="s">
        <v>4431</v>
      </c>
      <c r="G734" s="1" t="s">
        <v>4432</v>
      </c>
      <c r="H734" s="1" t="s">
        <v>4433</v>
      </c>
    </row>
    <row r="735" spans="1:8" x14ac:dyDescent="0.3">
      <c r="A735" s="2">
        <v>21612</v>
      </c>
      <c r="B735" s="1" t="s">
        <v>4434</v>
      </c>
      <c r="C735" s="1" t="s">
        <v>4435</v>
      </c>
      <c r="D735" s="1" t="s">
        <v>4436</v>
      </c>
      <c r="E735" s="1" t="s">
        <v>4437</v>
      </c>
      <c r="F735" s="1" t="s">
        <v>4438</v>
      </c>
      <c r="G735" s="1" t="s">
        <v>4439</v>
      </c>
      <c r="H735" s="1" t="s">
        <v>4440</v>
      </c>
    </row>
    <row r="736" spans="1:8" x14ac:dyDescent="0.3">
      <c r="A736" s="2">
        <v>21613</v>
      </c>
      <c r="B736" s="1" t="s">
        <v>4441</v>
      </c>
      <c r="C736" s="1" t="s">
        <v>4442</v>
      </c>
      <c r="E736" s="1" t="s">
        <v>4443</v>
      </c>
      <c r="F736" s="1" t="s">
        <v>1585</v>
      </c>
      <c r="G736" s="1" t="s">
        <v>4444</v>
      </c>
      <c r="H736" s="1" t="s">
        <v>4445</v>
      </c>
    </row>
    <row r="737" spans="1:8" x14ac:dyDescent="0.3">
      <c r="A737" s="2" t="s">
        <v>4446</v>
      </c>
      <c r="B737" s="1" t="e">
        <f>-고</f>
        <v>#NAME?</v>
      </c>
      <c r="C737" s="1" t="s">
        <v>4447</v>
      </c>
      <c r="D737" s="1" t="s">
        <v>4448</v>
      </c>
      <c r="E737" s="1" t="s">
        <v>4449</v>
      </c>
      <c r="F737" s="1" t="s">
        <v>4450</v>
      </c>
      <c r="G737" s="1" t="s">
        <v>4450</v>
      </c>
      <c r="H737" s="1" t="s">
        <v>4451</v>
      </c>
    </row>
    <row r="738" spans="1:8" x14ac:dyDescent="0.3">
      <c r="A738" s="2">
        <v>21614</v>
      </c>
      <c r="B738" s="1" t="s">
        <v>4452</v>
      </c>
      <c r="C738" s="1" t="s">
        <v>4453</v>
      </c>
      <c r="D738" s="1" t="s">
        <v>4454</v>
      </c>
      <c r="E738" s="1" t="s">
        <v>4455</v>
      </c>
      <c r="F738" s="1" t="s">
        <v>4456</v>
      </c>
      <c r="G738" s="1" t="s">
        <v>4457</v>
      </c>
      <c r="H738" s="1" t="s">
        <v>4458</v>
      </c>
    </row>
    <row r="739" spans="1:8" x14ac:dyDescent="0.3">
      <c r="A739" s="2">
        <v>21615</v>
      </c>
      <c r="B739" s="1" t="s">
        <v>4459</v>
      </c>
      <c r="C739" s="1" t="s">
        <v>4460</v>
      </c>
      <c r="D739" s="1" t="s">
        <v>4461</v>
      </c>
      <c r="E739" s="1" t="s">
        <v>4462</v>
      </c>
      <c r="F739" s="1" t="s">
        <v>4463</v>
      </c>
      <c r="G739" s="1" t="s">
        <v>4464</v>
      </c>
      <c r="H739" s="1" t="s">
        <v>4465</v>
      </c>
    </row>
    <row r="740" spans="1:8" x14ac:dyDescent="0.3">
      <c r="A740" s="2" t="s">
        <v>4466</v>
      </c>
      <c r="B740" s="1" t="s">
        <v>4467</v>
      </c>
      <c r="C740" s="1" t="s">
        <v>4468</v>
      </c>
      <c r="D740" s="1" t="s">
        <v>4469</v>
      </c>
      <c r="E740" s="1" t="s">
        <v>4470</v>
      </c>
      <c r="F740" s="1" t="s">
        <v>4471</v>
      </c>
      <c r="G740" s="1" t="s">
        <v>4472</v>
      </c>
      <c r="H740" s="1" t="s">
        <v>4473</v>
      </c>
    </row>
    <row r="741" spans="1:8" x14ac:dyDescent="0.3">
      <c r="A741" s="2">
        <v>21616</v>
      </c>
      <c r="B741" s="1" t="s">
        <v>4474</v>
      </c>
      <c r="C741" s="1" t="s">
        <v>4475</v>
      </c>
      <c r="D741" s="1" t="s">
        <v>4476</v>
      </c>
      <c r="E741" s="1" t="s">
        <v>4477</v>
      </c>
      <c r="F741" s="1" t="s">
        <v>4474</v>
      </c>
      <c r="G741" s="1" t="s">
        <v>4478</v>
      </c>
      <c r="H741" s="1" t="s">
        <v>4479</v>
      </c>
    </row>
    <row r="742" spans="1:8" x14ac:dyDescent="0.3">
      <c r="A742" s="2">
        <v>21617</v>
      </c>
      <c r="B742" s="1" t="s">
        <v>4480</v>
      </c>
      <c r="C742" s="1" t="s">
        <v>4481</v>
      </c>
      <c r="D742" s="1" t="s">
        <v>4482</v>
      </c>
      <c r="E742" s="1" t="s">
        <v>4483</v>
      </c>
      <c r="F742" s="1" t="s">
        <v>4484</v>
      </c>
      <c r="G742" s="1" t="s">
        <v>4485</v>
      </c>
      <c r="H742" s="1" t="s">
        <v>4486</v>
      </c>
    </row>
    <row r="743" spans="1:8" x14ac:dyDescent="0.3">
      <c r="A743" s="2">
        <v>21618</v>
      </c>
      <c r="B743" s="1" t="s">
        <v>4487</v>
      </c>
      <c r="C743" s="1" t="s">
        <v>4488</v>
      </c>
      <c r="D743" s="1" t="s">
        <v>4489</v>
      </c>
      <c r="E743" s="1" t="s">
        <v>4490</v>
      </c>
      <c r="F743" s="1" t="s">
        <v>4491</v>
      </c>
      <c r="G743" s="1" t="s">
        <v>4492</v>
      </c>
      <c r="H743" s="1" t="s">
        <v>4493</v>
      </c>
    </row>
    <row r="744" spans="1:8" x14ac:dyDescent="0.3">
      <c r="A744" s="2">
        <v>21619</v>
      </c>
      <c r="B744" s="1" t="s">
        <v>4494</v>
      </c>
      <c r="C744" s="1" t="s">
        <v>4495</v>
      </c>
      <c r="D744" s="1" t="s">
        <v>4496</v>
      </c>
      <c r="E744" s="1" t="s">
        <v>4497</v>
      </c>
      <c r="F744" s="1" t="s">
        <v>4498</v>
      </c>
      <c r="G744" s="1" t="s">
        <v>4494</v>
      </c>
      <c r="H744" s="1" t="s">
        <v>4499</v>
      </c>
    </row>
    <row r="745" spans="1:8" x14ac:dyDescent="0.3">
      <c r="A745" s="2" t="s">
        <v>4500</v>
      </c>
      <c r="B745" s="1" t="s">
        <v>4501</v>
      </c>
      <c r="C745" s="1" t="s">
        <v>4502</v>
      </c>
      <c r="D745" s="1" t="s">
        <v>4503</v>
      </c>
      <c r="E745" s="1" t="s">
        <v>4501</v>
      </c>
      <c r="F745" s="1" t="s">
        <v>4501</v>
      </c>
      <c r="G745" s="1" t="s">
        <v>4504</v>
      </c>
      <c r="H745" s="1" t="s">
        <v>4505</v>
      </c>
    </row>
    <row r="746" spans="1:8" x14ac:dyDescent="0.3">
      <c r="A746" s="2">
        <v>21620</v>
      </c>
      <c r="B746" s="1" t="s">
        <v>4506</v>
      </c>
      <c r="C746" s="1" t="s">
        <v>4507</v>
      </c>
      <c r="D746" s="1" t="s">
        <v>4508</v>
      </c>
      <c r="E746" s="1" t="s">
        <v>4509</v>
      </c>
      <c r="F746" s="1" t="s">
        <v>4510</v>
      </c>
      <c r="G746" s="1" t="s">
        <v>4511</v>
      </c>
      <c r="H746" s="1" t="s">
        <v>4510</v>
      </c>
    </row>
    <row r="747" spans="1:8" x14ac:dyDescent="0.3">
      <c r="A747" s="2">
        <v>21621</v>
      </c>
      <c r="B747" s="1" t="s">
        <v>4512</v>
      </c>
      <c r="C747" s="1" t="s">
        <v>4513</v>
      </c>
      <c r="D747" s="1" t="s">
        <v>4512</v>
      </c>
      <c r="F747" s="1" t="s">
        <v>4514</v>
      </c>
      <c r="G747" s="1" t="s">
        <v>4515</v>
      </c>
      <c r="H747" s="1" t="s">
        <v>4516</v>
      </c>
    </row>
    <row r="748" spans="1:8" x14ac:dyDescent="0.3">
      <c r="A748" s="2" t="s">
        <v>4517</v>
      </c>
      <c r="B748" s="1" t="s">
        <v>4518</v>
      </c>
      <c r="C748" s="1" t="s">
        <v>4519</v>
      </c>
      <c r="D748" s="1" t="s">
        <v>4520</v>
      </c>
      <c r="E748" s="1" t="s">
        <v>4521</v>
      </c>
      <c r="F748" s="1" t="s">
        <v>4522</v>
      </c>
      <c r="G748" s="1" t="s">
        <v>4523</v>
      </c>
      <c r="H748" s="1" t="s">
        <v>4524</v>
      </c>
    </row>
    <row r="749" spans="1:8" x14ac:dyDescent="0.3">
      <c r="A749" s="2">
        <v>21622</v>
      </c>
      <c r="B749" s="1" t="s">
        <v>4525</v>
      </c>
      <c r="C749" s="1" t="s">
        <v>4526</v>
      </c>
      <c r="D749" s="1" t="s">
        <v>4525</v>
      </c>
      <c r="E749" s="1" t="s">
        <v>4525</v>
      </c>
      <c r="F749" s="1" t="s">
        <v>4527</v>
      </c>
      <c r="G749" s="1" t="s">
        <v>4525</v>
      </c>
      <c r="H749" s="1" t="s">
        <v>4528</v>
      </c>
    </row>
    <row r="750" spans="1:8" x14ac:dyDescent="0.3">
      <c r="A750" s="2">
        <v>21623</v>
      </c>
      <c r="B750" s="1" t="s">
        <v>4529</v>
      </c>
      <c r="C750" s="1" t="s">
        <v>4530</v>
      </c>
      <c r="D750" s="1" t="s">
        <v>4531</v>
      </c>
      <c r="E750" s="1" t="s">
        <v>4532</v>
      </c>
      <c r="F750" s="1" t="s">
        <v>4533</v>
      </c>
      <c r="G750" s="1" t="s">
        <v>4534</v>
      </c>
      <c r="H750" s="1" t="s">
        <v>4535</v>
      </c>
    </row>
    <row r="751" spans="1:8" x14ac:dyDescent="0.3">
      <c r="A751" s="2" t="s">
        <v>4536</v>
      </c>
      <c r="B751" s="1" t="s">
        <v>4537</v>
      </c>
      <c r="C751" s="1" t="s">
        <v>4538</v>
      </c>
      <c r="D751" s="1" t="s">
        <v>4539</v>
      </c>
      <c r="E751" s="1" t="s">
        <v>4540</v>
      </c>
      <c r="F751" s="1" t="s">
        <v>4541</v>
      </c>
      <c r="G751" s="1" t="s">
        <v>4542</v>
      </c>
      <c r="H751" s="1" t="s">
        <v>4543</v>
      </c>
    </row>
    <row r="752" spans="1:8" x14ac:dyDescent="0.3">
      <c r="A752" s="2" t="s">
        <v>4544</v>
      </c>
      <c r="B752" s="1" t="s">
        <v>4545</v>
      </c>
      <c r="C752" s="1" t="s">
        <v>4546</v>
      </c>
      <c r="D752" s="1" t="s">
        <v>4547</v>
      </c>
      <c r="E752" s="1" t="s">
        <v>4548</v>
      </c>
      <c r="F752" s="1" t="s">
        <v>4549</v>
      </c>
      <c r="G752" s="1" t="s">
        <v>4550</v>
      </c>
      <c r="H752" s="1" t="s">
        <v>4551</v>
      </c>
    </row>
    <row r="753" spans="1:8" x14ac:dyDescent="0.3">
      <c r="A753" s="2">
        <v>21624</v>
      </c>
      <c r="B753" s="1" t="s">
        <v>4552</v>
      </c>
      <c r="C753" s="1" t="s">
        <v>4553</v>
      </c>
      <c r="D753" s="1" t="s">
        <v>4554</v>
      </c>
      <c r="E753" s="1" t="s">
        <v>4555</v>
      </c>
      <c r="F753" s="1" t="s">
        <v>4556</v>
      </c>
      <c r="G753" s="1" t="s">
        <v>4557</v>
      </c>
      <c r="H753" s="1" t="s">
        <v>4558</v>
      </c>
    </row>
    <row r="754" spans="1:8" x14ac:dyDescent="0.3">
      <c r="A754" s="2">
        <v>21625</v>
      </c>
      <c r="B754" s="1" t="s">
        <v>4559</v>
      </c>
      <c r="C754" s="1" t="s">
        <v>4560</v>
      </c>
      <c r="D754" s="1" t="s">
        <v>4561</v>
      </c>
      <c r="E754" s="1" t="s">
        <v>4562</v>
      </c>
      <c r="F754" s="1" t="s">
        <v>4563</v>
      </c>
      <c r="G754" s="1" t="s">
        <v>4564</v>
      </c>
      <c r="H754" s="1" t="s">
        <v>4565</v>
      </c>
    </row>
    <row r="755" spans="1:8" x14ac:dyDescent="0.3">
      <c r="A755" s="2" t="s">
        <v>4566</v>
      </c>
      <c r="B755" s="1" t="s">
        <v>4567</v>
      </c>
      <c r="C755" s="1" t="s">
        <v>4568</v>
      </c>
      <c r="D755" s="1" t="s">
        <v>4569</v>
      </c>
      <c r="E755" s="1" t="s">
        <v>4570</v>
      </c>
      <c r="F755" s="1" t="s">
        <v>4571</v>
      </c>
      <c r="G755" s="1" t="s">
        <v>4572</v>
      </c>
      <c r="H755" s="1" t="s">
        <v>4573</v>
      </c>
    </row>
    <row r="756" spans="1:8" x14ac:dyDescent="0.3">
      <c r="A756" s="2" t="s">
        <v>4574</v>
      </c>
      <c r="B756" s="1" t="s">
        <v>4575</v>
      </c>
      <c r="C756" s="1" t="s">
        <v>4576</v>
      </c>
      <c r="D756" s="1" t="s">
        <v>4577</v>
      </c>
      <c r="F756" s="1" t="s">
        <v>4578</v>
      </c>
      <c r="G756" s="1" t="s">
        <v>4579</v>
      </c>
      <c r="H756" s="1" t="s">
        <v>4580</v>
      </c>
    </row>
    <row r="757" spans="1:8" x14ac:dyDescent="0.3">
      <c r="A757" s="2">
        <v>21626</v>
      </c>
      <c r="B757" s="1" t="s">
        <v>4581</v>
      </c>
      <c r="C757" s="1" t="s">
        <v>4582</v>
      </c>
      <c r="D757" s="1" t="s">
        <v>4583</v>
      </c>
      <c r="E757" s="1" t="s">
        <v>4584</v>
      </c>
      <c r="F757" s="1" t="s">
        <v>4585</v>
      </c>
      <c r="G757" s="1" t="s">
        <v>4586</v>
      </c>
      <c r="H757" s="1" t="s">
        <v>4587</v>
      </c>
    </row>
    <row r="758" spans="1:8" x14ac:dyDescent="0.3">
      <c r="A758" s="2">
        <v>21627</v>
      </c>
      <c r="B758" s="1" t="s">
        <v>4588</v>
      </c>
      <c r="C758" s="1" t="s">
        <v>4589</v>
      </c>
      <c r="D758" s="1" t="s">
        <v>4590</v>
      </c>
      <c r="E758" s="1" t="s">
        <v>4591</v>
      </c>
      <c r="F758" s="1" t="s">
        <v>4592</v>
      </c>
      <c r="G758" s="1" t="s">
        <v>4593</v>
      </c>
      <c r="H758" s="1" t="s">
        <v>4594</v>
      </c>
    </row>
    <row r="759" spans="1:8" x14ac:dyDescent="0.3">
      <c r="A759" s="2">
        <v>21628</v>
      </c>
      <c r="B759" s="1" t="s">
        <v>4595</v>
      </c>
      <c r="C759" s="1" t="s">
        <v>4596</v>
      </c>
      <c r="D759" s="1" t="s">
        <v>4597</v>
      </c>
      <c r="E759" s="1" t="s">
        <v>4598</v>
      </c>
      <c r="F759" s="1" t="s">
        <v>4599</v>
      </c>
      <c r="G759" s="1" t="s">
        <v>469</v>
      </c>
      <c r="H759" s="1" t="s">
        <v>469</v>
      </c>
    </row>
    <row r="760" spans="1:8" x14ac:dyDescent="0.3">
      <c r="A760" s="2">
        <v>21629</v>
      </c>
      <c r="B760" s="1" t="s">
        <v>4600</v>
      </c>
      <c r="C760" s="1" t="s">
        <v>4601</v>
      </c>
      <c r="D760" s="1" t="s">
        <v>4602</v>
      </c>
      <c r="E760" s="1" t="s">
        <v>4603</v>
      </c>
      <c r="G760" s="1" t="s">
        <v>4604</v>
      </c>
      <c r="H760" s="1" t="s">
        <v>57</v>
      </c>
    </row>
    <row r="761" spans="1:8" x14ac:dyDescent="0.3">
      <c r="A761" s="2">
        <v>21630</v>
      </c>
      <c r="B761" s="1" t="s">
        <v>4605</v>
      </c>
      <c r="C761" s="1" t="s">
        <v>57</v>
      </c>
      <c r="E761" s="1" t="s">
        <v>4606</v>
      </c>
      <c r="F761" s="1" t="s">
        <v>57</v>
      </c>
      <c r="G761" s="1" t="s">
        <v>4607</v>
      </c>
      <c r="H761" s="1" t="s">
        <v>57</v>
      </c>
    </row>
    <row r="762" spans="1:8" x14ac:dyDescent="0.3">
      <c r="A762" s="2">
        <v>21631</v>
      </c>
      <c r="B762" s="1" t="s">
        <v>4608</v>
      </c>
      <c r="C762" s="1" t="s">
        <v>4609</v>
      </c>
      <c r="D762" s="1" t="s">
        <v>4610</v>
      </c>
      <c r="E762" s="1" t="s">
        <v>4611</v>
      </c>
      <c r="F762" s="1" t="s">
        <v>4612</v>
      </c>
      <c r="G762" s="1" t="s">
        <v>4613</v>
      </c>
      <c r="H762" s="1" t="s">
        <v>4614</v>
      </c>
    </row>
    <row r="763" spans="1:8" x14ac:dyDescent="0.3">
      <c r="A763" s="2">
        <v>21632</v>
      </c>
      <c r="B763" s="1" t="s">
        <v>4615</v>
      </c>
      <c r="C763" s="1" t="s">
        <v>363</v>
      </c>
      <c r="D763" s="1" t="s">
        <v>368</v>
      </c>
      <c r="E763" s="1" t="s">
        <v>368</v>
      </c>
      <c r="F763" s="1" t="s">
        <v>4616</v>
      </c>
      <c r="G763" s="1" t="s">
        <v>4617</v>
      </c>
      <c r="H763" s="1" t="s">
        <v>4617</v>
      </c>
    </row>
    <row r="764" spans="1:8" x14ac:dyDescent="0.3">
      <c r="A764" s="2">
        <v>21633</v>
      </c>
      <c r="B764" s="1" t="s">
        <v>4618</v>
      </c>
      <c r="C764" s="1" t="s">
        <v>4619</v>
      </c>
      <c r="D764" s="1" t="s">
        <v>4620</v>
      </c>
      <c r="E764" s="1" t="s">
        <v>4621</v>
      </c>
      <c r="F764" s="1" t="s">
        <v>4622</v>
      </c>
      <c r="G764" s="1" t="s">
        <v>4623</v>
      </c>
      <c r="H764" s="1" t="s">
        <v>4624</v>
      </c>
    </row>
    <row r="765" spans="1:8" x14ac:dyDescent="0.3">
      <c r="A765" s="2" t="s">
        <v>4625</v>
      </c>
      <c r="B765" s="1" t="s">
        <v>4626</v>
      </c>
      <c r="C765" s="1" t="s">
        <v>4627</v>
      </c>
      <c r="D765" s="1" t="s">
        <v>4628</v>
      </c>
      <c r="E765" s="1" t="s">
        <v>4629</v>
      </c>
      <c r="F765" s="1" t="s">
        <v>4630</v>
      </c>
      <c r="G765" s="1" t="s">
        <v>4631</v>
      </c>
      <c r="H765" s="1" t="s">
        <v>4632</v>
      </c>
    </row>
    <row r="766" spans="1:8" x14ac:dyDescent="0.3">
      <c r="A766" s="2">
        <v>21634</v>
      </c>
      <c r="B766" s="1" t="s">
        <v>4633</v>
      </c>
      <c r="C766" s="1" t="s">
        <v>4634</v>
      </c>
      <c r="D766" s="1" t="s">
        <v>4633</v>
      </c>
      <c r="E766" s="1" t="s">
        <v>4635</v>
      </c>
      <c r="F766" s="1" t="s">
        <v>4636</v>
      </c>
      <c r="G766" s="1" t="s">
        <v>4633</v>
      </c>
      <c r="H766" s="1" t="s">
        <v>4633</v>
      </c>
    </row>
    <row r="767" spans="1:8" x14ac:dyDescent="0.3">
      <c r="A767" s="2" t="s">
        <v>4637</v>
      </c>
      <c r="B767" s="1" t="e">
        <f>-에</f>
        <v>#NAME?</v>
      </c>
      <c r="C767" s="1" t="s">
        <v>4638</v>
      </c>
      <c r="D767" s="1" t="s">
        <v>4639</v>
      </c>
      <c r="E767" s="1" t="s">
        <v>4640</v>
      </c>
      <c r="F767" s="1" t="s">
        <v>4641</v>
      </c>
      <c r="G767" s="1" t="s">
        <v>4642</v>
      </c>
      <c r="H767" s="1" t="s">
        <v>4643</v>
      </c>
    </row>
    <row r="768" spans="1:8" x14ac:dyDescent="0.3">
      <c r="A768" s="2">
        <v>21635</v>
      </c>
      <c r="B768" s="1" t="s">
        <v>4644</v>
      </c>
      <c r="C768" s="1" t="s">
        <v>4645</v>
      </c>
      <c r="D768" s="1" t="s">
        <v>4646</v>
      </c>
      <c r="E768" s="1" t="s">
        <v>4647</v>
      </c>
      <c r="F768" s="1" t="s">
        <v>4648</v>
      </c>
      <c r="G768" s="1" t="s">
        <v>4649</v>
      </c>
      <c r="H768" s="1" t="s">
        <v>4650</v>
      </c>
    </row>
    <row r="769" spans="1:8" x14ac:dyDescent="0.3">
      <c r="A769" s="2">
        <v>21636</v>
      </c>
      <c r="B769" s="1" t="s">
        <v>4651</v>
      </c>
      <c r="C769" s="1" t="s">
        <v>4652</v>
      </c>
      <c r="D769" s="1" t="s">
        <v>4653</v>
      </c>
      <c r="E769" s="1" t="s">
        <v>4654</v>
      </c>
      <c r="F769" s="1" t="s">
        <v>4655</v>
      </c>
      <c r="G769" s="1" t="s">
        <v>4656</v>
      </c>
      <c r="H769" s="1" t="s">
        <v>4657</v>
      </c>
    </row>
    <row r="770" spans="1:8" x14ac:dyDescent="0.3">
      <c r="A770" s="2" t="s">
        <v>4658</v>
      </c>
      <c r="B770" s="1" t="e">
        <f>-을</f>
        <v>#NAME?</v>
      </c>
      <c r="C770" s="1" t="s">
        <v>4659</v>
      </c>
      <c r="E770" s="1" t="s">
        <v>4660</v>
      </c>
      <c r="F770" s="1" t="s">
        <v>4661</v>
      </c>
      <c r="G770" s="1" t="s">
        <v>4662</v>
      </c>
      <c r="H770" s="1" t="s">
        <v>4663</v>
      </c>
    </row>
    <row r="771" spans="1:8" x14ac:dyDescent="0.3">
      <c r="A771" s="2" t="s">
        <v>4664</v>
      </c>
      <c r="B771" s="1" t="e">
        <f>-에</f>
        <v>#NAME?</v>
      </c>
      <c r="C771" s="1" t="s">
        <v>4665</v>
      </c>
      <c r="E771" s="1" t="s">
        <v>4666</v>
      </c>
      <c r="F771" s="1" t="s">
        <v>4667</v>
      </c>
      <c r="G771" s="1" t="s">
        <v>4668</v>
      </c>
      <c r="H771" s="1" t="s">
        <v>4669</v>
      </c>
    </row>
    <row r="772" spans="1:8" x14ac:dyDescent="0.3">
      <c r="A772" s="2">
        <v>21637</v>
      </c>
      <c r="B772" s="1" t="s">
        <v>4670</v>
      </c>
      <c r="C772" s="1" t="s">
        <v>4671</v>
      </c>
      <c r="D772" s="1" t="s">
        <v>4672</v>
      </c>
      <c r="E772" s="1" t="s">
        <v>4673</v>
      </c>
      <c r="F772" s="1" t="s">
        <v>4674</v>
      </c>
      <c r="G772" s="1" t="s">
        <v>4675</v>
      </c>
      <c r="H772" s="1" t="s">
        <v>4676</v>
      </c>
    </row>
    <row r="773" spans="1:8" x14ac:dyDescent="0.3">
      <c r="A773" s="2">
        <v>21638</v>
      </c>
      <c r="B773" s="1" t="s">
        <v>4677</v>
      </c>
      <c r="C773" s="1" t="s">
        <v>4678</v>
      </c>
      <c r="E773" s="1" t="s">
        <v>4679</v>
      </c>
      <c r="F773" s="1" t="s">
        <v>4680</v>
      </c>
      <c r="G773" s="1" t="s">
        <v>4681</v>
      </c>
      <c r="H773" s="1" t="s">
        <v>4682</v>
      </c>
    </row>
    <row r="774" spans="1:8" x14ac:dyDescent="0.3">
      <c r="A774" s="2">
        <v>21639</v>
      </c>
      <c r="B774" s="1" t="s">
        <v>4683</v>
      </c>
      <c r="C774" s="1" t="s">
        <v>4684</v>
      </c>
      <c r="E774" s="1" t="s">
        <v>4685</v>
      </c>
      <c r="F774" s="1" t="s">
        <v>4686</v>
      </c>
      <c r="G774" s="1" t="s">
        <v>4685</v>
      </c>
      <c r="H774" s="1" t="s">
        <v>4685</v>
      </c>
    </row>
    <row r="775" spans="1:8" x14ac:dyDescent="0.3">
      <c r="A775" s="2" t="s">
        <v>4687</v>
      </c>
      <c r="B775" s="1" t="e">
        <f>-에</f>
        <v>#NAME?</v>
      </c>
      <c r="C775" s="1" t="s">
        <v>4688</v>
      </c>
      <c r="E775" s="1" t="s">
        <v>4689</v>
      </c>
      <c r="F775" s="1" t="s">
        <v>4690</v>
      </c>
      <c r="G775" s="1" t="s">
        <v>4691</v>
      </c>
      <c r="H775" s="1" t="s">
        <v>4692</v>
      </c>
    </row>
    <row r="776" spans="1:8" x14ac:dyDescent="0.3">
      <c r="A776" s="2">
        <v>21640</v>
      </c>
      <c r="B776" s="1" t="s">
        <v>4693</v>
      </c>
      <c r="C776" s="1" t="s">
        <v>4694</v>
      </c>
      <c r="D776" s="1" t="s">
        <v>4695</v>
      </c>
      <c r="E776" s="1" t="s">
        <v>4696</v>
      </c>
      <c r="F776" s="1" t="s">
        <v>4697</v>
      </c>
      <c r="G776" s="1" t="s">
        <v>4698</v>
      </c>
      <c r="H776" s="1" t="s">
        <v>4699</v>
      </c>
    </row>
    <row r="777" spans="1:8" x14ac:dyDescent="0.3">
      <c r="A777" s="2">
        <v>21641</v>
      </c>
      <c r="B777" s="1" t="s">
        <v>4700</v>
      </c>
      <c r="C777" s="1" t="s">
        <v>4701</v>
      </c>
      <c r="D777" s="1" t="s">
        <v>4702</v>
      </c>
      <c r="E777" s="1" t="s">
        <v>4703</v>
      </c>
      <c r="F777" s="1" t="s">
        <v>4704</v>
      </c>
      <c r="G777" s="1" t="s">
        <v>4705</v>
      </c>
      <c r="H777" s="1" t="s">
        <v>4706</v>
      </c>
    </row>
    <row r="778" spans="1:8" x14ac:dyDescent="0.3">
      <c r="A778" s="2" t="s">
        <v>4707</v>
      </c>
      <c r="B778" s="1" t="e">
        <f>-에</f>
        <v>#NAME?</v>
      </c>
      <c r="C778" s="1" t="s">
        <v>4708</v>
      </c>
      <c r="D778" s="1" t="s">
        <v>4709</v>
      </c>
      <c r="E778" s="1" t="s">
        <v>4710</v>
      </c>
      <c r="F778" s="1" t="s">
        <v>4711</v>
      </c>
      <c r="G778" s="1" t="s">
        <v>4712</v>
      </c>
      <c r="H778" s="1" t="s">
        <v>4713</v>
      </c>
    </row>
    <row r="779" spans="1:8" x14ac:dyDescent="0.3">
      <c r="A779" s="2">
        <v>21642</v>
      </c>
      <c r="B779" s="1" t="s">
        <v>4714</v>
      </c>
      <c r="C779" s="1" t="s">
        <v>4715</v>
      </c>
      <c r="D779" s="1" t="s">
        <v>4716</v>
      </c>
      <c r="E779" s="1" t="s">
        <v>4717</v>
      </c>
      <c r="F779" s="1" t="s">
        <v>4718</v>
      </c>
      <c r="G779" s="1" t="s">
        <v>4719</v>
      </c>
      <c r="H779" s="1" t="s">
        <v>4719</v>
      </c>
    </row>
    <row r="780" spans="1:8" x14ac:dyDescent="0.3">
      <c r="A780" s="2" t="s">
        <v>4720</v>
      </c>
      <c r="B780" s="1" t="s">
        <v>4721</v>
      </c>
      <c r="C780" s="1" t="s">
        <v>4722</v>
      </c>
      <c r="D780" s="1" t="s">
        <v>4721</v>
      </c>
      <c r="E780" s="1" t="s">
        <v>4723</v>
      </c>
      <c r="F780" s="1" t="s">
        <v>4724</v>
      </c>
      <c r="G780" s="1" t="s">
        <v>4725</v>
      </c>
      <c r="H780" s="1" t="s">
        <v>4726</v>
      </c>
    </row>
    <row r="781" spans="1:8" x14ac:dyDescent="0.3">
      <c r="A781" s="2" t="s">
        <v>4727</v>
      </c>
      <c r="B781" s="1" t="s">
        <v>4728</v>
      </c>
      <c r="C781" s="1" t="s">
        <v>4729</v>
      </c>
      <c r="D781" s="1" t="s">
        <v>4730</v>
      </c>
      <c r="E781" s="1" t="s">
        <v>4731</v>
      </c>
      <c r="F781" s="1" t="s">
        <v>4732</v>
      </c>
      <c r="G781" s="1" t="s">
        <v>4733</v>
      </c>
      <c r="H781" s="1" t="s">
        <v>4734</v>
      </c>
    </row>
    <row r="782" spans="1:8" x14ac:dyDescent="0.3">
      <c r="A782" s="2">
        <v>21643</v>
      </c>
      <c r="B782" s="1" t="s">
        <v>4735</v>
      </c>
      <c r="C782" s="1" t="s">
        <v>4736</v>
      </c>
      <c r="D782" s="1" t="s">
        <v>4737</v>
      </c>
      <c r="E782" s="1" t="s">
        <v>4738</v>
      </c>
      <c r="F782" s="1" t="s">
        <v>4735</v>
      </c>
      <c r="G782" s="1" t="s">
        <v>4739</v>
      </c>
      <c r="H782" s="1" t="s">
        <v>4735</v>
      </c>
    </row>
    <row r="783" spans="1:8" x14ac:dyDescent="0.3">
      <c r="A783" s="2">
        <v>21644</v>
      </c>
      <c r="B783" s="1" t="s">
        <v>4740</v>
      </c>
      <c r="C783" s="1" t="s">
        <v>4741</v>
      </c>
      <c r="D783" s="1" t="s">
        <v>4742</v>
      </c>
      <c r="E783" s="1" t="s">
        <v>4743</v>
      </c>
      <c r="F783" s="1" t="s">
        <v>4744</v>
      </c>
      <c r="G783" s="1" t="s">
        <v>4745</v>
      </c>
      <c r="H783" s="1" t="s">
        <v>4746</v>
      </c>
    </row>
    <row r="784" spans="1:8" x14ac:dyDescent="0.3">
      <c r="A784" s="2">
        <v>21645</v>
      </c>
      <c r="B784" s="1" t="s">
        <v>4747</v>
      </c>
      <c r="C784" s="1" t="s">
        <v>4748</v>
      </c>
      <c r="D784" s="1" t="s">
        <v>4749</v>
      </c>
      <c r="E784" s="1" t="s">
        <v>4749</v>
      </c>
      <c r="F784" s="1" t="s">
        <v>4750</v>
      </c>
      <c r="G784" s="1" t="s">
        <v>4751</v>
      </c>
      <c r="H784" s="1" t="s">
        <v>4752</v>
      </c>
    </row>
    <row r="785" spans="1:8" x14ac:dyDescent="0.3">
      <c r="A785" s="2">
        <v>21646</v>
      </c>
      <c r="B785" s="1" t="s">
        <v>4753</v>
      </c>
      <c r="C785" s="1" t="s">
        <v>4754</v>
      </c>
      <c r="D785" s="1" t="s">
        <v>4755</v>
      </c>
      <c r="F785" s="1" t="s">
        <v>4756</v>
      </c>
      <c r="G785" s="1" t="s">
        <v>4757</v>
      </c>
      <c r="H785" s="1" t="s">
        <v>4758</v>
      </c>
    </row>
    <row r="786" spans="1:8" x14ac:dyDescent="0.3">
      <c r="A786" s="2">
        <v>21647</v>
      </c>
      <c r="B786" s="1" t="s">
        <v>4759</v>
      </c>
      <c r="C786" s="1" t="s">
        <v>4760</v>
      </c>
      <c r="D786" s="1" t="s">
        <v>4761</v>
      </c>
      <c r="E786" s="1" t="s">
        <v>4762</v>
      </c>
      <c r="F786" s="1" t="s">
        <v>4763</v>
      </c>
      <c r="G786" s="1" t="s">
        <v>4762</v>
      </c>
      <c r="H786" s="1" t="s">
        <v>4764</v>
      </c>
    </row>
    <row r="787" spans="1:8" x14ac:dyDescent="0.3">
      <c r="A787" s="2">
        <v>21701</v>
      </c>
      <c r="B787" s="1" t="s">
        <v>4765</v>
      </c>
      <c r="C787" s="1" t="s">
        <v>4766</v>
      </c>
      <c r="D787" s="1" t="s">
        <v>4767</v>
      </c>
      <c r="E787" s="1" t="s">
        <v>4768</v>
      </c>
      <c r="F787" s="1" t="s">
        <v>4769</v>
      </c>
      <c r="G787" s="1" t="s">
        <v>4770</v>
      </c>
      <c r="H787" s="1" t="s">
        <v>4771</v>
      </c>
    </row>
    <row r="788" spans="1:8" x14ac:dyDescent="0.3">
      <c r="A788" s="2">
        <v>21702</v>
      </c>
      <c r="B788" s="1" t="s">
        <v>4772</v>
      </c>
      <c r="C788" s="1" t="s">
        <v>4773</v>
      </c>
      <c r="D788" s="1" t="s">
        <v>4774</v>
      </c>
      <c r="E788" s="1" t="s">
        <v>4775</v>
      </c>
      <c r="F788" s="1" t="s">
        <v>4776</v>
      </c>
      <c r="G788" s="1" t="s">
        <v>4777</v>
      </c>
      <c r="H788" s="1" t="s">
        <v>4778</v>
      </c>
    </row>
    <row r="789" spans="1:8" x14ac:dyDescent="0.3">
      <c r="A789" s="2">
        <v>21703</v>
      </c>
      <c r="B789" s="1" t="s">
        <v>4779</v>
      </c>
      <c r="C789" s="1" t="s">
        <v>1792</v>
      </c>
      <c r="D789" s="1" t="s">
        <v>4780</v>
      </c>
      <c r="E789" s="1" t="s">
        <v>4781</v>
      </c>
      <c r="F789" s="1" t="s">
        <v>4782</v>
      </c>
      <c r="G789" s="1" t="s">
        <v>4783</v>
      </c>
      <c r="H789" s="1" t="s">
        <v>1791</v>
      </c>
    </row>
    <row r="790" spans="1:8" x14ac:dyDescent="0.3">
      <c r="A790" s="2">
        <v>21704</v>
      </c>
      <c r="B790" s="1" t="s">
        <v>4784</v>
      </c>
      <c r="C790" s="1" t="s">
        <v>4785</v>
      </c>
      <c r="D790" s="1" t="s">
        <v>4786</v>
      </c>
      <c r="E790" s="1" t="s">
        <v>4787</v>
      </c>
      <c r="F790" s="1" t="s">
        <v>4788</v>
      </c>
      <c r="G790" s="1" t="s">
        <v>4789</v>
      </c>
      <c r="H790" s="1" t="s">
        <v>4790</v>
      </c>
    </row>
    <row r="791" spans="1:8" x14ac:dyDescent="0.3">
      <c r="A791" s="2">
        <v>21705</v>
      </c>
      <c r="B791" s="1" t="s">
        <v>4791</v>
      </c>
      <c r="C791" s="1" t="s">
        <v>4792</v>
      </c>
      <c r="D791" s="1" t="s">
        <v>4793</v>
      </c>
      <c r="E791" s="1" t="s">
        <v>4794</v>
      </c>
      <c r="F791" s="1" t="s">
        <v>4795</v>
      </c>
      <c r="G791" s="1" t="s">
        <v>4796</v>
      </c>
      <c r="H791" s="1" t="s">
        <v>4797</v>
      </c>
    </row>
    <row r="792" spans="1:8" x14ac:dyDescent="0.3">
      <c r="A792" s="2" t="s">
        <v>4798</v>
      </c>
      <c r="B792" s="1" t="s">
        <v>4799</v>
      </c>
      <c r="C792" s="1" t="s">
        <v>4800</v>
      </c>
      <c r="D792" s="1" t="s">
        <v>4801</v>
      </c>
      <c r="E792" s="1" t="s">
        <v>4802</v>
      </c>
      <c r="F792" s="1" t="s">
        <v>57</v>
      </c>
      <c r="G792" s="1" t="s">
        <v>57</v>
      </c>
      <c r="H792" s="1" t="s">
        <v>57</v>
      </c>
    </row>
    <row r="793" spans="1:8" x14ac:dyDescent="0.3">
      <c r="A793" s="2">
        <v>21706</v>
      </c>
      <c r="B793" s="1" t="s">
        <v>4803</v>
      </c>
      <c r="C793" s="1" t="s">
        <v>4803</v>
      </c>
      <c r="D793" s="1" t="s">
        <v>4804</v>
      </c>
      <c r="E793" s="1" t="s">
        <v>4805</v>
      </c>
      <c r="F793" s="1" t="s">
        <v>4806</v>
      </c>
      <c r="G793" s="1" t="s">
        <v>4807</v>
      </c>
      <c r="H793" s="1" t="s">
        <v>4808</v>
      </c>
    </row>
    <row r="794" spans="1:8" x14ac:dyDescent="0.3">
      <c r="A794" s="2" t="s">
        <v>4809</v>
      </c>
      <c r="B794" s="1" t="e">
        <f>-에</f>
        <v>#NAME?</v>
      </c>
      <c r="C794" s="1" t="s">
        <v>4810</v>
      </c>
      <c r="D794" s="1" t="s">
        <v>4811</v>
      </c>
      <c r="E794" s="1" t="s">
        <v>4812</v>
      </c>
      <c r="F794" s="1" t="s">
        <v>57</v>
      </c>
      <c r="G794" s="1" t="s">
        <v>4813</v>
      </c>
      <c r="H794" s="1" t="s">
        <v>4814</v>
      </c>
    </row>
    <row r="795" spans="1:8" x14ac:dyDescent="0.3">
      <c r="A795" s="2">
        <v>21707</v>
      </c>
      <c r="B795" s="1" t="s">
        <v>4815</v>
      </c>
      <c r="C795" s="1" t="s">
        <v>4816</v>
      </c>
      <c r="D795" s="1" t="s">
        <v>4817</v>
      </c>
      <c r="E795" s="1" t="s">
        <v>4818</v>
      </c>
      <c r="G795" s="1" t="s">
        <v>4819</v>
      </c>
      <c r="H795" s="1" t="s">
        <v>4820</v>
      </c>
    </row>
    <row r="796" spans="1:8" x14ac:dyDescent="0.3">
      <c r="A796" s="2">
        <v>21708</v>
      </c>
      <c r="B796" s="1" t="s">
        <v>4821</v>
      </c>
      <c r="C796" s="1" t="s">
        <v>4822</v>
      </c>
      <c r="D796" s="1" t="s">
        <v>4823</v>
      </c>
      <c r="E796" s="1" t="s">
        <v>4824</v>
      </c>
      <c r="F796" s="1" t="s">
        <v>4825</v>
      </c>
      <c r="G796" s="1" t="s">
        <v>4826</v>
      </c>
      <c r="H796" s="1" t="s">
        <v>4827</v>
      </c>
    </row>
    <row r="797" spans="1:8" x14ac:dyDescent="0.3">
      <c r="A797" s="2">
        <v>21709</v>
      </c>
      <c r="B797" s="1" t="s">
        <v>4828</v>
      </c>
      <c r="C797" s="1" t="s">
        <v>4829</v>
      </c>
      <c r="D797" s="1" t="s">
        <v>4830</v>
      </c>
      <c r="E797" s="1" t="s">
        <v>4831</v>
      </c>
      <c r="F797" s="1" t="s">
        <v>4832</v>
      </c>
      <c r="G797" s="1" t="s">
        <v>4833</v>
      </c>
      <c r="H797" s="1" t="s">
        <v>4828</v>
      </c>
    </row>
    <row r="798" spans="1:8" x14ac:dyDescent="0.3">
      <c r="A798" s="2">
        <v>21710</v>
      </c>
      <c r="B798" s="1" t="s">
        <v>4834</v>
      </c>
      <c r="C798" s="1" t="s">
        <v>4835</v>
      </c>
      <c r="D798" s="1" t="s">
        <v>4836</v>
      </c>
      <c r="E798" s="1" t="s">
        <v>4837</v>
      </c>
      <c r="F798" s="1" t="s">
        <v>4838</v>
      </c>
      <c r="G798" s="1" t="s">
        <v>4839</v>
      </c>
      <c r="H798" s="1" t="s">
        <v>4840</v>
      </c>
    </row>
    <row r="799" spans="1:8" x14ac:dyDescent="0.3">
      <c r="A799" s="2">
        <v>21711</v>
      </c>
      <c r="B799" s="1" t="s">
        <v>4841</v>
      </c>
      <c r="C799" s="1" t="s">
        <v>4842</v>
      </c>
      <c r="D799" s="1" t="s">
        <v>4843</v>
      </c>
      <c r="E799" s="1" t="s">
        <v>4844</v>
      </c>
      <c r="F799" s="1" t="s">
        <v>4845</v>
      </c>
      <c r="G799" s="1" t="s">
        <v>4844</v>
      </c>
      <c r="H799" s="1" t="s">
        <v>4846</v>
      </c>
    </row>
    <row r="800" spans="1:8" x14ac:dyDescent="0.3">
      <c r="A800" s="2">
        <v>21712</v>
      </c>
      <c r="B800" s="1" t="s">
        <v>4847</v>
      </c>
      <c r="C800" s="1" t="s">
        <v>4848</v>
      </c>
      <c r="D800" s="1" t="s">
        <v>4849</v>
      </c>
      <c r="E800" s="1" t="s">
        <v>4850</v>
      </c>
      <c r="F800" s="1" t="s">
        <v>4851</v>
      </c>
      <c r="G800" s="1" t="s">
        <v>4852</v>
      </c>
      <c r="H800" s="1" t="s">
        <v>4853</v>
      </c>
    </row>
    <row r="801" spans="1:8" x14ac:dyDescent="0.3">
      <c r="A801" s="2">
        <v>21713</v>
      </c>
      <c r="B801" s="1" t="s">
        <v>4854</v>
      </c>
      <c r="C801" s="1" t="s">
        <v>4855</v>
      </c>
      <c r="D801" s="1" t="s">
        <v>4856</v>
      </c>
      <c r="E801" s="1" t="s">
        <v>4857</v>
      </c>
      <c r="F801" s="1" t="s">
        <v>4858</v>
      </c>
      <c r="G801" s="1" t="s">
        <v>4859</v>
      </c>
      <c r="H801" s="1" t="s">
        <v>4860</v>
      </c>
    </row>
    <row r="802" spans="1:8" x14ac:dyDescent="0.3">
      <c r="A802" s="2">
        <v>21714</v>
      </c>
      <c r="B802" s="1" t="s">
        <v>4861</v>
      </c>
      <c r="C802" s="1" t="s">
        <v>4862</v>
      </c>
      <c r="D802" s="1" t="s">
        <v>4863</v>
      </c>
      <c r="E802" s="1" t="s">
        <v>4864</v>
      </c>
      <c r="F802" s="1" t="s">
        <v>4865</v>
      </c>
      <c r="G802" s="1" t="s">
        <v>4866</v>
      </c>
      <c r="H802" s="1" t="s">
        <v>4866</v>
      </c>
    </row>
    <row r="803" spans="1:8" x14ac:dyDescent="0.3">
      <c r="A803" s="2">
        <v>21715</v>
      </c>
      <c r="B803" s="1" t="s">
        <v>4867</v>
      </c>
      <c r="C803" s="1" t="s">
        <v>4868</v>
      </c>
      <c r="D803" s="1" t="s">
        <v>4869</v>
      </c>
      <c r="E803" s="1" t="s">
        <v>4870</v>
      </c>
      <c r="F803" s="1" t="s">
        <v>4871</v>
      </c>
      <c r="G803" s="1" t="s">
        <v>4872</v>
      </c>
      <c r="H803" s="1" t="s">
        <v>4872</v>
      </c>
    </row>
    <row r="804" spans="1:8" x14ac:dyDescent="0.3">
      <c r="A804" s="2">
        <v>21716</v>
      </c>
      <c r="B804" s="1" t="s">
        <v>4873</v>
      </c>
      <c r="C804" s="1" t="s">
        <v>57</v>
      </c>
      <c r="D804" s="1" t="s">
        <v>4873</v>
      </c>
      <c r="E804" s="1" t="s">
        <v>4873</v>
      </c>
      <c r="F804" s="1" t="s">
        <v>4873</v>
      </c>
      <c r="G804" s="1" t="s">
        <v>4873</v>
      </c>
      <c r="H804" s="1" t="s">
        <v>4874</v>
      </c>
    </row>
    <row r="805" spans="1:8" x14ac:dyDescent="0.3">
      <c r="A805" s="2">
        <v>21717</v>
      </c>
      <c r="B805" s="1" t="s">
        <v>4875</v>
      </c>
      <c r="C805" s="1" t="s">
        <v>4876</v>
      </c>
      <c r="D805" s="1" t="s">
        <v>4875</v>
      </c>
      <c r="E805" s="1" t="s">
        <v>4877</v>
      </c>
      <c r="F805" s="1" t="s">
        <v>4875</v>
      </c>
      <c r="G805" s="1" t="s">
        <v>4878</v>
      </c>
      <c r="H805" s="1" t="s">
        <v>4875</v>
      </c>
    </row>
    <row r="806" spans="1:8" x14ac:dyDescent="0.3">
      <c r="A806" s="2" t="s">
        <v>4879</v>
      </c>
      <c r="B806" s="1" t="e">
        <f>-을</f>
        <v>#NAME?</v>
      </c>
      <c r="C806" s="1" t="s">
        <v>4880</v>
      </c>
      <c r="D806" s="1" t="s">
        <v>4881</v>
      </c>
      <c r="E806" s="1" t="s">
        <v>4882</v>
      </c>
      <c r="F806" s="1" t="s">
        <v>4883</v>
      </c>
      <c r="G806" s="1" t="s">
        <v>4884</v>
      </c>
      <c r="H806" s="1" t="s">
        <v>4885</v>
      </c>
    </row>
    <row r="807" spans="1:8" x14ac:dyDescent="0.3">
      <c r="A807" s="2" t="s">
        <v>4886</v>
      </c>
      <c r="B807" s="1" t="e">
        <f>-에</f>
        <v>#NAME?</v>
      </c>
      <c r="C807" s="1" t="s">
        <v>4887</v>
      </c>
      <c r="E807" s="1" t="s">
        <v>4888</v>
      </c>
      <c r="F807" s="1" t="s">
        <v>4889</v>
      </c>
      <c r="G807" s="1" t="s">
        <v>4890</v>
      </c>
      <c r="H807" s="1" t="s">
        <v>4891</v>
      </c>
    </row>
    <row r="808" spans="1:8" x14ac:dyDescent="0.3">
      <c r="A808" s="2">
        <v>21718</v>
      </c>
      <c r="B808" s="1" t="s">
        <v>4892</v>
      </c>
      <c r="C808" s="1" t="s">
        <v>4893</v>
      </c>
      <c r="D808" s="1" t="s">
        <v>4894</v>
      </c>
      <c r="E808" s="1" t="s">
        <v>4895</v>
      </c>
      <c r="F808" s="1" t="s">
        <v>4896</v>
      </c>
      <c r="G808" s="1" t="s">
        <v>4897</v>
      </c>
      <c r="H808" s="1" t="s">
        <v>4898</v>
      </c>
    </row>
    <row r="809" spans="1:8" x14ac:dyDescent="0.3">
      <c r="A809" s="2" t="s">
        <v>4899</v>
      </c>
      <c r="B809" s="1" t="e">
        <f>-에</f>
        <v>#NAME?</v>
      </c>
      <c r="E809" s="1" t="s">
        <v>4900</v>
      </c>
      <c r="F809" s="1" t="s">
        <v>4901</v>
      </c>
      <c r="G809" s="1" t="s">
        <v>4902</v>
      </c>
      <c r="H809" s="1" t="s">
        <v>4903</v>
      </c>
    </row>
    <row r="810" spans="1:8" x14ac:dyDescent="0.3">
      <c r="A810" s="2">
        <v>21719</v>
      </c>
      <c r="B810" s="1" t="s">
        <v>4904</v>
      </c>
      <c r="C810" s="1" t="s">
        <v>4905</v>
      </c>
      <c r="D810" s="1" t="s">
        <v>4906</v>
      </c>
      <c r="E810" s="1" t="s">
        <v>4907</v>
      </c>
      <c r="F810" s="1" t="s">
        <v>4908</v>
      </c>
      <c r="G810" s="1" t="s">
        <v>4909</v>
      </c>
      <c r="H810" s="1" t="s">
        <v>4910</v>
      </c>
    </row>
    <row r="811" spans="1:8" x14ac:dyDescent="0.3">
      <c r="A811" s="2">
        <v>21720</v>
      </c>
      <c r="B811" s="1" t="s">
        <v>4911</v>
      </c>
      <c r="C811" s="1" t="s">
        <v>4912</v>
      </c>
      <c r="D811" s="1" t="s">
        <v>4913</v>
      </c>
      <c r="E811" s="1" t="s">
        <v>4914</v>
      </c>
      <c r="F811" s="1" t="s">
        <v>4913</v>
      </c>
      <c r="G811" s="1" t="s">
        <v>4913</v>
      </c>
      <c r="H811" s="1" t="s">
        <v>4915</v>
      </c>
    </row>
    <row r="812" spans="1:8" x14ac:dyDescent="0.3">
      <c r="A812" s="2" t="s">
        <v>4916</v>
      </c>
      <c r="B812" s="1" t="e">
        <f>-을</f>
        <v>#NAME?</v>
      </c>
      <c r="C812" s="1" t="s">
        <v>4917</v>
      </c>
      <c r="D812" s="1" t="s">
        <v>4918</v>
      </c>
      <c r="F812" s="1" t="s">
        <v>4919</v>
      </c>
      <c r="G812" s="1" t="s">
        <v>4920</v>
      </c>
      <c r="H812" s="1" t="s">
        <v>4921</v>
      </c>
    </row>
    <row r="813" spans="1:8" x14ac:dyDescent="0.3">
      <c r="A813" s="2">
        <v>21721</v>
      </c>
      <c r="B813" s="1" t="s">
        <v>4922</v>
      </c>
      <c r="C813" s="1" t="s">
        <v>4923</v>
      </c>
      <c r="D813" s="1" t="s">
        <v>4924</v>
      </c>
      <c r="E813" s="1" t="s">
        <v>4925</v>
      </c>
      <c r="F813" s="1" t="s">
        <v>4922</v>
      </c>
      <c r="G813" s="1" t="s">
        <v>4922</v>
      </c>
      <c r="H813" s="1" t="s">
        <v>4926</v>
      </c>
    </row>
    <row r="814" spans="1:8" x14ac:dyDescent="0.3">
      <c r="A814" s="2">
        <v>21722</v>
      </c>
      <c r="B814" s="1" t="s">
        <v>4927</v>
      </c>
      <c r="C814" s="1" t="s">
        <v>4928</v>
      </c>
      <c r="D814" s="1" t="s">
        <v>4929</v>
      </c>
      <c r="E814" s="1" t="s">
        <v>4930</v>
      </c>
      <c r="F814" s="1" t="s">
        <v>57</v>
      </c>
      <c r="G814" s="1" t="s">
        <v>4931</v>
      </c>
      <c r="H814" s="1" t="s">
        <v>4932</v>
      </c>
    </row>
    <row r="815" spans="1:8" x14ac:dyDescent="0.3">
      <c r="A815" s="2">
        <v>21723</v>
      </c>
      <c r="B815" s="1" t="s">
        <v>4933</v>
      </c>
      <c r="C815" s="1" t="s">
        <v>4934</v>
      </c>
      <c r="D815" s="1" t="s">
        <v>4935</v>
      </c>
      <c r="E815" s="1" t="s">
        <v>4936</v>
      </c>
      <c r="F815" s="1" t="s">
        <v>4937</v>
      </c>
      <c r="G815" s="1" t="s">
        <v>4938</v>
      </c>
      <c r="H815" s="1" t="s">
        <v>4939</v>
      </c>
    </row>
    <row r="816" spans="1:8" x14ac:dyDescent="0.3">
      <c r="A816" s="2">
        <v>21724</v>
      </c>
      <c r="B816" s="1" t="s">
        <v>4940</v>
      </c>
      <c r="C816" s="1" t="s">
        <v>4941</v>
      </c>
      <c r="D816" s="1" t="s">
        <v>4942</v>
      </c>
      <c r="E816" s="1" t="s">
        <v>4943</v>
      </c>
      <c r="F816" s="1" t="s">
        <v>4944</v>
      </c>
      <c r="G816" s="1" t="s">
        <v>4945</v>
      </c>
      <c r="H816" s="1" t="s">
        <v>4946</v>
      </c>
    </row>
    <row r="817" spans="1:8" x14ac:dyDescent="0.3">
      <c r="A817" s="2">
        <v>21725</v>
      </c>
      <c r="B817" s="1" t="s">
        <v>4947</v>
      </c>
      <c r="C817" s="1" t="s">
        <v>4948</v>
      </c>
      <c r="D817" s="1" t="s">
        <v>4949</v>
      </c>
      <c r="E817" s="1" t="s">
        <v>4950</v>
      </c>
      <c r="F817" s="1" t="s">
        <v>4951</v>
      </c>
      <c r="G817" s="1" t="s">
        <v>4952</v>
      </c>
      <c r="H817" s="1" t="s">
        <v>4953</v>
      </c>
    </row>
    <row r="818" spans="1:8" x14ac:dyDescent="0.3">
      <c r="A818" s="2">
        <v>21726</v>
      </c>
      <c r="B818" s="1" t="s">
        <v>4954</v>
      </c>
      <c r="C818" s="1" t="s">
        <v>4955</v>
      </c>
      <c r="D818" s="1" t="s">
        <v>4956</v>
      </c>
      <c r="F818" s="1" t="s">
        <v>4957</v>
      </c>
      <c r="G818" s="1" t="s">
        <v>4958</v>
      </c>
      <c r="H818" s="1" t="s">
        <v>4959</v>
      </c>
    </row>
    <row r="819" spans="1:8" x14ac:dyDescent="0.3">
      <c r="A819" s="2">
        <v>21727</v>
      </c>
      <c r="B819" s="1" t="s">
        <v>4960</v>
      </c>
      <c r="C819" s="1" t="s">
        <v>4961</v>
      </c>
      <c r="D819" s="1" t="s">
        <v>4962</v>
      </c>
      <c r="E819" s="1" t="s">
        <v>4963</v>
      </c>
      <c r="F819" s="1" t="s">
        <v>4964</v>
      </c>
      <c r="G819" s="1" t="s">
        <v>4965</v>
      </c>
      <c r="H819" s="1" t="s">
        <v>4966</v>
      </c>
    </row>
    <row r="820" spans="1:8" x14ac:dyDescent="0.3">
      <c r="A820" s="2">
        <v>21728</v>
      </c>
      <c r="B820" s="1" t="s">
        <v>4967</v>
      </c>
      <c r="C820" s="1" t="s">
        <v>4968</v>
      </c>
      <c r="E820" s="1" t="s">
        <v>4969</v>
      </c>
      <c r="F820" s="1" t="s">
        <v>4970</v>
      </c>
      <c r="G820" s="1" t="s">
        <v>4971</v>
      </c>
      <c r="H820" s="1" t="s">
        <v>4972</v>
      </c>
    </row>
    <row r="821" spans="1:8" x14ac:dyDescent="0.3">
      <c r="A821" s="2">
        <v>21729</v>
      </c>
      <c r="B821" s="1" t="s">
        <v>4973</v>
      </c>
      <c r="C821" s="1" t="s">
        <v>4974</v>
      </c>
      <c r="D821" s="1" t="s">
        <v>4973</v>
      </c>
      <c r="E821" s="1" t="s">
        <v>4973</v>
      </c>
      <c r="F821" s="1" t="s">
        <v>4973</v>
      </c>
      <c r="G821" s="1" t="s">
        <v>4973</v>
      </c>
      <c r="H821" s="1" t="s">
        <v>4973</v>
      </c>
    </row>
    <row r="822" spans="1:8" x14ac:dyDescent="0.3">
      <c r="A822" s="2">
        <v>21730</v>
      </c>
      <c r="B822" s="1" t="s">
        <v>4975</v>
      </c>
      <c r="C822" s="1" t="s">
        <v>4976</v>
      </c>
      <c r="D822" s="1" t="s">
        <v>4975</v>
      </c>
      <c r="E822" s="1" t="s">
        <v>4977</v>
      </c>
      <c r="F822" s="1" t="s">
        <v>4975</v>
      </c>
      <c r="G822" s="1" t="s">
        <v>4978</v>
      </c>
      <c r="H822" s="1" t="s">
        <v>4979</v>
      </c>
    </row>
    <row r="823" spans="1:8" x14ac:dyDescent="0.3">
      <c r="A823" s="2">
        <v>21731</v>
      </c>
      <c r="B823" s="1" t="s">
        <v>4980</v>
      </c>
      <c r="C823" s="1" t="s">
        <v>4981</v>
      </c>
      <c r="D823" s="1" t="s">
        <v>4982</v>
      </c>
      <c r="E823" s="1" t="s">
        <v>4983</v>
      </c>
      <c r="F823" s="1" t="s">
        <v>4983</v>
      </c>
      <c r="G823" s="1" t="s">
        <v>4984</v>
      </c>
      <c r="H823" s="1" t="s">
        <v>4985</v>
      </c>
    </row>
    <row r="824" spans="1:8" x14ac:dyDescent="0.3">
      <c r="A824" s="2">
        <v>21732</v>
      </c>
      <c r="B824" s="1" t="s">
        <v>4986</v>
      </c>
      <c r="C824" s="1" t="s">
        <v>4987</v>
      </c>
      <c r="D824" s="1" t="s">
        <v>4988</v>
      </c>
      <c r="E824" s="1" t="s">
        <v>4988</v>
      </c>
      <c r="F824" s="1" t="s">
        <v>4989</v>
      </c>
      <c r="G824" s="1" t="s">
        <v>4988</v>
      </c>
      <c r="H824" s="1" t="s">
        <v>4988</v>
      </c>
    </row>
    <row r="825" spans="1:8" x14ac:dyDescent="0.3">
      <c r="A825" s="2">
        <v>21733</v>
      </c>
      <c r="B825" s="1" t="s">
        <v>4990</v>
      </c>
      <c r="C825" s="1" t="s">
        <v>4991</v>
      </c>
      <c r="D825" s="1" t="s">
        <v>4992</v>
      </c>
      <c r="E825" s="1" t="s">
        <v>4992</v>
      </c>
      <c r="F825" s="1" t="s">
        <v>4993</v>
      </c>
      <c r="G825" s="1" t="s">
        <v>4994</v>
      </c>
      <c r="H825" s="1" t="s">
        <v>4992</v>
      </c>
    </row>
    <row r="826" spans="1:8" x14ac:dyDescent="0.3">
      <c r="A826" s="2">
        <v>21734</v>
      </c>
      <c r="B826" s="1" t="s">
        <v>4995</v>
      </c>
      <c r="C826" s="1" t="s">
        <v>4996</v>
      </c>
      <c r="D826" s="1" t="s">
        <v>4997</v>
      </c>
      <c r="E826" s="1" t="s">
        <v>4998</v>
      </c>
      <c r="F826" s="1" t="s">
        <v>4999</v>
      </c>
      <c r="G826" s="1" t="s">
        <v>5000</v>
      </c>
      <c r="H826" s="1" t="s">
        <v>5001</v>
      </c>
    </row>
    <row r="827" spans="1:8" x14ac:dyDescent="0.3">
      <c r="A827" s="2" t="s">
        <v>5002</v>
      </c>
      <c r="B827" s="1" t="e">
        <f>-을</f>
        <v>#NAME?</v>
      </c>
      <c r="C827" s="1" t="s">
        <v>5003</v>
      </c>
      <c r="D827" s="1" t="s">
        <v>5004</v>
      </c>
      <c r="E827" s="1" t="s">
        <v>5005</v>
      </c>
      <c r="F827" s="1" t="s">
        <v>5006</v>
      </c>
      <c r="G827" s="1" t="s">
        <v>5007</v>
      </c>
      <c r="H827" s="1" t="s">
        <v>5008</v>
      </c>
    </row>
    <row r="828" spans="1:8" x14ac:dyDescent="0.3">
      <c r="A828" s="2" t="s">
        <v>5009</v>
      </c>
      <c r="B828" s="1" t="e">
        <f>-에</f>
        <v>#NAME?</v>
      </c>
      <c r="C828" s="1" t="s">
        <v>5010</v>
      </c>
      <c r="D828" s="1" t="s">
        <v>5011</v>
      </c>
      <c r="E828" s="1" t="s">
        <v>5012</v>
      </c>
      <c r="G828" s="1" t="s">
        <v>57</v>
      </c>
      <c r="H828" s="1" t="s">
        <v>5013</v>
      </c>
    </row>
    <row r="829" spans="1:8" x14ac:dyDescent="0.3">
      <c r="A829" s="2">
        <v>21735</v>
      </c>
      <c r="B829" s="1" t="s">
        <v>5014</v>
      </c>
      <c r="C829" s="1" t="s">
        <v>5015</v>
      </c>
      <c r="D829" s="1" t="s">
        <v>5016</v>
      </c>
      <c r="E829" s="1" t="s">
        <v>5017</v>
      </c>
      <c r="F829" s="1" t="s">
        <v>5018</v>
      </c>
      <c r="G829" s="1" t="s">
        <v>5019</v>
      </c>
      <c r="H829" s="1" t="s">
        <v>5020</v>
      </c>
    </row>
    <row r="830" spans="1:8" x14ac:dyDescent="0.3">
      <c r="A830" s="2">
        <v>21736</v>
      </c>
      <c r="B830" s="1" t="s">
        <v>5021</v>
      </c>
      <c r="C830" s="1" t="s">
        <v>5022</v>
      </c>
      <c r="D830" s="1" t="s">
        <v>5023</v>
      </c>
      <c r="E830" s="1" t="s">
        <v>5024</v>
      </c>
      <c r="F830" s="1" t="s">
        <v>5025</v>
      </c>
      <c r="G830" s="1" t="s">
        <v>5026</v>
      </c>
      <c r="H830" s="1" t="s">
        <v>5027</v>
      </c>
    </row>
    <row r="831" spans="1:8" x14ac:dyDescent="0.3">
      <c r="A831" s="2">
        <v>21737</v>
      </c>
      <c r="B831" s="1" t="s">
        <v>5028</v>
      </c>
      <c r="C831" s="1" t="s">
        <v>5029</v>
      </c>
      <c r="D831" s="1" t="s">
        <v>5028</v>
      </c>
      <c r="E831" s="1" t="s">
        <v>5028</v>
      </c>
      <c r="F831" s="1" t="s">
        <v>5030</v>
      </c>
      <c r="G831" s="1" t="s">
        <v>5028</v>
      </c>
      <c r="H831" s="1" t="s">
        <v>5028</v>
      </c>
    </row>
    <row r="832" spans="1:8" x14ac:dyDescent="0.3">
      <c r="A832" s="2">
        <v>21738</v>
      </c>
      <c r="B832" s="1" t="s">
        <v>5031</v>
      </c>
      <c r="C832" s="1" t="s">
        <v>5032</v>
      </c>
      <c r="D832" s="1" t="s">
        <v>5033</v>
      </c>
      <c r="E832" s="1" t="s">
        <v>5034</v>
      </c>
      <c r="F832" s="1" t="s">
        <v>5035</v>
      </c>
      <c r="G832" s="1" t="s">
        <v>5031</v>
      </c>
      <c r="H832" s="1" t="s">
        <v>5036</v>
      </c>
    </row>
    <row r="833" spans="1:8" x14ac:dyDescent="0.3">
      <c r="A833" s="2">
        <v>21739</v>
      </c>
      <c r="B833" s="1" t="s">
        <v>5037</v>
      </c>
      <c r="C833" s="1" t="s">
        <v>5038</v>
      </c>
      <c r="D833" s="1" t="s">
        <v>5039</v>
      </c>
      <c r="E833" s="1" t="s">
        <v>5040</v>
      </c>
      <c r="F833" s="1" t="s">
        <v>57</v>
      </c>
      <c r="G833" s="1" t="s">
        <v>57</v>
      </c>
      <c r="H833" s="1" t="s">
        <v>57</v>
      </c>
    </row>
    <row r="834" spans="1:8" x14ac:dyDescent="0.3">
      <c r="A834" s="2">
        <v>21740</v>
      </c>
      <c r="B834" s="1" t="s">
        <v>5041</v>
      </c>
      <c r="C834" s="1" t="s">
        <v>5042</v>
      </c>
      <c r="D834" s="1" t="s">
        <v>5043</v>
      </c>
      <c r="E834" s="1" t="s">
        <v>5044</v>
      </c>
      <c r="F834" s="1" t="s">
        <v>5045</v>
      </c>
      <c r="G834" s="1" t="s">
        <v>5046</v>
      </c>
      <c r="H834" s="1" t="s">
        <v>5047</v>
      </c>
    </row>
    <row r="835" spans="1:8" x14ac:dyDescent="0.3">
      <c r="A835" s="2">
        <v>21741</v>
      </c>
      <c r="B835" s="1" t="s">
        <v>5048</v>
      </c>
      <c r="C835" s="1" t="s">
        <v>5049</v>
      </c>
      <c r="D835" s="1" t="s">
        <v>5050</v>
      </c>
      <c r="E835" s="1" t="s">
        <v>5051</v>
      </c>
      <c r="F835" s="1" t="s">
        <v>5052</v>
      </c>
      <c r="G835" s="1" t="s">
        <v>5053</v>
      </c>
      <c r="H835" s="1" t="s">
        <v>5054</v>
      </c>
    </row>
    <row r="836" spans="1:8" x14ac:dyDescent="0.3">
      <c r="A836" s="2">
        <v>21742</v>
      </c>
      <c r="B836" s="1" t="s">
        <v>5055</v>
      </c>
      <c r="C836" s="1" t="s">
        <v>5056</v>
      </c>
      <c r="D836" s="1" t="s">
        <v>5057</v>
      </c>
      <c r="E836" s="1" t="s">
        <v>5058</v>
      </c>
      <c r="F836" s="1" t="s">
        <v>5059</v>
      </c>
      <c r="G836" s="1" t="s">
        <v>5060</v>
      </c>
      <c r="H836" s="1" t="s">
        <v>5061</v>
      </c>
    </row>
    <row r="837" spans="1:8" x14ac:dyDescent="0.3">
      <c r="A837" s="2">
        <v>21801</v>
      </c>
      <c r="B837" s="1" t="s">
        <v>5062</v>
      </c>
      <c r="C837" s="1" t="s">
        <v>5063</v>
      </c>
      <c r="D837" s="1" t="s">
        <v>5064</v>
      </c>
      <c r="E837" s="1" t="s">
        <v>5065</v>
      </c>
      <c r="F837" s="1" t="s">
        <v>5066</v>
      </c>
      <c r="G837" s="1" t="s">
        <v>5062</v>
      </c>
      <c r="H837" s="1" t="s">
        <v>5062</v>
      </c>
    </row>
    <row r="838" spans="1:8" x14ac:dyDescent="0.3">
      <c r="A838" s="2">
        <v>21802</v>
      </c>
      <c r="B838" s="1" t="s">
        <v>5067</v>
      </c>
      <c r="C838" s="1" t="s">
        <v>5068</v>
      </c>
      <c r="D838" s="1" t="s">
        <v>5069</v>
      </c>
      <c r="E838" s="1" t="s">
        <v>5067</v>
      </c>
      <c r="F838" s="1" t="s">
        <v>5070</v>
      </c>
      <c r="G838" s="1" t="s">
        <v>5067</v>
      </c>
      <c r="H838" s="1" t="s">
        <v>5067</v>
      </c>
    </row>
    <row r="839" spans="1:8" x14ac:dyDescent="0.3">
      <c r="A839" s="2">
        <v>21803</v>
      </c>
      <c r="B839" s="1" t="s">
        <v>5071</v>
      </c>
      <c r="C839" s="1" t="s">
        <v>5072</v>
      </c>
      <c r="D839" s="1" t="s">
        <v>5073</v>
      </c>
      <c r="E839" s="1" t="s">
        <v>5074</v>
      </c>
      <c r="F839" s="1" t="s">
        <v>5075</v>
      </c>
      <c r="G839" s="1" t="s">
        <v>5076</v>
      </c>
      <c r="H839" s="1" t="s">
        <v>5077</v>
      </c>
    </row>
    <row r="840" spans="1:8" x14ac:dyDescent="0.3">
      <c r="A840" s="2">
        <v>21804</v>
      </c>
      <c r="B840" s="1" t="s">
        <v>5078</v>
      </c>
      <c r="C840" s="1" t="s">
        <v>5079</v>
      </c>
      <c r="D840" s="1" t="s">
        <v>5080</v>
      </c>
      <c r="E840" s="1" t="s">
        <v>5081</v>
      </c>
      <c r="F840" s="1" t="s">
        <v>5082</v>
      </c>
      <c r="G840" s="1" t="s">
        <v>5083</v>
      </c>
      <c r="H840" s="1" t="s">
        <v>5084</v>
      </c>
    </row>
    <row r="841" spans="1:8" x14ac:dyDescent="0.3">
      <c r="A841" s="2">
        <v>21805</v>
      </c>
      <c r="B841" s="1" t="s">
        <v>5085</v>
      </c>
      <c r="C841" s="1" t="s">
        <v>5086</v>
      </c>
      <c r="D841" s="1" t="s">
        <v>5087</v>
      </c>
      <c r="E841" s="1" t="s">
        <v>5088</v>
      </c>
      <c r="F841" s="1" t="s">
        <v>5089</v>
      </c>
      <c r="G841" s="1" t="s">
        <v>5088</v>
      </c>
      <c r="H841" s="1" t="s">
        <v>5090</v>
      </c>
    </row>
    <row r="842" spans="1:8" x14ac:dyDescent="0.3">
      <c r="A842" s="2">
        <v>21806</v>
      </c>
      <c r="B842" s="1" t="s">
        <v>5091</v>
      </c>
      <c r="C842" s="1" t="s">
        <v>5092</v>
      </c>
      <c r="D842" s="1" t="s">
        <v>5093</v>
      </c>
      <c r="E842" s="1" t="s">
        <v>5094</v>
      </c>
      <c r="F842" s="1" t="s">
        <v>5095</v>
      </c>
      <c r="G842" s="1" t="s">
        <v>5096</v>
      </c>
      <c r="H842" s="1" t="s">
        <v>5097</v>
      </c>
    </row>
    <row r="843" spans="1:8" x14ac:dyDescent="0.3">
      <c r="A843" s="2">
        <v>21807</v>
      </c>
      <c r="B843" s="1" t="s">
        <v>5098</v>
      </c>
      <c r="C843" s="1" t="s">
        <v>5099</v>
      </c>
      <c r="D843" s="1" t="s">
        <v>5100</v>
      </c>
      <c r="E843" s="1" t="s">
        <v>5101</v>
      </c>
      <c r="F843" s="1" t="s">
        <v>5102</v>
      </c>
      <c r="G843" s="1" t="s">
        <v>5103</v>
      </c>
      <c r="H843" s="1" t="s">
        <v>5104</v>
      </c>
    </row>
    <row r="844" spans="1:8" x14ac:dyDescent="0.3">
      <c r="A844" s="2">
        <v>21808</v>
      </c>
      <c r="B844" s="1" t="s">
        <v>5105</v>
      </c>
      <c r="C844" s="1" t="s">
        <v>5106</v>
      </c>
      <c r="D844" s="1" t="s">
        <v>5105</v>
      </c>
      <c r="E844" s="1" t="s">
        <v>5105</v>
      </c>
      <c r="F844" s="1" t="s">
        <v>5107</v>
      </c>
      <c r="G844" s="1" t="s">
        <v>5108</v>
      </c>
      <c r="H844" s="1" t="s">
        <v>5105</v>
      </c>
    </row>
    <row r="845" spans="1:8" x14ac:dyDescent="0.3">
      <c r="A845" s="2" t="s">
        <v>5109</v>
      </c>
      <c r="B845" s="1" t="e">
        <f>-이</f>
        <v>#NAME?</v>
      </c>
      <c r="C845" s="1" t="s">
        <v>5110</v>
      </c>
      <c r="D845" s="1" t="s">
        <v>5111</v>
      </c>
      <c r="E845" s="1" t="s">
        <v>5112</v>
      </c>
      <c r="F845" s="1" t="s">
        <v>5113</v>
      </c>
      <c r="G845" s="1" t="s">
        <v>5114</v>
      </c>
      <c r="H845" s="1" t="s">
        <v>5115</v>
      </c>
    </row>
    <row r="846" spans="1:8" x14ac:dyDescent="0.3">
      <c r="A846" s="2">
        <v>21809</v>
      </c>
      <c r="B846" s="1" t="s">
        <v>5116</v>
      </c>
      <c r="C846" s="1" t="s">
        <v>5117</v>
      </c>
      <c r="D846" s="1" t="s">
        <v>5118</v>
      </c>
      <c r="E846" s="1" t="s">
        <v>5118</v>
      </c>
      <c r="F846" s="1" t="s">
        <v>57</v>
      </c>
      <c r="G846" s="1" t="s">
        <v>5118</v>
      </c>
      <c r="H846" s="1" t="s">
        <v>5118</v>
      </c>
    </row>
    <row r="847" spans="1:8" x14ac:dyDescent="0.3">
      <c r="A847" s="2" t="s">
        <v>5119</v>
      </c>
      <c r="B847" s="1" t="e">
        <f>-이</f>
        <v>#NAME?</v>
      </c>
      <c r="C847" s="1" t="s">
        <v>5120</v>
      </c>
      <c r="D847" s="1" t="s">
        <v>5121</v>
      </c>
      <c r="E847" s="1" t="s">
        <v>5122</v>
      </c>
      <c r="F847" s="1" t="s">
        <v>57</v>
      </c>
      <c r="G847" s="1" t="s">
        <v>5123</v>
      </c>
      <c r="H847" s="1" t="s">
        <v>5124</v>
      </c>
    </row>
    <row r="848" spans="1:8" x14ac:dyDescent="0.3">
      <c r="A848" s="2">
        <v>21810</v>
      </c>
      <c r="B848" s="1" t="s">
        <v>5125</v>
      </c>
      <c r="C848" s="1" t="s">
        <v>5126</v>
      </c>
      <c r="D848" s="1" t="s">
        <v>5127</v>
      </c>
      <c r="G848" s="1" t="s">
        <v>5128</v>
      </c>
      <c r="H848" s="1" t="s">
        <v>5129</v>
      </c>
    </row>
    <row r="849" spans="1:8" x14ac:dyDescent="0.3">
      <c r="A849" s="2">
        <v>21811</v>
      </c>
      <c r="B849" s="1" t="s">
        <v>5130</v>
      </c>
      <c r="C849" s="1" t="s">
        <v>5131</v>
      </c>
      <c r="D849" s="1" t="s">
        <v>5132</v>
      </c>
      <c r="E849" s="1" t="s">
        <v>5133</v>
      </c>
      <c r="F849" s="1" t="s">
        <v>5134</v>
      </c>
      <c r="G849" s="1" t="s">
        <v>5132</v>
      </c>
      <c r="H849" s="1" t="s">
        <v>5135</v>
      </c>
    </row>
    <row r="850" spans="1:8" x14ac:dyDescent="0.3">
      <c r="A850" s="2">
        <v>21812</v>
      </c>
      <c r="B850" s="1" t="s">
        <v>5136</v>
      </c>
      <c r="C850" s="1" t="s">
        <v>5137</v>
      </c>
      <c r="D850" s="1" t="s">
        <v>5138</v>
      </c>
      <c r="E850" s="1" t="s">
        <v>5139</v>
      </c>
      <c r="F850" s="1" t="s">
        <v>5140</v>
      </c>
      <c r="G850" s="1" t="s">
        <v>5141</v>
      </c>
      <c r="H850" s="1" t="s">
        <v>5142</v>
      </c>
    </row>
    <row r="851" spans="1:8" x14ac:dyDescent="0.3">
      <c r="A851" s="2">
        <v>21813</v>
      </c>
      <c r="B851" s="1" t="s">
        <v>5143</v>
      </c>
      <c r="C851" s="1" t="s">
        <v>5144</v>
      </c>
      <c r="D851" s="1" t="s">
        <v>5145</v>
      </c>
      <c r="E851" s="1" t="s">
        <v>5146</v>
      </c>
      <c r="F851" s="1" t="s">
        <v>5147</v>
      </c>
      <c r="G851" s="1" t="s">
        <v>5148</v>
      </c>
      <c r="H851" s="1" t="s">
        <v>5145</v>
      </c>
    </row>
    <row r="852" spans="1:8" x14ac:dyDescent="0.3">
      <c r="A852" s="2">
        <v>21814</v>
      </c>
      <c r="B852" s="1" t="s">
        <v>5149</v>
      </c>
      <c r="C852" s="1" t="s">
        <v>5150</v>
      </c>
      <c r="D852" s="1" t="s">
        <v>5151</v>
      </c>
      <c r="E852" s="1" t="s">
        <v>5152</v>
      </c>
      <c r="F852" s="1" t="s">
        <v>5153</v>
      </c>
      <c r="G852" s="1" t="s">
        <v>5154</v>
      </c>
      <c r="H852" s="1" t="s">
        <v>5155</v>
      </c>
    </row>
    <row r="853" spans="1:8" x14ac:dyDescent="0.3">
      <c r="A853" s="2" t="s">
        <v>5156</v>
      </c>
      <c r="B853" s="1" t="e">
        <f>-이</f>
        <v>#NAME?</v>
      </c>
      <c r="C853" s="1" t="s">
        <v>5157</v>
      </c>
      <c r="E853" s="1" t="s">
        <v>5158</v>
      </c>
      <c r="F853" s="1" t="s">
        <v>5159</v>
      </c>
      <c r="G853" s="1" t="s">
        <v>5160</v>
      </c>
      <c r="H853" s="1" t="s">
        <v>5161</v>
      </c>
    </row>
    <row r="854" spans="1:8" x14ac:dyDescent="0.3">
      <c r="A854" s="2">
        <v>21815</v>
      </c>
      <c r="B854" s="1" t="s">
        <v>5162</v>
      </c>
      <c r="C854" s="1" t="s">
        <v>5163</v>
      </c>
      <c r="D854" s="1" t="s">
        <v>5164</v>
      </c>
      <c r="E854" s="1" t="s">
        <v>57</v>
      </c>
      <c r="F854" s="1" t="s">
        <v>57</v>
      </c>
      <c r="G854" s="1" t="s">
        <v>5165</v>
      </c>
      <c r="H854" s="1" t="s">
        <v>5166</v>
      </c>
    </row>
    <row r="855" spans="1:8" x14ac:dyDescent="0.3">
      <c r="A855" s="2">
        <v>21816</v>
      </c>
      <c r="B855" s="1" t="s">
        <v>5167</v>
      </c>
      <c r="C855" s="1" t="s">
        <v>5168</v>
      </c>
      <c r="D855" s="1" t="s">
        <v>5167</v>
      </c>
      <c r="E855" s="1" t="s">
        <v>5169</v>
      </c>
      <c r="F855" s="1" t="s">
        <v>5170</v>
      </c>
      <c r="G855" s="1" t="s">
        <v>5171</v>
      </c>
      <c r="H855" s="1" t="s">
        <v>5172</v>
      </c>
    </row>
    <row r="856" spans="1:8" x14ac:dyDescent="0.3">
      <c r="A856" s="2">
        <v>21817</v>
      </c>
      <c r="B856" s="1" t="s">
        <v>5173</v>
      </c>
      <c r="C856" s="1" t="s">
        <v>5174</v>
      </c>
      <c r="D856" s="1" t="s">
        <v>5175</v>
      </c>
      <c r="E856" s="1" t="s">
        <v>5176</v>
      </c>
      <c r="F856" s="1" t="s">
        <v>5177</v>
      </c>
      <c r="G856" s="1" t="s">
        <v>5178</v>
      </c>
      <c r="H856" s="1" t="s">
        <v>5179</v>
      </c>
    </row>
    <row r="857" spans="1:8" x14ac:dyDescent="0.3">
      <c r="A857" s="2" t="s">
        <v>5180</v>
      </c>
      <c r="B857" s="1" t="e">
        <f>-을</f>
        <v>#NAME?</v>
      </c>
      <c r="C857" s="1" t="s">
        <v>5181</v>
      </c>
      <c r="D857" s="1" t="s">
        <v>5182</v>
      </c>
      <c r="E857" s="1" t="s">
        <v>5183</v>
      </c>
      <c r="F857" s="1" t="s">
        <v>5184</v>
      </c>
      <c r="G857" s="1" t="s">
        <v>5185</v>
      </c>
      <c r="H857" s="1" t="s">
        <v>5186</v>
      </c>
    </row>
    <row r="858" spans="1:8" x14ac:dyDescent="0.3">
      <c r="A858" s="2">
        <v>21818</v>
      </c>
      <c r="B858" s="1" t="s">
        <v>5187</v>
      </c>
      <c r="C858" s="1" t="s">
        <v>5188</v>
      </c>
      <c r="E858" s="1" t="s">
        <v>5189</v>
      </c>
      <c r="F858" s="1" t="s">
        <v>5190</v>
      </c>
      <c r="G858" s="1" t="s">
        <v>5191</v>
      </c>
      <c r="H858" s="1" t="s">
        <v>5187</v>
      </c>
    </row>
    <row r="859" spans="1:8" x14ac:dyDescent="0.3">
      <c r="A859" s="2" t="s">
        <v>5192</v>
      </c>
      <c r="B859" s="1" t="e">
        <f>-이</f>
        <v>#NAME?</v>
      </c>
      <c r="C859" s="1" t="s">
        <v>5193</v>
      </c>
      <c r="D859" s="1" t="s">
        <v>5194</v>
      </c>
      <c r="E859" s="1" t="s">
        <v>5195</v>
      </c>
      <c r="F859" s="1" t="s">
        <v>5196</v>
      </c>
      <c r="G859" s="1" t="s">
        <v>5197</v>
      </c>
      <c r="H859" s="1" t="s">
        <v>5195</v>
      </c>
    </row>
    <row r="860" spans="1:8" x14ac:dyDescent="0.3">
      <c r="A860" s="2">
        <v>21819</v>
      </c>
      <c r="B860" s="1" t="s">
        <v>5198</v>
      </c>
      <c r="C860" s="1" t="s">
        <v>5199</v>
      </c>
      <c r="D860" s="1" t="s">
        <v>5200</v>
      </c>
      <c r="E860" s="1" t="s">
        <v>5201</v>
      </c>
      <c r="F860" s="1" t="s">
        <v>5202</v>
      </c>
      <c r="G860" s="1" t="s">
        <v>5203</v>
      </c>
      <c r="H860" s="1" t="s">
        <v>5204</v>
      </c>
    </row>
    <row r="861" spans="1:8" x14ac:dyDescent="0.3">
      <c r="A861" s="2">
        <v>21820</v>
      </c>
      <c r="B861" s="1" t="s">
        <v>5205</v>
      </c>
      <c r="C861" s="1" t="s">
        <v>5206</v>
      </c>
      <c r="D861" s="1" t="s">
        <v>5207</v>
      </c>
      <c r="E861" s="1" t="s">
        <v>5208</v>
      </c>
      <c r="F861" s="1" t="s">
        <v>5209</v>
      </c>
      <c r="G861" s="1" t="s">
        <v>5210</v>
      </c>
      <c r="H861" s="1" t="s">
        <v>5210</v>
      </c>
    </row>
    <row r="862" spans="1:8" x14ac:dyDescent="0.3">
      <c r="A862" s="2">
        <v>21821</v>
      </c>
      <c r="B862" s="1" t="s">
        <v>5211</v>
      </c>
      <c r="C862" s="1" t="s">
        <v>5212</v>
      </c>
      <c r="E862" s="1" t="s">
        <v>5213</v>
      </c>
      <c r="F862" s="1" t="s">
        <v>5214</v>
      </c>
      <c r="G862" s="1" t="s">
        <v>5215</v>
      </c>
      <c r="H862" s="1" t="s">
        <v>5216</v>
      </c>
    </row>
    <row r="863" spans="1:8" x14ac:dyDescent="0.3">
      <c r="A863" s="2" t="s">
        <v>5217</v>
      </c>
      <c r="B863" s="1" t="e">
        <f>-을</f>
        <v>#NAME?</v>
      </c>
      <c r="C863" s="1" t="s">
        <v>5218</v>
      </c>
      <c r="E863" s="1" t="s">
        <v>5219</v>
      </c>
      <c r="F863" s="1" t="s">
        <v>57</v>
      </c>
      <c r="G863" s="1" t="s">
        <v>5220</v>
      </c>
      <c r="H863" s="1" t="s">
        <v>5221</v>
      </c>
    </row>
    <row r="864" spans="1:8" x14ac:dyDescent="0.3">
      <c r="A864" s="2" t="s">
        <v>5222</v>
      </c>
      <c r="B864" s="1" t="e">
        <f>-에서</f>
        <v>#NAME?</v>
      </c>
      <c r="D864" s="1" t="s">
        <v>5223</v>
      </c>
      <c r="E864" s="1" t="s">
        <v>5224</v>
      </c>
      <c r="F864" s="1" t="s">
        <v>5225</v>
      </c>
      <c r="G864" s="1" t="s">
        <v>5226</v>
      </c>
      <c r="H864" s="1" t="s">
        <v>5227</v>
      </c>
    </row>
    <row r="865" spans="1:8" x14ac:dyDescent="0.3">
      <c r="A865" s="2">
        <v>21822</v>
      </c>
      <c r="B865" s="1" t="s">
        <v>5228</v>
      </c>
      <c r="C865" s="1" t="s">
        <v>5229</v>
      </c>
      <c r="D865" s="1" t="s">
        <v>5230</v>
      </c>
      <c r="E865" s="1" t="s">
        <v>5231</v>
      </c>
      <c r="F865" s="1" t="s">
        <v>5232</v>
      </c>
      <c r="G865" s="1" t="s">
        <v>5233</v>
      </c>
      <c r="H865" s="1" t="s">
        <v>5234</v>
      </c>
    </row>
    <row r="866" spans="1:8" x14ac:dyDescent="0.3">
      <c r="A866" s="2">
        <v>21823</v>
      </c>
      <c r="B866" s="1" t="s">
        <v>5235</v>
      </c>
      <c r="C866" s="1" t="s">
        <v>5236</v>
      </c>
      <c r="D866" s="1" t="s">
        <v>5237</v>
      </c>
      <c r="E866" s="1" t="s">
        <v>5238</v>
      </c>
      <c r="F866" s="1" t="s">
        <v>5239</v>
      </c>
      <c r="G866" s="1" t="s">
        <v>5240</v>
      </c>
      <c r="H866" s="1" t="s">
        <v>5241</v>
      </c>
    </row>
    <row r="867" spans="1:8" x14ac:dyDescent="0.3">
      <c r="A867" s="2" t="s">
        <v>5242</v>
      </c>
      <c r="B867" s="1" t="e">
        <f>-에</f>
        <v>#NAME?</v>
      </c>
      <c r="C867" s="1" t="s">
        <v>5243</v>
      </c>
      <c r="D867" s="1" t="s">
        <v>5244</v>
      </c>
      <c r="E867" s="1" t="s">
        <v>5245</v>
      </c>
      <c r="F867" s="1" t="s">
        <v>5246</v>
      </c>
      <c r="G867" s="1" t="s">
        <v>5247</v>
      </c>
      <c r="H867" s="1" t="s">
        <v>5248</v>
      </c>
    </row>
    <row r="868" spans="1:8" x14ac:dyDescent="0.3">
      <c r="A868" s="2">
        <v>21824</v>
      </c>
      <c r="B868" s="1" t="s">
        <v>5249</v>
      </c>
      <c r="C868" s="1" t="s">
        <v>5250</v>
      </c>
      <c r="D868" s="1" t="s">
        <v>5251</v>
      </c>
      <c r="E868" s="1" t="s">
        <v>5252</v>
      </c>
      <c r="F868" s="1" t="s">
        <v>5253</v>
      </c>
      <c r="G868" s="1" t="s">
        <v>5254</v>
      </c>
      <c r="H868" s="1" t="s">
        <v>5255</v>
      </c>
    </row>
    <row r="869" spans="1:8" x14ac:dyDescent="0.3">
      <c r="A869" s="2">
        <v>21825</v>
      </c>
      <c r="B869" s="1" t="s">
        <v>5256</v>
      </c>
      <c r="C869" s="1" t="s">
        <v>5257</v>
      </c>
      <c r="D869" s="1" t="s">
        <v>5256</v>
      </c>
      <c r="E869" s="1" t="s">
        <v>5256</v>
      </c>
      <c r="F869" s="1" t="s">
        <v>5258</v>
      </c>
      <c r="G869" s="1" t="s">
        <v>5256</v>
      </c>
      <c r="H869" s="1" t="s">
        <v>5256</v>
      </c>
    </row>
    <row r="870" spans="1:8" x14ac:dyDescent="0.3">
      <c r="A870" s="2">
        <v>21826</v>
      </c>
      <c r="B870" s="1" t="s">
        <v>5259</v>
      </c>
      <c r="C870" s="1" t="s">
        <v>5260</v>
      </c>
      <c r="D870" s="1" t="s">
        <v>5261</v>
      </c>
      <c r="E870" s="1" t="s">
        <v>5261</v>
      </c>
      <c r="F870" s="1" t="s">
        <v>5262</v>
      </c>
      <c r="G870" s="1" t="s">
        <v>5261</v>
      </c>
      <c r="H870" s="1" t="s">
        <v>5261</v>
      </c>
    </row>
    <row r="871" spans="1:8" x14ac:dyDescent="0.3">
      <c r="A871" s="2">
        <v>21827</v>
      </c>
      <c r="B871" s="1" t="s">
        <v>5263</v>
      </c>
      <c r="C871" s="1" t="s">
        <v>5264</v>
      </c>
      <c r="D871" s="1" t="s">
        <v>5265</v>
      </c>
      <c r="E871" s="1" t="s">
        <v>5266</v>
      </c>
      <c r="F871" s="1" t="s">
        <v>5267</v>
      </c>
      <c r="G871" s="1" t="s">
        <v>5268</v>
      </c>
      <c r="H871" s="1" t="s">
        <v>5269</v>
      </c>
    </row>
    <row r="872" spans="1:8" x14ac:dyDescent="0.3">
      <c r="A872" s="2">
        <v>21828</v>
      </c>
      <c r="B872" s="1" t="s">
        <v>5270</v>
      </c>
      <c r="C872" s="1" t="s">
        <v>5271</v>
      </c>
      <c r="D872" s="1" t="s">
        <v>5272</v>
      </c>
      <c r="E872" s="1" t="s">
        <v>5273</v>
      </c>
      <c r="F872" s="1" t="s">
        <v>5274</v>
      </c>
      <c r="G872" s="1" t="s">
        <v>5275</v>
      </c>
      <c r="H872" s="1" t="s">
        <v>5276</v>
      </c>
    </row>
    <row r="873" spans="1:8" x14ac:dyDescent="0.3">
      <c r="A873" s="2">
        <v>21829</v>
      </c>
      <c r="B873" s="1" t="s">
        <v>5277</v>
      </c>
      <c r="C873" s="1" t="s">
        <v>5278</v>
      </c>
      <c r="D873" s="1" t="s">
        <v>5279</v>
      </c>
      <c r="E873" s="1" t="s">
        <v>5280</v>
      </c>
      <c r="F873" s="1" t="s">
        <v>5281</v>
      </c>
      <c r="G873" s="1" t="s">
        <v>5282</v>
      </c>
      <c r="H873" s="1" t="s">
        <v>5283</v>
      </c>
    </row>
    <row r="874" spans="1:8" x14ac:dyDescent="0.3">
      <c r="A874" s="2">
        <v>21830</v>
      </c>
      <c r="B874" s="1" t="s">
        <v>5284</v>
      </c>
      <c r="C874" s="1" t="s">
        <v>5285</v>
      </c>
      <c r="E874" s="1" t="s">
        <v>5286</v>
      </c>
      <c r="F874" s="1" t="s">
        <v>5287</v>
      </c>
      <c r="G874" s="1" t="s">
        <v>5288</v>
      </c>
      <c r="H874" s="1" t="s">
        <v>5289</v>
      </c>
    </row>
    <row r="875" spans="1:8" x14ac:dyDescent="0.3">
      <c r="A875" s="2">
        <v>21831</v>
      </c>
      <c r="B875" s="1" t="s">
        <v>5290</v>
      </c>
      <c r="C875" s="1" t="s">
        <v>5291</v>
      </c>
      <c r="D875" s="1" t="s">
        <v>5292</v>
      </c>
      <c r="E875" s="1" t="s">
        <v>5293</v>
      </c>
      <c r="F875" s="1" t="s">
        <v>5294</v>
      </c>
      <c r="G875" s="1" t="s">
        <v>5295</v>
      </c>
      <c r="H875" s="1" t="s">
        <v>5296</v>
      </c>
    </row>
    <row r="876" spans="1:8" x14ac:dyDescent="0.3">
      <c r="A876" s="2">
        <v>21832</v>
      </c>
      <c r="B876" s="1" t="s">
        <v>5297</v>
      </c>
      <c r="C876" s="1" t="s">
        <v>5298</v>
      </c>
      <c r="D876" s="1" t="s">
        <v>5299</v>
      </c>
      <c r="E876" s="1" t="s">
        <v>5300</v>
      </c>
      <c r="F876" s="1" t="s">
        <v>5301</v>
      </c>
      <c r="G876" s="1" t="s">
        <v>5302</v>
      </c>
      <c r="H876" s="1" t="s">
        <v>5303</v>
      </c>
    </row>
    <row r="877" spans="1:8" x14ac:dyDescent="0.3">
      <c r="A877" s="2">
        <v>21833</v>
      </c>
      <c r="B877" s="1" t="s">
        <v>5304</v>
      </c>
      <c r="C877" s="1" t="s">
        <v>5305</v>
      </c>
      <c r="D877" s="1" t="s">
        <v>5306</v>
      </c>
      <c r="E877" s="1" t="s">
        <v>5307</v>
      </c>
      <c r="F877" s="1" t="s">
        <v>5308</v>
      </c>
      <c r="G877" s="1" t="s">
        <v>5309</v>
      </c>
      <c r="H877" s="1" t="s">
        <v>5310</v>
      </c>
    </row>
    <row r="878" spans="1:8" x14ac:dyDescent="0.3">
      <c r="A878" s="2">
        <v>21834</v>
      </c>
      <c r="B878" s="1" t="s">
        <v>5311</v>
      </c>
      <c r="C878" s="1" t="s">
        <v>5312</v>
      </c>
      <c r="D878" s="1" t="s">
        <v>5313</v>
      </c>
      <c r="E878" s="1" t="s">
        <v>5314</v>
      </c>
      <c r="F878" s="1" t="s">
        <v>5315</v>
      </c>
      <c r="G878" s="1" t="s">
        <v>5313</v>
      </c>
      <c r="H878" s="1" t="s">
        <v>5316</v>
      </c>
    </row>
    <row r="879" spans="1:8" x14ac:dyDescent="0.3">
      <c r="A879" s="2">
        <v>21835</v>
      </c>
      <c r="B879" s="1" t="s">
        <v>5317</v>
      </c>
      <c r="C879" s="1" t="s">
        <v>5318</v>
      </c>
      <c r="D879" s="1" t="s">
        <v>5319</v>
      </c>
      <c r="E879" s="1" t="s">
        <v>5320</v>
      </c>
      <c r="F879" s="1" t="s">
        <v>5319</v>
      </c>
      <c r="G879" s="1" t="s">
        <v>5317</v>
      </c>
      <c r="H879" s="1" t="s">
        <v>5319</v>
      </c>
    </row>
    <row r="880" spans="1:8" x14ac:dyDescent="0.3">
      <c r="A880" s="2" t="s">
        <v>5321</v>
      </c>
      <c r="B880" s="1" t="s">
        <v>5322</v>
      </c>
      <c r="C880" s="1" t="s">
        <v>5323</v>
      </c>
      <c r="D880" s="1" t="s">
        <v>5324</v>
      </c>
      <c r="E880" s="1" t="s">
        <v>5319</v>
      </c>
      <c r="F880" s="1" t="s">
        <v>5319</v>
      </c>
      <c r="G880" s="1" t="s">
        <v>5325</v>
      </c>
      <c r="H880" s="1" t="s">
        <v>5326</v>
      </c>
    </row>
    <row r="881" spans="1:8" x14ac:dyDescent="0.3">
      <c r="A881" s="2">
        <v>21836</v>
      </c>
      <c r="B881" s="1" t="s">
        <v>5327</v>
      </c>
      <c r="C881" s="1" t="s">
        <v>5328</v>
      </c>
      <c r="D881" s="1" t="s">
        <v>5329</v>
      </c>
      <c r="E881" s="1" t="s">
        <v>5330</v>
      </c>
      <c r="F881" s="1" t="s">
        <v>5331</v>
      </c>
      <c r="G881" s="1" t="s">
        <v>5332</v>
      </c>
      <c r="H881" s="1" t="s">
        <v>5333</v>
      </c>
    </row>
    <row r="882" spans="1:8" x14ac:dyDescent="0.3">
      <c r="A882" s="2">
        <v>21837</v>
      </c>
      <c r="B882" s="1" t="s">
        <v>5334</v>
      </c>
      <c r="C882" s="1" t="s">
        <v>5335</v>
      </c>
      <c r="D882" s="1" t="s">
        <v>5336</v>
      </c>
      <c r="E882" s="1" t="s">
        <v>5337</v>
      </c>
      <c r="F882" s="1" t="s">
        <v>5338</v>
      </c>
      <c r="G882" s="1" t="s">
        <v>5336</v>
      </c>
      <c r="H882" s="1" t="s">
        <v>5339</v>
      </c>
    </row>
    <row r="883" spans="1:8" x14ac:dyDescent="0.3">
      <c r="A883" s="2">
        <v>21838</v>
      </c>
      <c r="B883" s="1" t="s">
        <v>5340</v>
      </c>
      <c r="C883" s="1" t="s">
        <v>5341</v>
      </c>
      <c r="D883" s="1" t="s">
        <v>5342</v>
      </c>
      <c r="E883" s="1" t="s">
        <v>5343</v>
      </c>
      <c r="F883" s="1" t="s">
        <v>5344</v>
      </c>
      <c r="G883" s="1" t="s">
        <v>5345</v>
      </c>
      <c r="H883" s="1" t="s">
        <v>5346</v>
      </c>
    </row>
    <row r="884" spans="1:8" x14ac:dyDescent="0.3">
      <c r="A884" s="2">
        <v>21839</v>
      </c>
      <c r="B884" s="1" t="s">
        <v>5347</v>
      </c>
      <c r="C884" s="1" t="s">
        <v>5348</v>
      </c>
      <c r="D884" s="1" t="s">
        <v>5349</v>
      </c>
      <c r="E884" s="1" t="s">
        <v>5350</v>
      </c>
      <c r="F884" s="1" t="s">
        <v>5351</v>
      </c>
      <c r="G884" s="1" t="s">
        <v>5352</v>
      </c>
      <c r="H884" s="1" t="s">
        <v>5353</v>
      </c>
    </row>
    <row r="885" spans="1:8" x14ac:dyDescent="0.3">
      <c r="A885" s="2">
        <v>21840</v>
      </c>
      <c r="B885" s="1" t="s">
        <v>5329</v>
      </c>
      <c r="C885" s="1" t="s">
        <v>5354</v>
      </c>
      <c r="D885" s="1" t="s">
        <v>5355</v>
      </c>
      <c r="E885" s="1" t="s">
        <v>5356</v>
      </c>
      <c r="F885" s="1" t="s">
        <v>5357</v>
      </c>
      <c r="G885" s="1" t="s">
        <v>5358</v>
      </c>
      <c r="H885" s="1" t="s">
        <v>5359</v>
      </c>
    </row>
    <row r="886" spans="1:8" x14ac:dyDescent="0.3">
      <c r="A886" s="2">
        <v>21841</v>
      </c>
      <c r="B886" s="1" t="s">
        <v>5360</v>
      </c>
      <c r="C886" s="1" t="s">
        <v>57</v>
      </c>
      <c r="E886" s="1" t="s">
        <v>5361</v>
      </c>
      <c r="F886" s="1" t="s">
        <v>5362</v>
      </c>
      <c r="G886" s="1" t="s">
        <v>5363</v>
      </c>
      <c r="H886" s="1" t="s">
        <v>5364</v>
      </c>
    </row>
    <row r="887" spans="1:8" x14ac:dyDescent="0.3">
      <c r="A887" s="2" t="s">
        <v>5365</v>
      </c>
      <c r="B887" s="1" t="e">
        <f>-에</f>
        <v>#NAME?</v>
      </c>
      <c r="C887" s="1" t="s">
        <v>57</v>
      </c>
      <c r="E887" s="1" t="s">
        <v>5366</v>
      </c>
      <c r="F887" s="1" t="s">
        <v>57</v>
      </c>
      <c r="G887" s="1" t="s">
        <v>5367</v>
      </c>
      <c r="H887" s="1" t="s">
        <v>5364</v>
      </c>
    </row>
    <row r="888" spans="1:8" x14ac:dyDescent="0.3">
      <c r="A888" s="2">
        <v>21842</v>
      </c>
      <c r="B888" s="1" t="s">
        <v>5368</v>
      </c>
      <c r="C888" s="1" t="s">
        <v>5369</v>
      </c>
      <c r="E888" s="1" t="s">
        <v>5370</v>
      </c>
      <c r="F888" s="1" t="s">
        <v>57</v>
      </c>
      <c r="G888" s="1" t="s">
        <v>57</v>
      </c>
      <c r="H888" s="1" t="s">
        <v>57</v>
      </c>
    </row>
    <row r="889" spans="1:8" x14ac:dyDescent="0.3">
      <c r="A889" s="2">
        <v>21843</v>
      </c>
      <c r="B889" s="1" t="s">
        <v>5371</v>
      </c>
      <c r="C889" s="1" t="s">
        <v>5372</v>
      </c>
      <c r="E889" s="1" t="s">
        <v>5373</v>
      </c>
      <c r="F889" s="1" t="s">
        <v>5374</v>
      </c>
      <c r="G889" s="1" t="s">
        <v>5375</v>
      </c>
      <c r="H889" s="1" t="s">
        <v>5376</v>
      </c>
    </row>
    <row r="890" spans="1:8" x14ac:dyDescent="0.3">
      <c r="A890" s="2">
        <v>21844</v>
      </c>
      <c r="B890" s="1" t="s">
        <v>5377</v>
      </c>
      <c r="C890" s="1" t="s">
        <v>5378</v>
      </c>
      <c r="E890" s="1" t="s">
        <v>5379</v>
      </c>
      <c r="F890" s="1" t="s">
        <v>5377</v>
      </c>
      <c r="G890" s="1" t="s">
        <v>5380</v>
      </c>
      <c r="H890" s="1" t="s">
        <v>5381</v>
      </c>
    </row>
    <row r="891" spans="1:8" x14ac:dyDescent="0.3">
      <c r="A891" s="2">
        <v>21845</v>
      </c>
      <c r="B891" s="1" t="s">
        <v>5382</v>
      </c>
      <c r="C891" s="1" t="s">
        <v>5383</v>
      </c>
      <c r="E891" s="1" t="s">
        <v>5384</v>
      </c>
      <c r="F891" s="1" t="s">
        <v>5385</v>
      </c>
      <c r="G891" s="1" t="s">
        <v>5386</v>
      </c>
      <c r="H891" s="1" t="s">
        <v>5387</v>
      </c>
    </row>
    <row r="892" spans="1:8" x14ac:dyDescent="0.3">
      <c r="A892" s="2">
        <v>21846</v>
      </c>
      <c r="B892" s="1" t="s">
        <v>5388</v>
      </c>
      <c r="C892" s="1" t="s">
        <v>5168</v>
      </c>
      <c r="E892" s="1" t="s">
        <v>5389</v>
      </c>
      <c r="F892" s="1" t="s">
        <v>5390</v>
      </c>
      <c r="G892" s="1" t="s">
        <v>5391</v>
      </c>
      <c r="H892" s="1" t="s">
        <v>5392</v>
      </c>
    </row>
    <row r="893" spans="1:8" x14ac:dyDescent="0.3">
      <c r="A893" s="2">
        <v>21847</v>
      </c>
      <c r="B893" s="1" t="s">
        <v>5393</v>
      </c>
      <c r="C893" s="1" t="s">
        <v>5394</v>
      </c>
      <c r="E893" s="1" t="s">
        <v>5395</v>
      </c>
      <c r="F893" s="1" t="s">
        <v>5396</v>
      </c>
      <c r="G893" s="1" t="s">
        <v>5397</v>
      </c>
      <c r="H893" s="1" t="s">
        <v>5398</v>
      </c>
    </row>
    <row r="894" spans="1:8" x14ac:dyDescent="0.3">
      <c r="A894" s="2" t="s">
        <v>5399</v>
      </c>
      <c r="B894" s="1" t="s">
        <v>5400</v>
      </c>
      <c r="C894" s="1" t="s">
        <v>5401</v>
      </c>
      <c r="D894" s="1" t="s">
        <v>5402</v>
      </c>
      <c r="E894" s="1" t="s">
        <v>5403</v>
      </c>
      <c r="F894" s="1" t="s">
        <v>5404</v>
      </c>
      <c r="G894" s="1" t="s">
        <v>5405</v>
      </c>
      <c r="H894" s="1" t="s">
        <v>5406</v>
      </c>
    </row>
    <row r="895" spans="1:8" x14ac:dyDescent="0.3">
      <c r="A895" s="2">
        <v>21848</v>
      </c>
      <c r="B895" s="1" t="s">
        <v>5407</v>
      </c>
      <c r="C895" s="1" t="s">
        <v>5408</v>
      </c>
      <c r="E895" s="1" t="s">
        <v>5409</v>
      </c>
      <c r="F895" s="1" t="s">
        <v>5410</v>
      </c>
      <c r="G895" s="1" t="s">
        <v>5411</v>
      </c>
      <c r="H895" s="1" t="s">
        <v>5412</v>
      </c>
    </row>
    <row r="896" spans="1:8" x14ac:dyDescent="0.3">
      <c r="A896" s="2">
        <v>21849</v>
      </c>
      <c r="B896" s="1" t="s">
        <v>5413</v>
      </c>
      <c r="C896" s="1" t="s">
        <v>5414</v>
      </c>
      <c r="E896" s="1" t="s">
        <v>5415</v>
      </c>
      <c r="F896" s="1" t="s">
        <v>57</v>
      </c>
      <c r="G896" s="1" t="s">
        <v>57</v>
      </c>
      <c r="H896" s="1" t="s">
        <v>5416</v>
      </c>
    </row>
    <row r="897" spans="1:8" x14ac:dyDescent="0.3">
      <c r="A897" s="2">
        <v>21850</v>
      </c>
      <c r="B897" s="1" t="s">
        <v>5417</v>
      </c>
      <c r="C897" s="1" t="s">
        <v>5418</v>
      </c>
      <c r="E897" s="1" t="s">
        <v>5419</v>
      </c>
      <c r="F897" s="1" t="s">
        <v>5420</v>
      </c>
      <c r="G897" s="1" t="s">
        <v>5421</v>
      </c>
      <c r="H897" s="1" t="s">
        <v>5422</v>
      </c>
    </row>
    <row r="898" spans="1:8" x14ac:dyDescent="0.3">
      <c r="A898" s="2">
        <v>21851</v>
      </c>
      <c r="B898" s="1" t="s">
        <v>5423</v>
      </c>
      <c r="C898" s="1" t="s">
        <v>5029</v>
      </c>
      <c r="E898" s="1" t="s">
        <v>5424</v>
      </c>
      <c r="F898" s="1" t="s">
        <v>5425</v>
      </c>
      <c r="G898" s="1" t="s">
        <v>5426</v>
      </c>
      <c r="H898" s="1" t="s">
        <v>5425</v>
      </c>
    </row>
    <row r="899" spans="1:8" x14ac:dyDescent="0.3">
      <c r="A899" s="2">
        <v>21852</v>
      </c>
      <c r="B899" s="1" t="s">
        <v>5427</v>
      </c>
      <c r="C899" s="1" t="s">
        <v>5428</v>
      </c>
      <c r="E899" s="1" t="s">
        <v>5429</v>
      </c>
      <c r="F899" s="1" t="s">
        <v>5430</v>
      </c>
      <c r="G899" s="1" t="s">
        <v>5431</v>
      </c>
      <c r="H899" s="1" t="s">
        <v>5432</v>
      </c>
    </row>
    <row r="900" spans="1:8" x14ac:dyDescent="0.3">
      <c r="A900" s="2">
        <v>21853</v>
      </c>
      <c r="B900" s="1" t="s">
        <v>5433</v>
      </c>
      <c r="C900" s="1" t="s">
        <v>5434</v>
      </c>
      <c r="E900" s="1" t="s">
        <v>5435</v>
      </c>
      <c r="F900" s="1" t="s">
        <v>5436</v>
      </c>
      <c r="G900" s="1" t="s">
        <v>5437</v>
      </c>
      <c r="H900" s="1" t="s">
        <v>5438</v>
      </c>
    </row>
    <row r="901" spans="1:8" x14ac:dyDescent="0.3">
      <c r="A901" s="2">
        <v>21854</v>
      </c>
      <c r="B901" s="1" t="s">
        <v>5439</v>
      </c>
      <c r="C901" s="1" t="s">
        <v>5440</v>
      </c>
      <c r="E901" s="1" t="s">
        <v>5441</v>
      </c>
      <c r="F901" s="1" t="s">
        <v>5439</v>
      </c>
      <c r="G901" s="1" t="s">
        <v>5442</v>
      </c>
      <c r="H901" s="1" t="s">
        <v>5441</v>
      </c>
    </row>
    <row r="902" spans="1:8" x14ac:dyDescent="0.3">
      <c r="A902" s="2">
        <v>21855</v>
      </c>
      <c r="B902" s="1" t="s">
        <v>5443</v>
      </c>
      <c r="C902" s="1" t="s">
        <v>5444</v>
      </c>
      <c r="E902" s="1" t="s">
        <v>5445</v>
      </c>
      <c r="F902" s="1" t="s">
        <v>5446</v>
      </c>
      <c r="G902" s="1" t="s">
        <v>5447</v>
      </c>
      <c r="H902" s="1" t="s">
        <v>5443</v>
      </c>
    </row>
    <row r="903" spans="1:8" x14ac:dyDescent="0.3">
      <c r="A903" s="2">
        <v>21856</v>
      </c>
      <c r="B903" s="1" t="s">
        <v>5448</v>
      </c>
      <c r="C903" s="1" t="s">
        <v>5449</v>
      </c>
      <c r="E903" s="1" t="s">
        <v>5450</v>
      </c>
      <c r="F903" s="1" t="s">
        <v>5451</v>
      </c>
      <c r="G903" s="1" t="s">
        <v>5452</v>
      </c>
      <c r="H903" s="1" t="s">
        <v>5453</v>
      </c>
    </row>
    <row r="904" spans="1:8" x14ac:dyDescent="0.3">
      <c r="A904" s="2" t="s">
        <v>5454</v>
      </c>
      <c r="B904" s="1" t="s">
        <v>5455</v>
      </c>
      <c r="C904" s="1" t="s">
        <v>5456</v>
      </c>
      <c r="E904" s="1" t="s">
        <v>5457</v>
      </c>
      <c r="F904" s="1" t="s">
        <v>5458</v>
      </c>
      <c r="G904" s="1" t="s">
        <v>5459</v>
      </c>
      <c r="H904" s="1" t="s">
        <v>5460</v>
      </c>
    </row>
    <row r="905" spans="1:8" x14ac:dyDescent="0.3">
      <c r="A905" s="2">
        <v>21857</v>
      </c>
      <c r="B905" s="1" t="s">
        <v>5461</v>
      </c>
      <c r="C905" s="1" t="s">
        <v>5462</v>
      </c>
      <c r="E905" s="1" t="s">
        <v>5463</v>
      </c>
      <c r="F905" s="1" t="s">
        <v>5464</v>
      </c>
      <c r="G905" s="1" t="s">
        <v>5465</v>
      </c>
      <c r="H905" s="1" t="s">
        <v>5466</v>
      </c>
    </row>
    <row r="906" spans="1:8" x14ac:dyDescent="0.3">
      <c r="A906" s="2" t="s">
        <v>5467</v>
      </c>
      <c r="B906" s="1" t="s">
        <v>5468</v>
      </c>
      <c r="C906" s="1" t="s">
        <v>5469</v>
      </c>
      <c r="E906" s="1" t="s">
        <v>5470</v>
      </c>
      <c r="F906" s="1" t="s">
        <v>5471</v>
      </c>
      <c r="G906" s="1" t="s">
        <v>5472</v>
      </c>
      <c r="H906" s="1" t="s">
        <v>5473</v>
      </c>
    </row>
    <row r="907" spans="1:8" x14ac:dyDescent="0.3">
      <c r="A907" s="2" t="s">
        <v>5474</v>
      </c>
      <c r="B907" s="1" t="s">
        <v>5475</v>
      </c>
      <c r="C907" s="1" t="s">
        <v>5476</v>
      </c>
      <c r="E907" s="1" t="s">
        <v>5477</v>
      </c>
      <c r="F907" s="1" t="s">
        <v>5478</v>
      </c>
      <c r="G907" s="1" t="s">
        <v>5479</v>
      </c>
      <c r="H907" s="1" t="s">
        <v>5480</v>
      </c>
    </row>
    <row r="908" spans="1:8" x14ac:dyDescent="0.3">
      <c r="A908" s="2" t="s">
        <v>5481</v>
      </c>
      <c r="B908" s="1" t="s">
        <v>5482</v>
      </c>
      <c r="E908" s="1" t="s">
        <v>5483</v>
      </c>
      <c r="F908" s="1" t="s">
        <v>57</v>
      </c>
      <c r="H908" s="1" t="s">
        <v>5484</v>
      </c>
    </row>
    <row r="909" spans="1:8" x14ac:dyDescent="0.3">
      <c r="A909" s="2" t="s">
        <v>5485</v>
      </c>
      <c r="B909" s="1" t="s">
        <v>5486</v>
      </c>
      <c r="C909" s="1" t="s">
        <v>5487</v>
      </c>
      <c r="D909" s="1" t="s">
        <v>5488</v>
      </c>
      <c r="E909" s="1" t="s">
        <v>4494</v>
      </c>
      <c r="F909" s="1" t="s">
        <v>5489</v>
      </c>
      <c r="G909" s="1" t="s">
        <v>5490</v>
      </c>
      <c r="H909" s="1" t="s">
        <v>5491</v>
      </c>
    </row>
    <row r="910" spans="1:8" x14ac:dyDescent="0.3">
      <c r="A910" s="2">
        <v>21858</v>
      </c>
      <c r="B910" s="1" t="s">
        <v>5492</v>
      </c>
      <c r="C910" s="1" t="s">
        <v>5493</v>
      </c>
      <c r="D910" s="1" t="s">
        <v>5494</v>
      </c>
      <c r="E910" s="1" t="s">
        <v>5492</v>
      </c>
      <c r="F910" s="1" t="s">
        <v>5495</v>
      </c>
      <c r="G910" s="1" t="s">
        <v>5496</v>
      </c>
      <c r="H910" s="1" t="s">
        <v>5497</v>
      </c>
    </row>
    <row r="911" spans="1:8" x14ac:dyDescent="0.3">
      <c r="A911" s="2">
        <v>21859</v>
      </c>
      <c r="B911" s="1" t="s">
        <v>5498</v>
      </c>
      <c r="C911" s="1" t="s">
        <v>5499</v>
      </c>
      <c r="E911" s="1" t="s">
        <v>5500</v>
      </c>
      <c r="F911" s="1" t="s">
        <v>5501</v>
      </c>
      <c r="G911" s="1" t="s">
        <v>5502</v>
      </c>
      <c r="H911" s="1" t="s">
        <v>5503</v>
      </c>
    </row>
    <row r="912" spans="1:8" x14ac:dyDescent="0.3">
      <c r="A912" s="2">
        <v>21860</v>
      </c>
      <c r="B912" s="1" t="s">
        <v>5504</v>
      </c>
      <c r="C912" s="1" t="s">
        <v>5505</v>
      </c>
      <c r="E912" s="1" t="s">
        <v>5506</v>
      </c>
      <c r="F912" s="1" t="s">
        <v>5507</v>
      </c>
      <c r="G912" s="1" t="s">
        <v>5504</v>
      </c>
      <c r="H912" s="1" t="s">
        <v>5508</v>
      </c>
    </row>
    <row r="913" spans="1:8" x14ac:dyDescent="0.3">
      <c r="A913" s="2">
        <v>21861</v>
      </c>
      <c r="B913" s="1" t="s">
        <v>5509</v>
      </c>
      <c r="C913" s="1" t="s">
        <v>5510</v>
      </c>
      <c r="E913" s="1" t="s">
        <v>5511</v>
      </c>
      <c r="F913" s="1" t="s">
        <v>5512</v>
      </c>
      <c r="G913" s="1" t="s">
        <v>5513</v>
      </c>
      <c r="H913" s="1" t="s">
        <v>5514</v>
      </c>
    </row>
    <row r="914" spans="1:8" x14ac:dyDescent="0.3">
      <c r="A914" s="2">
        <v>21901</v>
      </c>
      <c r="B914" s="1" t="s">
        <v>5515</v>
      </c>
      <c r="C914" s="1" t="s">
        <v>5516</v>
      </c>
      <c r="E914" s="1" t="s">
        <v>5515</v>
      </c>
      <c r="F914" s="1" t="s">
        <v>5517</v>
      </c>
      <c r="G914" s="1" t="s">
        <v>5518</v>
      </c>
      <c r="H914" s="1" t="s">
        <v>5515</v>
      </c>
    </row>
    <row r="915" spans="1:8" x14ac:dyDescent="0.3">
      <c r="A915" s="2">
        <v>21902</v>
      </c>
      <c r="B915" s="1" t="s">
        <v>5519</v>
      </c>
      <c r="C915" s="1" t="s">
        <v>5520</v>
      </c>
      <c r="E915" s="1" t="s">
        <v>5521</v>
      </c>
      <c r="F915" s="1" t="s">
        <v>5522</v>
      </c>
      <c r="G915" s="1" t="s">
        <v>5523</v>
      </c>
      <c r="H915" s="1" t="s">
        <v>5524</v>
      </c>
    </row>
    <row r="916" spans="1:8" x14ac:dyDescent="0.3">
      <c r="A916" s="2">
        <v>21903</v>
      </c>
      <c r="B916" s="1" t="s">
        <v>5525</v>
      </c>
      <c r="C916" s="1" t="s">
        <v>5526</v>
      </c>
      <c r="E916" s="1" t="s">
        <v>5527</v>
      </c>
      <c r="F916" s="1" t="s">
        <v>5528</v>
      </c>
      <c r="G916" s="1" t="s">
        <v>5529</v>
      </c>
      <c r="H916" s="1" t="s">
        <v>5530</v>
      </c>
    </row>
    <row r="917" spans="1:8" x14ac:dyDescent="0.3">
      <c r="A917" s="2">
        <v>21904</v>
      </c>
      <c r="B917" s="1" t="s">
        <v>5531</v>
      </c>
      <c r="C917" s="1" t="s">
        <v>5532</v>
      </c>
      <c r="E917" s="1" t="s">
        <v>5533</v>
      </c>
      <c r="F917" s="1" t="s">
        <v>5534</v>
      </c>
      <c r="G917" s="1" t="s">
        <v>5535</v>
      </c>
      <c r="H917" s="1" t="s">
        <v>5531</v>
      </c>
    </row>
    <row r="918" spans="1:8" x14ac:dyDescent="0.3">
      <c r="A918" s="2">
        <v>21905</v>
      </c>
      <c r="B918" s="1" t="s">
        <v>5536</v>
      </c>
      <c r="C918" s="1" t="s">
        <v>5537</v>
      </c>
      <c r="D918" s="1" t="s">
        <v>5538</v>
      </c>
      <c r="E918" s="1" t="s">
        <v>5539</v>
      </c>
      <c r="F918" s="1" t="s">
        <v>5540</v>
      </c>
      <c r="G918" s="1" t="s">
        <v>5541</v>
      </c>
      <c r="H918" s="1" t="s">
        <v>5542</v>
      </c>
    </row>
    <row r="919" spans="1:8" x14ac:dyDescent="0.3">
      <c r="A919" s="2">
        <v>21906</v>
      </c>
      <c r="B919" s="1" t="s">
        <v>5543</v>
      </c>
      <c r="C919" s="1" t="s">
        <v>5544</v>
      </c>
      <c r="E919" s="1" t="s">
        <v>5545</v>
      </c>
      <c r="F919" s="1" t="s">
        <v>5546</v>
      </c>
      <c r="G919" s="1" t="s">
        <v>5547</v>
      </c>
      <c r="H919" s="1" t="s">
        <v>5548</v>
      </c>
    </row>
    <row r="920" spans="1:8" x14ac:dyDescent="0.3">
      <c r="A920" s="2">
        <v>21907</v>
      </c>
      <c r="B920" s="1" t="s">
        <v>5549</v>
      </c>
      <c r="C920" s="1" t="s">
        <v>5550</v>
      </c>
      <c r="E920" s="1" t="s">
        <v>5549</v>
      </c>
      <c r="F920" s="1" t="s">
        <v>5551</v>
      </c>
      <c r="G920" s="1" t="s">
        <v>5552</v>
      </c>
      <c r="H920" s="1" t="s">
        <v>5549</v>
      </c>
    </row>
    <row r="921" spans="1:8" x14ac:dyDescent="0.3">
      <c r="A921" s="2">
        <v>21908</v>
      </c>
      <c r="B921" s="1" t="s">
        <v>5553</v>
      </c>
      <c r="C921" s="1" t="s">
        <v>5554</v>
      </c>
      <c r="E921" s="1" t="s">
        <v>5553</v>
      </c>
      <c r="F921" s="1" t="s">
        <v>5555</v>
      </c>
      <c r="G921" s="1" t="s">
        <v>5553</v>
      </c>
      <c r="H921" s="1" t="s">
        <v>5556</v>
      </c>
    </row>
    <row r="922" spans="1:8" x14ac:dyDescent="0.3">
      <c r="A922" s="2">
        <v>21909</v>
      </c>
      <c r="B922" s="1" t="s">
        <v>5557</v>
      </c>
      <c r="C922" s="1" t="s">
        <v>5558</v>
      </c>
      <c r="E922" s="1" t="s">
        <v>5557</v>
      </c>
      <c r="F922" s="1" t="s">
        <v>5559</v>
      </c>
      <c r="G922" s="1" t="s">
        <v>5560</v>
      </c>
      <c r="H922" s="1" t="s">
        <v>5561</v>
      </c>
    </row>
    <row r="923" spans="1:8" x14ac:dyDescent="0.3">
      <c r="A923" s="2">
        <v>21910</v>
      </c>
      <c r="B923" s="1" t="s">
        <v>5562</v>
      </c>
      <c r="C923" s="1" t="s">
        <v>5563</v>
      </c>
      <c r="E923" s="1" t="s">
        <v>5564</v>
      </c>
      <c r="F923" s="1" t="s">
        <v>5565</v>
      </c>
      <c r="G923" s="1" t="s">
        <v>5565</v>
      </c>
      <c r="H923" s="1" t="s">
        <v>5565</v>
      </c>
    </row>
    <row r="924" spans="1:8" x14ac:dyDescent="0.3">
      <c r="A924" s="2" t="s">
        <v>5566</v>
      </c>
      <c r="B924" s="1" t="e">
        <f>-에</f>
        <v>#NAME?</v>
      </c>
      <c r="C924" s="1" t="s">
        <v>5567</v>
      </c>
      <c r="E924" s="1" t="s">
        <v>5568</v>
      </c>
      <c r="F924" s="1" t="s">
        <v>5569</v>
      </c>
      <c r="G924" s="1" t="s">
        <v>5570</v>
      </c>
      <c r="H924" s="1" t="s">
        <v>5571</v>
      </c>
    </row>
    <row r="925" spans="1:8" x14ac:dyDescent="0.3">
      <c r="A925" s="2" t="s">
        <v>5572</v>
      </c>
      <c r="B925" s="1" t="e">
        <f>-을</f>
        <v>#NAME?</v>
      </c>
      <c r="C925" s="1" t="s">
        <v>5573</v>
      </c>
      <c r="E925" s="1" t="s">
        <v>5574</v>
      </c>
      <c r="F925" s="1" t="s">
        <v>5575</v>
      </c>
      <c r="G925" s="1" t="s">
        <v>5576</v>
      </c>
      <c r="H925" s="1" t="s">
        <v>5577</v>
      </c>
    </row>
    <row r="926" spans="1:8" x14ac:dyDescent="0.3">
      <c r="A926" s="2">
        <v>21911</v>
      </c>
      <c r="B926" s="1" t="s">
        <v>5578</v>
      </c>
      <c r="C926" s="1" t="s">
        <v>5579</v>
      </c>
      <c r="E926" s="1" t="s">
        <v>5580</v>
      </c>
      <c r="F926" s="1" t="s">
        <v>5581</v>
      </c>
      <c r="G926" s="1" t="s">
        <v>5582</v>
      </c>
      <c r="H926" s="1" t="s">
        <v>5583</v>
      </c>
    </row>
    <row r="927" spans="1:8" x14ac:dyDescent="0.3">
      <c r="A927" s="2">
        <v>21912</v>
      </c>
      <c r="B927" s="1" t="s">
        <v>5584</v>
      </c>
      <c r="C927" s="1" t="s">
        <v>5585</v>
      </c>
      <c r="E927" s="1" t="s">
        <v>5584</v>
      </c>
      <c r="F927" s="1" t="s">
        <v>5586</v>
      </c>
      <c r="G927" s="1" t="s">
        <v>5584</v>
      </c>
      <c r="H927" s="1" t="s">
        <v>5584</v>
      </c>
    </row>
    <row r="928" spans="1:8" x14ac:dyDescent="0.3">
      <c r="A928" s="2">
        <v>21913</v>
      </c>
      <c r="B928" s="1" t="s">
        <v>5587</v>
      </c>
      <c r="C928" s="1" t="s">
        <v>5588</v>
      </c>
      <c r="E928" s="1" t="s">
        <v>5589</v>
      </c>
      <c r="F928" s="1" t="s">
        <v>5590</v>
      </c>
      <c r="G928" s="1" t="s">
        <v>5591</v>
      </c>
      <c r="H928" s="1" t="s">
        <v>5591</v>
      </c>
    </row>
    <row r="929" spans="1:8" x14ac:dyDescent="0.3">
      <c r="A929" s="2">
        <v>21914</v>
      </c>
      <c r="B929" s="1" t="s">
        <v>5592</v>
      </c>
      <c r="C929" s="1" t="s">
        <v>5593</v>
      </c>
      <c r="E929" s="1" t="s">
        <v>5594</v>
      </c>
      <c r="F929" s="1" t="s">
        <v>5592</v>
      </c>
      <c r="G929" s="1" t="s">
        <v>5595</v>
      </c>
      <c r="H929" s="1" t="s">
        <v>5596</v>
      </c>
    </row>
    <row r="930" spans="1:8" x14ac:dyDescent="0.3">
      <c r="A930" s="2">
        <v>21915</v>
      </c>
      <c r="B930" s="1" t="s">
        <v>5597</v>
      </c>
      <c r="C930" s="1" t="s">
        <v>5598</v>
      </c>
      <c r="E930" s="1" t="s">
        <v>5599</v>
      </c>
      <c r="F930" s="1" t="s">
        <v>5600</v>
      </c>
      <c r="G930" s="1" t="s">
        <v>5597</v>
      </c>
      <c r="H930" s="1" t="s">
        <v>5601</v>
      </c>
    </row>
    <row r="931" spans="1:8" x14ac:dyDescent="0.3">
      <c r="A931" s="2">
        <v>21916</v>
      </c>
      <c r="B931" s="1" t="s">
        <v>5602</v>
      </c>
      <c r="C931" s="1" t="s">
        <v>5603</v>
      </c>
      <c r="E931" s="1" t="s">
        <v>5604</v>
      </c>
      <c r="F931" s="1" t="s">
        <v>5602</v>
      </c>
      <c r="G931" s="1" t="s">
        <v>5605</v>
      </c>
      <c r="H931" s="1" t="s">
        <v>5605</v>
      </c>
    </row>
    <row r="932" spans="1:8" x14ac:dyDescent="0.3">
      <c r="A932" s="2">
        <v>21917</v>
      </c>
      <c r="B932" s="1" t="s">
        <v>5606</v>
      </c>
      <c r="C932" s="1" t="s">
        <v>5607</v>
      </c>
      <c r="E932" s="1" t="s">
        <v>5608</v>
      </c>
      <c r="F932" s="1" t="s">
        <v>5609</v>
      </c>
      <c r="G932" s="1" t="s">
        <v>5610</v>
      </c>
      <c r="H932" s="1" t="s">
        <v>5611</v>
      </c>
    </row>
    <row r="933" spans="1:8" x14ac:dyDescent="0.3">
      <c r="A933" s="2" t="s">
        <v>5612</v>
      </c>
      <c r="B933" s="1" t="e">
        <f>-아서</f>
        <v>#NAME?</v>
      </c>
      <c r="C933" s="1" t="s">
        <v>5613</v>
      </c>
      <c r="E933" s="1" t="s">
        <v>5614</v>
      </c>
      <c r="G933" s="1" t="s">
        <v>5615</v>
      </c>
      <c r="H933" s="1" t="s">
        <v>5616</v>
      </c>
    </row>
    <row r="934" spans="1:8" x14ac:dyDescent="0.3">
      <c r="A934" s="2" t="s">
        <v>5617</v>
      </c>
      <c r="B934" s="1" t="s">
        <v>5618</v>
      </c>
      <c r="C934" s="1" t="s">
        <v>5619</v>
      </c>
      <c r="D934" s="1" t="s">
        <v>5620</v>
      </c>
      <c r="E934" s="1" t="s">
        <v>5621</v>
      </c>
      <c r="F934" s="1" t="s">
        <v>5622</v>
      </c>
      <c r="G934" s="1" t="s">
        <v>5623</v>
      </c>
      <c r="H934" s="1" t="s">
        <v>5624</v>
      </c>
    </row>
    <row r="935" spans="1:8" x14ac:dyDescent="0.3">
      <c r="A935" s="2">
        <v>21918</v>
      </c>
      <c r="B935" s="1" t="s">
        <v>5625</v>
      </c>
      <c r="C935" s="1" t="s">
        <v>5626</v>
      </c>
      <c r="E935" s="1" t="s">
        <v>5627</v>
      </c>
      <c r="F935" s="1" t="s">
        <v>5628</v>
      </c>
      <c r="G935" s="1" t="s">
        <v>5629</v>
      </c>
      <c r="H935" s="1" t="s">
        <v>5629</v>
      </c>
    </row>
    <row r="936" spans="1:8" x14ac:dyDescent="0.3">
      <c r="A936" s="2">
        <v>21919</v>
      </c>
      <c r="B936" s="1" t="s">
        <v>5630</v>
      </c>
      <c r="C936" s="1" t="s">
        <v>5631</v>
      </c>
      <c r="E936" s="1" t="s">
        <v>5632</v>
      </c>
      <c r="F936" s="1" t="s">
        <v>5633</v>
      </c>
      <c r="G936" s="1" t="s">
        <v>5634</v>
      </c>
      <c r="H936" s="1" t="s">
        <v>5635</v>
      </c>
    </row>
    <row r="937" spans="1:8" x14ac:dyDescent="0.3">
      <c r="A937" s="2">
        <v>21920</v>
      </c>
      <c r="B937" s="1" t="s">
        <v>5636</v>
      </c>
      <c r="C937" s="1" t="s">
        <v>57</v>
      </c>
      <c r="F937" s="1" t="s">
        <v>5637</v>
      </c>
      <c r="G937" s="1" t="s">
        <v>57</v>
      </c>
      <c r="H937" s="1" t="s">
        <v>5638</v>
      </c>
    </row>
    <row r="938" spans="1:8" x14ac:dyDescent="0.3">
      <c r="A938" s="2">
        <v>21921</v>
      </c>
      <c r="B938" s="1" t="s">
        <v>5639</v>
      </c>
      <c r="C938" s="1" t="s">
        <v>5640</v>
      </c>
      <c r="F938" s="1" t="s">
        <v>5641</v>
      </c>
      <c r="G938" s="1" t="s">
        <v>57</v>
      </c>
      <c r="H938" s="1" t="s">
        <v>5642</v>
      </c>
    </row>
    <row r="939" spans="1:8" x14ac:dyDescent="0.3">
      <c r="A939" s="2">
        <v>21922</v>
      </c>
      <c r="B939" s="1" t="s">
        <v>5643</v>
      </c>
      <c r="C939" s="1" t="s">
        <v>5644</v>
      </c>
      <c r="F939" s="1" t="s">
        <v>5645</v>
      </c>
      <c r="G939" s="1" t="s">
        <v>57</v>
      </c>
      <c r="H939" s="1" t="s">
        <v>57</v>
      </c>
    </row>
    <row r="940" spans="1:8" x14ac:dyDescent="0.3">
      <c r="A940" s="2">
        <v>21923</v>
      </c>
      <c r="B940" s="1" t="s">
        <v>5646</v>
      </c>
      <c r="C940" s="1" t="s">
        <v>5647</v>
      </c>
      <c r="F940" s="1" t="s">
        <v>5648</v>
      </c>
      <c r="G940" s="1" t="s">
        <v>5649</v>
      </c>
      <c r="H940" s="1" t="s">
        <v>5650</v>
      </c>
    </row>
    <row r="941" spans="1:8" x14ac:dyDescent="0.3">
      <c r="A941" s="2">
        <v>21924</v>
      </c>
      <c r="B941" s="1" t="s">
        <v>5651</v>
      </c>
      <c r="C941" s="1" t="s">
        <v>5652</v>
      </c>
      <c r="D941" s="1" t="s">
        <v>5651</v>
      </c>
      <c r="E941" s="1" t="s">
        <v>5653</v>
      </c>
      <c r="F941" s="1" t="s">
        <v>5651</v>
      </c>
      <c r="G941" s="1" t="s">
        <v>5654</v>
      </c>
      <c r="H941" s="1" t="s">
        <v>5655</v>
      </c>
    </row>
    <row r="942" spans="1:8" x14ac:dyDescent="0.3">
      <c r="A942" s="2">
        <v>21925</v>
      </c>
      <c r="B942" s="1" t="s">
        <v>5656</v>
      </c>
      <c r="C942" s="1" t="s">
        <v>5657</v>
      </c>
      <c r="E942" s="1" t="s">
        <v>5658</v>
      </c>
      <c r="F942" s="1" t="s">
        <v>5659</v>
      </c>
      <c r="G942" s="1" t="s">
        <v>5660</v>
      </c>
      <c r="H942" s="1" t="s">
        <v>5661</v>
      </c>
    </row>
    <row r="943" spans="1:8" x14ac:dyDescent="0.3">
      <c r="A943" s="2">
        <v>21926</v>
      </c>
      <c r="B943" s="1" t="s">
        <v>5662</v>
      </c>
      <c r="C943" s="1" t="s">
        <v>5663</v>
      </c>
      <c r="E943" s="1" t="s">
        <v>5664</v>
      </c>
      <c r="F943" s="1" t="s">
        <v>5665</v>
      </c>
      <c r="G943" s="1" t="s">
        <v>5666</v>
      </c>
      <c r="H943" s="1" t="s">
        <v>5667</v>
      </c>
    </row>
    <row r="944" spans="1:8" x14ac:dyDescent="0.3">
      <c r="A944" s="2">
        <v>21927</v>
      </c>
      <c r="B944" s="1" t="s">
        <v>5668</v>
      </c>
      <c r="C944" s="1" t="s">
        <v>5669</v>
      </c>
      <c r="E944" s="1" t="s">
        <v>5668</v>
      </c>
      <c r="F944" s="1" t="s">
        <v>5670</v>
      </c>
      <c r="G944" s="1" t="s">
        <v>5671</v>
      </c>
      <c r="H944" s="1" t="s">
        <v>5672</v>
      </c>
    </row>
    <row r="945" spans="1:8" x14ac:dyDescent="0.3">
      <c r="A945" s="2">
        <v>21928</v>
      </c>
      <c r="B945" s="1" t="s">
        <v>5673</v>
      </c>
      <c r="C945" s="1" t="s">
        <v>5674</v>
      </c>
      <c r="E945" s="1" t="s">
        <v>5675</v>
      </c>
      <c r="F945" s="1" t="s">
        <v>5676</v>
      </c>
      <c r="G945" s="1" t="s">
        <v>5677</v>
      </c>
      <c r="H945" s="1" t="s">
        <v>5678</v>
      </c>
    </row>
    <row r="946" spans="1:8" x14ac:dyDescent="0.3">
      <c r="A946" s="2">
        <v>21929</v>
      </c>
      <c r="B946" s="1" t="s">
        <v>5679</v>
      </c>
      <c r="C946" s="1" t="s">
        <v>5680</v>
      </c>
      <c r="E946" s="1" t="s">
        <v>5681</v>
      </c>
      <c r="F946" s="1" t="s">
        <v>5679</v>
      </c>
      <c r="G946" s="1" t="s">
        <v>5682</v>
      </c>
      <c r="H946" s="1" t="s">
        <v>5679</v>
      </c>
    </row>
    <row r="947" spans="1:8" x14ac:dyDescent="0.3">
      <c r="A947" s="2">
        <v>21930</v>
      </c>
      <c r="B947" s="1" t="s">
        <v>5683</v>
      </c>
      <c r="C947" s="1" t="s">
        <v>5684</v>
      </c>
      <c r="E947" s="1" t="s">
        <v>5685</v>
      </c>
      <c r="F947" s="1" t="s">
        <v>5686</v>
      </c>
      <c r="G947" s="1" t="s">
        <v>5685</v>
      </c>
      <c r="H947" s="1" t="s">
        <v>5687</v>
      </c>
    </row>
    <row r="948" spans="1:8" x14ac:dyDescent="0.3">
      <c r="A948" s="2">
        <v>21931</v>
      </c>
      <c r="B948" s="1" t="s">
        <v>5688</v>
      </c>
      <c r="C948" s="1" t="s">
        <v>5689</v>
      </c>
      <c r="E948" s="1" t="s">
        <v>5690</v>
      </c>
      <c r="F948" s="1" t="s">
        <v>5691</v>
      </c>
      <c r="G948" s="1" t="s">
        <v>5692</v>
      </c>
      <c r="H948" s="1" t="s">
        <v>5691</v>
      </c>
    </row>
    <row r="949" spans="1:8" x14ac:dyDescent="0.3">
      <c r="A949" s="2">
        <v>21932</v>
      </c>
      <c r="B949" s="1" t="s">
        <v>5693</v>
      </c>
      <c r="C949" s="1" t="s">
        <v>5694</v>
      </c>
      <c r="E949" s="1" t="s">
        <v>5695</v>
      </c>
      <c r="F949" s="1" t="s">
        <v>5696</v>
      </c>
      <c r="G949" s="1" t="s">
        <v>5697</v>
      </c>
      <c r="H949" s="1" t="s">
        <v>5698</v>
      </c>
    </row>
    <row r="950" spans="1:8" x14ac:dyDescent="0.3">
      <c r="A950" s="2">
        <v>21933</v>
      </c>
      <c r="B950" s="1" t="s">
        <v>5699</v>
      </c>
      <c r="C950" s="1" t="s">
        <v>5700</v>
      </c>
      <c r="E950" s="1" t="s">
        <v>5701</v>
      </c>
      <c r="F950" s="1" t="s">
        <v>5702</v>
      </c>
      <c r="G950" s="1" t="s">
        <v>5703</v>
      </c>
      <c r="H950" s="1" t="s">
        <v>5704</v>
      </c>
    </row>
    <row r="951" spans="1:8" x14ac:dyDescent="0.3">
      <c r="A951" s="2">
        <v>21934</v>
      </c>
      <c r="B951" s="1" t="s">
        <v>5705</v>
      </c>
      <c r="C951" s="1" t="s">
        <v>5706</v>
      </c>
      <c r="E951" s="1" t="s">
        <v>5707</v>
      </c>
      <c r="F951" s="1" t="s">
        <v>5708</v>
      </c>
      <c r="G951" s="1" t="s">
        <v>57</v>
      </c>
      <c r="H951" s="1" t="s">
        <v>5709</v>
      </c>
    </row>
    <row r="952" spans="1:8" x14ac:dyDescent="0.3">
      <c r="A952" s="2">
        <v>21935</v>
      </c>
      <c r="B952" s="1" t="s">
        <v>5710</v>
      </c>
      <c r="C952" s="1" t="s">
        <v>5711</v>
      </c>
      <c r="E952" s="1" t="s">
        <v>5712</v>
      </c>
      <c r="F952" s="1" t="s">
        <v>5713</v>
      </c>
      <c r="G952" s="1" t="s">
        <v>5714</v>
      </c>
      <c r="H952" s="1" t="s">
        <v>57</v>
      </c>
    </row>
    <row r="953" spans="1:8" x14ac:dyDescent="0.3">
      <c r="A953" s="2">
        <v>21936</v>
      </c>
      <c r="B953" s="1" t="s">
        <v>5715</v>
      </c>
      <c r="C953" s="1" t="s">
        <v>5716</v>
      </c>
      <c r="E953" s="1" t="s">
        <v>5717</v>
      </c>
      <c r="F953" s="1" t="s">
        <v>5718</v>
      </c>
      <c r="G953" s="1" t="s">
        <v>5719</v>
      </c>
      <c r="H953" s="1" t="s">
        <v>5715</v>
      </c>
    </row>
    <row r="954" spans="1:8" x14ac:dyDescent="0.3">
      <c r="A954" s="2">
        <v>21937</v>
      </c>
      <c r="B954" s="1" t="s">
        <v>5720</v>
      </c>
      <c r="C954" s="1" t="s">
        <v>5721</v>
      </c>
      <c r="E954" s="1" t="s">
        <v>5722</v>
      </c>
      <c r="F954" s="1" t="s">
        <v>5723</v>
      </c>
      <c r="G954" s="1" t="s">
        <v>5724</v>
      </c>
      <c r="H954" s="1" t="s">
        <v>5725</v>
      </c>
    </row>
    <row r="955" spans="1:8" x14ac:dyDescent="0.3">
      <c r="A955" s="2">
        <v>22001</v>
      </c>
      <c r="B955" s="1" t="s">
        <v>5726</v>
      </c>
      <c r="C955" s="1" t="s">
        <v>5727</v>
      </c>
      <c r="E955" s="1" t="s">
        <v>5728</v>
      </c>
      <c r="F955" s="1" t="s">
        <v>5729</v>
      </c>
      <c r="G955" s="1" t="s">
        <v>5730</v>
      </c>
      <c r="H955" s="1" t="s">
        <v>5728</v>
      </c>
    </row>
    <row r="956" spans="1:8" x14ac:dyDescent="0.3">
      <c r="A956" s="2">
        <v>22002</v>
      </c>
      <c r="B956" s="1" t="s">
        <v>5731</v>
      </c>
      <c r="C956" s="1" t="s">
        <v>5732</v>
      </c>
      <c r="D956" s="1" t="s">
        <v>5733</v>
      </c>
      <c r="E956" s="1" t="s">
        <v>5734</v>
      </c>
      <c r="F956" s="1" t="s">
        <v>5735</v>
      </c>
      <c r="G956" s="1" t="s">
        <v>5736</v>
      </c>
      <c r="H956" s="1" t="s">
        <v>5734</v>
      </c>
    </row>
    <row r="957" spans="1:8" x14ac:dyDescent="0.3">
      <c r="A957" s="2">
        <v>22003</v>
      </c>
      <c r="B957" s="1" t="s">
        <v>5737</v>
      </c>
      <c r="C957" s="1" t="s">
        <v>5738</v>
      </c>
      <c r="E957" s="1" t="s">
        <v>5739</v>
      </c>
      <c r="F957" s="1" t="s">
        <v>5740</v>
      </c>
      <c r="G957" s="1" t="s">
        <v>5741</v>
      </c>
      <c r="H957" s="1" t="s">
        <v>5742</v>
      </c>
    </row>
    <row r="958" spans="1:8" x14ac:dyDescent="0.3">
      <c r="A958" s="2">
        <v>22004</v>
      </c>
      <c r="B958" s="1" t="s">
        <v>5743</v>
      </c>
      <c r="C958" s="1" t="s">
        <v>5744</v>
      </c>
      <c r="E958" s="1" t="s">
        <v>5745</v>
      </c>
      <c r="F958" s="1" t="s">
        <v>5746</v>
      </c>
      <c r="G958" s="1" t="s">
        <v>5747</v>
      </c>
      <c r="H958" s="1" t="s">
        <v>5743</v>
      </c>
    </row>
    <row r="959" spans="1:8" x14ac:dyDescent="0.3">
      <c r="A959" s="2">
        <v>22005</v>
      </c>
      <c r="B959" s="1" t="s">
        <v>5748</v>
      </c>
      <c r="C959" s="1" t="s">
        <v>5749</v>
      </c>
      <c r="E959" s="1" t="s">
        <v>5750</v>
      </c>
      <c r="F959" s="1" t="s">
        <v>5751</v>
      </c>
      <c r="G959" s="1" t="s">
        <v>5752</v>
      </c>
      <c r="H959" s="1" t="s">
        <v>5753</v>
      </c>
    </row>
    <row r="960" spans="1:8" x14ac:dyDescent="0.3">
      <c r="A960" s="2">
        <v>22006</v>
      </c>
      <c r="B960" s="1" t="s">
        <v>5754</v>
      </c>
      <c r="C960" s="1" t="s">
        <v>5755</v>
      </c>
      <c r="E960" s="1" t="s">
        <v>5756</v>
      </c>
      <c r="F960" s="1" t="s">
        <v>5757</v>
      </c>
      <c r="G960" s="1" t="s">
        <v>5758</v>
      </c>
      <c r="H960" s="1" t="s">
        <v>5759</v>
      </c>
    </row>
    <row r="961" spans="1:8" x14ac:dyDescent="0.3">
      <c r="A961" s="2">
        <v>22007</v>
      </c>
      <c r="B961" s="1" t="s">
        <v>5760</v>
      </c>
      <c r="C961" s="1" t="s">
        <v>5761</v>
      </c>
      <c r="E961" s="1" t="s">
        <v>5762</v>
      </c>
      <c r="F961" s="1" t="s">
        <v>5763</v>
      </c>
      <c r="G961" s="1" t="s">
        <v>5764</v>
      </c>
      <c r="H961" s="1" t="s">
        <v>5765</v>
      </c>
    </row>
    <row r="962" spans="1:8" x14ac:dyDescent="0.3">
      <c r="A962" s="2">
        <v>22008</v>
      </c>
      <c r="B962" s="1" t="s">
        <v>5766</v>
      </c>
      <c r="C962" s="1" t="s">
        <v>5767</v>
      </c>
      <c r="E962" s="1" t="s">
        <v>5768</v>
      </c>
      <c r="F962" s="1" t="s">
        <v>5769</v>
      </c>
      <c r="G962" s="1" t="s">
        <v>5770</v>
      </c>
      <c r="H962" s="1" t="s">
        <v>5771</v>
      </c>
    </row>
    <row r="963" spans="1:8" x14ac:dyDescent="0.3">
      <c r="A963" s="2">
        <v>22009</v>
      </c>
      <c r="B963" s="1" t="s">
        <v>5772</v>
      </c>
      <c r="C963" s="1" t="s">
        <v>5773</v>
      </c>
      <c r="E963" s="1" t="s">
        <v>5774</v>
      </c>
      <c r="F963" s="1" t="s">
        <v>5775</v>
      </c>
      <c r="G963" s="1" t="s">
        <v>5776</v>
      </c>
      <c r="H963" s="1" t="s">
        <v>5772</v>
      </c>
    </row>
    <row r="964" spans="1:8" x14ac:dyDescent="0.3">
      <c r="A964" s="2">
        <v>22010</v>
      </c>
      <c r="B964" s="1" t="s">
        <v>5777</v>
      </c>
      <c r="C964" s="1" t="s">
        <v>5778</v>
      </c>
      <c r="E964" s="1" t="s">
        <v>5779</v>
      </c>
      <c r="F964" s="1" t="s">
        <v>5779</v>
      </c>
      <c r="G964" s="1" t="s">
        <v>5777</v>
      </c>
      <c r="H964" s="1" t="s">
        <v>5780</v>
      </c>
    </row>
    <row r="965" spans="1:8" x14ac:dyDescent="0.3">
      <c r="A965" s="2">
        <v>22011</v>
      </c>
      <c r="B965" s="1" t="s">
        <v>5781</v>
      </c>
      <c r="C965" s="1" t="s">
        <v>5782</v>
      </c>
      <c r="D965" s="1" t="s">
        <v>5783</v>
      </c>
      <c r="E965" s="1" t="s">
        <v>5784</v>
      </c>
      <c r="F965" s="1" t="s">
        <v>5785</v>
      </c>
      <c r="G965" s="1" t="s">
        <v>5786</v>
      </c>
      <c r="H965" s="1" t="s">
        <v>5787</v>
      </c>
    </row>
    <row r="966" spans="1:8" x14ac:dyDescent="0.3">
      <c r="A966" s="2">
        <v>22012</v>
      </c>
      <c r="B966" s="1" t="s">
        <v>5788</v>
      </c>
      <c r="C966" s="1" t="s">
        <v>5789</v>
      </c>
      <c r="E966" s="1" t="s">
        <v>5790</v>
      </c>
      <c r="F966" s="1" t="s">
        <v>5791</v>
      </c>
      <c r="G966" s="1" t="s">
        <v>5792</v>
      </c>
      <c r="H966" s="1" t="s">
        <v>5793</v>
      </c>
    </row>
    <row r="967" spans="1:8" x14ac:dyDescent="0.3">
      <c r="A967" s="2" t="s">
        <v>5794</v>
      </c>
      <c r="B967" s="1" t="e">
        <f>-을</f>
        <v>#NAME?</v>
      </c>
      <c r="C967" s="1" t="s">
        <v>5795</v>
      </c>
      <c r="E967" s="1" t="s">
        <v>5796</v>
      </c>
      <c r="G967" s="1" t="s">
        <v>5797</v>
      </c>
      <c r="H967" s="1" t="s">
        <v>5798</v>
      </c>
    </row>
    <row r="968" spans="1:8" x14ac:dyDescent="0.3">
      <c r="A968" s="2" t="s">
        <v>5799</v>
      </c>
      <c r="B968" s="1" t="e">
        <f>-에</f>
        <v>#NAME?</v>
      </c>
      <c r="C968" s="1" t="s">
        <v>5800</v>
      </c>
      <c r="E968" s="1" t="s">
        <v>5801</v>
      </c>
      <c r="G968" s="1" t="s">
        <v>5802</v>
      </c>
      <c r="H968" s="1" t="s">
        <v>5803</v>
      </c>
    </row>
    <row r="969" spans="1:8" x14ac:dyDescent="0.3">
      <c r="A969" s="2">
        <v>22013</v>
      </c>
      <c r="B969" s="1" t="s">
        <v>5804</v>
      </c>
      <c r="C969" s="1" t="s">
        <v>5805</v>
      </c>
      <c r="E969" s="1" t="s">
        <v>5806</v>
      </c>
      <c r="F969" s="1" t="s">
        <v>5807</v>
      </c>
      <c r="G969" s="1" t="s">
        <v>5808</v>
      </c>
      <c r="H969" s="1" t="s">
        <v>5809</v>
      </c>
    </row>
    <row r="970" spans="1:8" x14ac:dyDescent="0.3">
      <c r="A970" s="2">
        <v>22014</v>
      </c>
      <c r="B970" s="1" t="s">
        <v>5810</v>
      </c>
      <c r="C970" s="1" t="s">
        <v>5811</v>
      </c>
      <c r="E970" s="1" t="s">
        <v>5812</v>
      </c>
      <c r="F970" s="1" t="s">
        <v>5813</v>
      </c>
      <c r="G970" s="1" t="s">
        <v>57</v>
      </c>
      <c r="H970" s="1" t="s">
        <v>5814</v>
      </c>
    </row>
    <row r="971" spans="1:8" x14ac:dyDescent="0.3">
      <c r="A971" s="2">
        <v>22015</v>
      </c>
      <c r="B971" s="1" t="s">
        <v>5815</v>
      </c>
      <c r="C971" s="1" t="s">
        <v>5816</v>
      </c>
      <c r="E971" s="1" t="s">
        <v>5817</v>
      </c>
      <c r="F971" s="1" t="s">
        <v>5818</v>
      </c>
      <c r="G971" s="1" t="s">
        <v>5819</v>
      </c>
      <c r="H971" s="1" t="s">
        <v>5820</v>
      </c>
    </row>
    <row r="972" spans="1:8" x14ac:dyDescent="0.3">
      <c r="A972" s="2">
        <v>22016</v>
      </c>
      <c r="B972" s="1" t="s">
        <v>5821</v>
      </c>
      <c r="C972" s="1" t="s">
        <v>5822</v>
      </c>
      <c r="E972" s="1" t="s">
        <v>5823</v>
      </c>
      <c r="F972" s="1" t="s">
        <v>5824</v>
      </c>
      <c r="G972" s="1" t="s">
        <v>5825</v>
      </c>
      <c r="H972" s="1" t="s">
        <v>5826</v>
      </c>
    </row>
    <row r="973" spans="1:8" x14ac:dyDescent="0.3">
      <c r="A973" s="2">
        <v>22017</v>
      </c>
      <c r="B973" s="1" t="s">
        <v>5827</v>
      </c>
      <c r="C973" s="1" t="s">
        <v>5828</v>
      </c>
      <c r="E973" s="1" t="s">
        <v>5829</v>
      </c>
      <c r="F973" s="1" t="s">
        <v>5830</v>
      </c>
      <c r="G973" s="1" t="s">
        <v>5831</v>
      </c>
      <c r="H973" s="1" t="s">
        <v>5832</v>
      </c>
    </row>
    <row r="974" spans="1:8" x14ac:dyDescent="0.3">
      <c r="A974" s="2">
        <v>22018</v>
      </c>
      <c r="B974" s="1" t="s">
        <v>5833</v>
      </c>
      <c r="C974" s="1" t="s">
        <v>57</v>
      </c>
      <c r="E974" s="1" t="s">
        <v>5834</v>
      </c>
      <c r="F974" s="1" t="s">
        <v>5835</v>
      </c>
      <c r="G974" s="1" t="s">
        <v>5836</v>
      </c>
      <c r="H974" s="1" t="s">
        <v>5837</v>
      </c>
    </row>
    <row r="975" spans="1:8" x14ac:dyDescent="0.3">
      <c r="A975" s="2">
        <v>22019</v>
      </c>
      <c r="B975" s="1" t="s">
        <v>5838</v>
      </c>
      <c r="C975" s="1" t="s">
        <v>5839</v>
      </c>
      <c r="E975" s="1" t="s">
        <v>5840</v>
      </c>
      <c r="F975" s="1" t="s">
        <v>5841</v>
      </c>
      <c r="G975" s="1" t="s">
        <v>5842</v>
      </c>
      <c r="H975" s="1" t="s">
        <v>5843</v>
      </c>
    </row>
    <row r="976" spans="1:8" x14ac:dyDescent="0.3">
      <c r="A976" s="2">
        <v>22020</v>
      </c>
      <c r="B976" s="1" t="s">
        <v>5844</v>
      </c>
      <c r="C976" s="1" t="s">
        <v>5845</v>
      </c>
      <c r="E976" s="1" t="s">
        <v>5846</v>
      </c>
      <c r="F976" s="1" t="s">
        <v>5847</v>
      </c>
      <c r="G976" s="1" t="s">
        <v>5848</v>
      </c>
      <c r="H976" s="1" t="s">
        <v>5849</v>
      </c>
    </row>
    <row r="977" spans="1:8" x14ac:dyDescent="0.3">
      <c r="A977" s="2">
        <v>22021</v>
      </c>
      <c r="B977" s="1" t="s">
        <v>5850</v>
      </c>
      <c r="C977" s="1" t="s">
        <v>5851</v>
      </c>
      <c r="E977" s="1" t="s">
        <v>5852</v>
      </c>
      <c r="F977" s="1" t="s">
        <v>5853</v>
      </c>
      <c r="H977" s="1" t="s">
        <v>5854</v>
      </c>
    </row>
    <row r="978" spans="1:8" x14ac:dyDescent="0.3">
      <c r="A978" s="2" t="s">
        <v>5855</v>
      </c>
      <c r="B978" s="1" t="e">
        <f>-이</f>
        <v>#NAME?</v>
      </c>
      <c r="C978" s="1" t="s">
        <v>5856</v>
      </c>
      <c r="E978" s="1" t="s">
        <v>5857</v>
      </c>
      <c r="G978" s="1" t="s">
        <v>5858</v>
      </c>
      <c r="H978" s="1" t="s">
        <v>5859</v>
      </c>
    </row>
    <row r="979" spans="1:8" x14ac:dyDescent="0.3">
      <c r="A979" s="2" t="s">
        <v>5860</v>
      </c>
      <c r="B979" s="1" t="e">
        <f>-을</f>
        <v>#NAME?</v>
      </c>
      <c r="C979" s="1" t="s">
        <v>5861</v>
      </c>
      <c r="G979" s="1" t="s">
        <v>5862</v>
      </c>
      <c r="H979" s="1" t="s">
        <v>5863</v>
      </c>
    </row>
    <row r="980" spans="1:8" x14ac:dyDescent="0.3">
      <c r="A980" s="2">
        <v>22022</v>
      </c>
      <c r="B980" s="1" t="s">
        <v>5864</v>
      </c>
      <c r="C980" s="1" t="s">
        <v>5865</v>
      </c>
      <c r="F980" s="1" t="s">
        <v>5866</v>
      </c>
      <c r="G980" s="1" t="s">
        <v>5867</v>
      </c>
      <c r="H980" s="1" t="s">
        <v>57</v>
      </c>
    </row>
    <row r="981" spans="1:8" x14ac:dyDescent="0.3">
      <c r="A981" s="2">
        <v>22023</v>
      </c>
      <c r="B981" s="1" t="s">
        <v>5868</v>
      </c>
      <c r="C981" s="1" t="s">
        <v>5869</v>
      </c>
      <c r="D981" s="1" t="s">
        <v>5870</v>
      </c>
      <c r="E981" s="1" t="s">
        <v>5871</v>
      </c>
      <c r="F981" s="1" t="s">
        <v>5872</v>
      </c>
      <c r="G981" s="1" t="s">
        <v>5873</v>
      </c>
      <c r="H981" s="1" t="s">
        <v>5874</v>
      </c>
    </row>
    <row r="982" spans="1:8" x14ac:dyDescent="0.3">
      <c r="A982" s="2" t="s">
        <v>5875</v>
      </c>
      <c r="B982" s="1" t="e">
        <f>-을</f>
        <v>#NAME?</v>
      </c>
      <c r="C982" s="1" t="s">
        <v>5876</v>
      </c>
      <c r="E982" s="1" t="s">
        <v>5877</v>
      </c>
      <c r="F982" s="1" t="s">
        <v>5878</v>
      </c>
      <c r="G982" s="1" t="s">
        <v>5879</v>
      </c>
      <c r="H982" s="1" t="s">
        <v>5880</v>
      </c>
    </row>
    <row r="983" spans="1:8" x14ac:dyDescent="0.3">
      <c r="A983" s="2">
        <v>22024</v>
      </c>
      <c r="B983" s="1" t="s">
        <v>5881</v>
      </c>
      <c r="C983" s="1" t="s">
        <v>5882</v>
      </c>
      <c r="E983" s="1" t="s">
        <v>5883</v>
      </c>
      <c r="F983" s="1" t="s">
        <v>5884</v>
      </c>
      <c r="G983" s="1" t="s">
        <v>5884</v>
      </c>
      <c r="H983" s="1" t="s">
        <v>5885</v>
      </c>
    </row>
    <row r="984" spans="1:8" x14ac:dyDescent="0.3">
      <c r="A984" s="2">
        <v>22025</v>
      </c>
      <c r="B984" s="1" t="s">
        <v>5886</v>
      </c>
      <c r="C984" s="1" t="s">
        <v>5887</v>
      </c>
      <c r="E984" s="1" t="s">
        <v>5888</v>
      </c>
      <c r="F984" s="1" t="s">
        <v>5889</v>
      </c>
      <c r="G984" s="1" t="s">
        <v>5890</v>
      </c>
      <c r="H984" s="1" t="s">
        <v>5891</v>
      </c>
    </row>
    <row r="985" spans="1:8" x14ac:dyDescent="0.3">
      <c r="A985" s="2">
        <v>22026</v>
      </c>
      <c r="B985" s="1" t="s">
        <v>5892</v>
      </c>
      <c r="C985" s="1" t="s">
        <v>5893</v>
      </c>
      <c r="E985" s="1" t="s">
        <v>5894</v>
      </c>
      <c r="F985" s="1" t="s">
        <v>5895</v>
      </c>
      <c r="G985" s="1" t="s">
        <v>5896</v>
      </c>
      <c r="H985" s="1" t="s">
        <v>5897</v>
      </c>
    </row>
    <row r="986" spans="1:8" x14ac:dyDescent="0.3">
      <c r="A986" s="2" t="s">
        <v>5898</v>
      </c>
      <c r="B986" s="1" t="s">
        <v>5899</v>
      </c>
      <c r="C986" s="1" t="s">
        <v>5900</v>
      </c>
      <c r="E986" s="1" t="s">
        <v>5901</v>
      </c>
      <c r="F986" s="1" t="s">
        <v>5902</v>
      </c>
      <c r="G986" s="1" t="s">
        <v>5903</v>
      </c>
      <c r="H986" s="1" t="s">
        <v>5904</v>
      </c>
    </row>
    <row r="987" spans="1:8" x14ac:dyDescent="0.3">
      <c r="A987" s="2">
        <v>22101</v>
      </c>
      <c r="B987" s="1" t="s">
        <v>5905</v>
      </c>
      <c r="C987" s="1" t="s">
        <v>5906</v>
      </c>
      <c r="E987" s="1" t="s">
        <v>5907</v>
      </c>
      <c r="F987" s="1" t="s">
        <v>5908</v>
      </c>
      <c r="G987" s="1" t="s">
        <v>5909</v>
      </c>
      <c r="H987" s="1" t="s">
        <v>5910</v>
      </c>
    </row>
    <row r="988" spans="1:8" x14ac:dyDescent="0.3">
      <c r="A988" s="2">
        <v>22102</v>
      </c>
      <c r="B988" s="1" t="s">
        <v>5911</v>
      </c>
      <c r="C988" s="1" t="s">
        <v>5912</v>
      </c>
      <c r="E988" s="1" t="s">
        <v>5913</v>
      </c>
      <c r="F988" s="1" t="s">
        <v>5914</v>
      </c>
      <c r="G988" s="1" t="s">
        <v>5915</v>
      </c>
      <c r="H988" s="1" t="s">
        <v>5916</v>
      </c>
    </row>
    <row r="989" spans="1:8" x14ac:dyDescent="0.3">
      <c r="A989" s="2">
        <v>22103</v>
      </c>
      <c r="B989" s="1" t="s">
        <v>5917</v>
      </c>
      <c r="C989" s="1" t="s">
        <v>5918</v>
      </c>
      <c r="E989" s="1" t="s">
        <v>5919</v>
      </c>
      <c r="F989" s="1" t="s">
        <v>5917</v>
      </c>
      <c r="G989" s="1" t="s">
        <v>5917</v>
      </c>
      <c r="H989" s="1" t="s">
        <v>5919</v>
      </c>
    </row>
    <row r="990" spans="1:8" x14ac:dyDescent="0.3">
      <c r="A990" s="2">
        <v>22104</v>
      </c>
      <c r="B990" s="1" t="s">
        <v>5920</v>
      </c>
      <c r="C990" s="1" t="s">
        <v>5921</v>
      </c>
      <c r="E990" s="1" t="s">
        <v>5922</v>
      </c>
      <c r="F990" s="1" t="s">
        <v>5923</v>
      </c>
      <c r="G990" s="1" t="s">
        <v>5924</v>
      </c>
      <c r="H990" s="1" t="s">
        <v>5925</v>
      </c>
    </row>
    <row r="991" spans="1:8" x14ac:dyDescent="0.3">
      <c r="A991" s="2" t="s">
        <v>5926</v>
      </c>
      <c r="B991" s="1" t="s">
        <v>5927</v>
      </c>
      <c r="C991" s="1" t="s">
        <v>5928</v>
      </c>
      <c r="E991" s="1" t="s">
        <v>5929</v>
      </c>
      <c r="F991" s="1" t="s">
        <v>5930</v>
      </c>
      <c r="G991" s="1" t="s">
        <v>5931</v>
      </c>
      <c r="H991" s="1" t="s">
        <v>5932</v>
      </c>
    </row>
    <row r="992" spans="1:8" x14ac:dyDescent="0.3">
      <c r="A992" s="2">
        <v>22105</v>
      </c>
      <c r="B992" s="1" t="s">
        <v>5933</v>
      </c>
      <c r="C992" s="1" t="s">
        <v>5934</v>
      </c>
      <c r="D992" s="1" t="s">
        <v>5935</v>
      </c>
      <c r="E992" s="1" t="s">
        <v>5936</v>
      </c>
      <c r="F992" s="1" t="s">
        <v>5937</v>
      </c>
      <c r="G992" s="1" t="s">
        <v>5938</v>
      </c>
      <c r="H992" s="1" t="s">
        <v>5939</v>
      </c>
    </row>
    <row r="993" spans="1:8" x14ac:dyDescent="0.3">
      <c r="A993" s="2">
        <v>22106</v>
      </c>
      <c r="B993" s="1" t="s">
        <v>5940</v>
      </c>
      <c r="C993" s="1" t="s">
        <v>5941</v>
      </c>
      <c r="E993" s="1" t="s">
        <v>5942</v>
      </c>
      <c r="F993" s="1" t="s">
        <v>5943</v>
      </c>
      <c r="G993" s="1" t="s">
        <v>5944</v>
      </c>
      <c r="H993" s="1" t="s">
        <v>5945</v>
      </c>
    </row>
    <row r="994" spans="1:8" x14ac:dyDescent="0.3">
      <c r="A994" s="2">
        <v>22107</v>
      </c>
      <c r="B994" s="1" t="s">
        <v>5946</v>
      </c>
      <c r="C994" s="1" t="s">
        <v>5947</v>
      </c>
      <c r="E994" s="1" t="s">
        <v>5948</v>
      </c>
      <c r="F994" s="1" t="s">
        <v>5949</v>
      </c>
      <c r="G994" s="1" t="s">
        <v>5950</v>
      </c>
      <c r="H994" s="1" t="s">
        <v>5951</v>
      </c>
    </row>
    <row r="995" spans="1:8" x14ac:dyDescent="0.3">
      <c r="A995" s="2">
        <v>22108</v>
      </c>
      <c r="B995" s="1" t="s">
        <v>5952</v>
      </c>
      <c r="C995" s="1" t="s">
        <v>5953</v>
      </c>
      <c r="D995" s="1" t="s">
        <v>5954</v>
      </c>
      <c r="E995" s="1" t="s">
        <v>5955</v>
      </c>
      <c r="F995" s="1" t="s">
        <v>5956</v>
      </c>
      <c r="G995" s="1" t="s">
        <v>57</v>
      </c>
    </row>
    <row r="996" spans="1:8" x14ac:dyDescent="0.3">
      <c r="A996" s="2">
        <v>22109</v>
      </c>
      <c r="B996" s="1" t="s">
        <v>5957</v>
      </c>
      <c r="C996" s="1" t="s">
        <v>5958</v>
      </c>
      <c r="D996" s="1" t="s">
        <v>5957</v>
      </c>
      <c r="E996" s="1" t="s">
        <v>5959</v>
      </c>
      <c r="F996" s="1" t="s">
        <v>5959</v>
      </c>
      <c r="G996" s="1" t="s">
        <v>5960</v>
      </c>
      <c r="H996" s="1" t="s">
        <v>5961</v>
      </c>
    </row>
    <row r="997" spans="1:8" x14ac:dyDescent="0.3">
      <c r="A997" s="2">
        <v>22110</v>
      </c>
      <c r="B997" s="1" t="s">
        <v>5962</v>
      </c>
      <c r="C997" s="1" t="s">
        <v>5963</v>
      </c>
      <c r="D997" s="1" t="s">
        <v>5964</v>
      </c>
      <c r="E997" s="1" t="s">
        <v>5965</v>
      </c>
      <c r="F997" s="1" t="s">
        <v>5966</v>
      </c>
      <c r="G997" s="1" t="s">
        <v>5967</v>
      </c>
      <c r="H997" s="1" t="s">
        <v>5968</v>
      </c>
    </row>
    <row r="998" spans="1:8" x14ac:dyDescent="0.3">
      <c r="A998" s="2" t="s">
        <v>5969</v>
      </c>
      <c r="B998" s="1" t="s">
        <v>5970</v>
      </c>
      <c r="C998" s="1" t="s">
        <v>5971</v>
      </c>
      <c r="D998" s="1" t="s">
        <v>5970</v>
      </c>
      <c r="E998" s="1" t="s">
        <v>5972</v>
      </c>
      <c r="F998" s="1" t="s">
        <v>57</v>
      </c>
      <c r="G998" s="1" t="s">
        <v>5973</v>
      </c>
      <c r="H998" s="1" t="s">
        <v>5974</v>
      </c>
    </row>
    <row r="999" spans="1:8" x14ac:dyDescent="0.3">
      <c r="A999" s="2" t="s">
        <v>5975</v>
      </c>
      <c r="B999" s="1" t="s">
        <v>5976</v>
      </c>
      <c r="C999" s="1" t="s">
        <v>57</v>
      </c>
      <c r="E999" s="1" t="s">
        <v>5972</v>
      </c>
      <c r="F999" s="1" t="s">
        <v>57</v>
      </c>
      <c r="G999" s="1" t="s">
        <v>5977</v>
      </c>
      <c r="H999" s="1" t="s">
        <v>5974</v>
      </c>
    </row>
    <row r="1000" spans="1:8" x14ac:dyDescent="0.3">
      <c r="A1000" s="2" t="s">
        <v>5978</v>
      </c>
      <c r="B1000" s="1" t="s">
        <v>5979</v>
      </c>
      <c r="F1000" s="1" t="s">
        <v>57</v>
      </c>
      <c r="G1000" s="1" t="s">
        <v>57</v>
      </c>
      <c r="H1000" s="1" t="s">
        <v>5980</v>
      </c>
    </row>
    <row r="1001" spans="1:8" x14ac:dyDescent="0.3">
      <c r="A1001" s="2">
        <v>22111</v>
      </c>
      <c r="B1001" s="1" t="s">
        <v>5981</v>
      </c>
      <c r="C1001" s="1" t="s">
        <v>5982</v>
      </c>
      <c r="D1001" s="1" t="s">
        <v>5983</v>
      </c>
      <c r="E1001" s="1" t="s">
        <v>5984</v>
      </c>
      <c r="F1001" s="1" t="s">
        <v>5985</v>
      </c>
      <c r="G1001" s="1" t="s">
        <v>5986</v>
      </c>
      <c r="H1001" s="1" t="s">
        <v>5987</v>
      </c>
    </row>
    <row r="1002" spans="1:8" x14ac:dyDescent="0.3">
      <c r="A1002" s="2">
        <v>22112</v>
      </c>
      <c r="B1002" s="1" t="s">
        <v>5988</v>
      </c>
      <c r="C1002" s="1" t="s">
        <v>5989</v>
      </c>
      <c r="E1002" s="1" t="s">
        <v>5990</v>
      </c>
      <c r="F1002" s="1" t="s">
        <v>5991</v>
      </c>
      <c r="G1002" s="1" t="s">
        <v>5992</v>
      </c>
      <c r="H1002" s="1" t="s">
        <v>5988</v>
      </c>
    </row>
    <row r="1003" spans="1:8" x14ac:dyDescent="0.3">
      <c r="A1003" s="2">
        <v>22113</v>
      </c>
      <c r="B1003" s="1" t="s">
        <v>5993</v>
      </c>
      <c r="C1003" s="1" t="s">
        <v>5994</v>
      </c>
      <c r="D1003" s="1" t="s">
        <v>5993</v>
      </c>
      <c r="E1003" s="1" t="s">
        <v>5995</v>
      </c>
      <c r="F1003" s="1" t="s">
        <v>5993</v>
      </c>
      <c r="G1003" s="1" t="s">
        <v>5996</v>
      </c>
      <c r="H1003" s="1" t="s">
        <v>5997</v>
      </c>
    </row>
    <row r="1004" spans="1:8" x14ac:dyDescent="0.3">
      <c r="A1004" s="2">
        <v>22114</v>
      </c>
      <c r="B1004" s="1" t="s">
        <v>5998</v>
      </c>
      <c r="C1004" s="1" t="s">
        <v>5999</v>
      </c>
      <c r="D1004" s="1" t="s">
        <v>6000</v>
      </c>
      <c r="E1004" s="1" t="s">
        <v>6000</v>
      </c>
      <c r="F1004" s="1" t="s">
        <v>6001</v>
      </c>
      <c r="G1004" s="1" t="s">
        <v>6000</v>
      </c>
      <c r="H1004" s="1" t="s">
        <v>6002</v>
      </c>
    </row>
    <row r="1005" spans="1:8" x14ac:dyDescent="0.3">
      <c r="A1005" s="2">
        <v>22115</v>
      </c>
      <c r="B1005" s="1" t="s">
        <v>6003</v>
      </c>
      <c r="C1005" s="1" t="s">
        <v>6004</v>
      </c>
      <c r="D1005" s="1" t="s">
        <v>6003</v>
      </c>
      <c r="E1005" s="1" t="s">
        <v>6003</v>
      </c>
      <c r="F1005" s="1" t="s">
        <v>6005</v>
      </c>
      <c r="G1005" s="1" t="s">
        <v>6006</v>
      </c>
      <c r="H1005" s="1" t="s">
        <v>6007</v>
      </c>
    </row>
    <row r="1006" spans="1:8" x14ac:dyDescent="0.3">
      <c r="A1006" s="2" t="s">
        <v>6008</v>
      </c>
      <c r="B1006" s="1" t="s">
        <v>6009</v>
      </c>
      <c r="C1006" s="1" t="s">
        <v>6010</v>
      </c>
      <c r="D1006" s="1" t="s">
        <v>6011</v>
      </c>
      <c r="E1006" s="1" t="s">
        <v>6012</v>
      </c>
      <c r="F1006" s="1" t="s">
        <v>6011</v>
      </c>
      <c r="G1006" s="1" t="s">
        <v>6013</v>
      </c>
      <c r="H1006" s="1" t="s">
        <v>6014</v>
      </c>
    </row>
    <row r="1007" spans="1:8" x14ac:dyDescent="0.3">
      <c r="A1007" s="2" t="s">
        <v>6015</v>
      </c>
      <c r="B1007" s="1" t="s">
        <v>6016</v>
      </c>
      <c r="C1007" s="1" t="s">
        <v>6017</v>
      </c>
      <c r="D1007" s="1" t="s">
        <v>6018</v>
      </c>
      <c r="E1007" s="1" t="s">
        <v>6019</v>
      </c>
      <c r="F1007" s="1" t="s">
        <v>57</v>
      </c>
      <c r="G1007" s="1" t="s">
        <v>57</v>
      </c>
      <c r="H1007" s="1" t="s">
        <v>6020</v>
      </c>
    </row>
    <row r="1008" spans="1:8" x14ac:dyDescent="0.3">
      <c r="A1008" s="2" t="s">
        <v>6021</v>
      </c>
      <c r="B1008" s="1" t="s">
        <v>6022</v>
      </c>
      <c r="C1008" s="1" t="s">
        <v>6023</v>
      </c>
      <c r="D1008" s="1" t="s">
        <v>6024</v>
      </c>
      <c r="E1008" s="1" t="s">
        <v>6025</v>
      </c>
      <c r="F1008" s="1" t="s">
        <v>6026</v>
      </c>
      <c r="G1008" s="1" t="s">
        <v>6027</v>
      </c>
      <c r="H1008" s="1" t="s">
        <v>6028</v>
      </c>
    </row>
    <row r="1009" spans="1:8" x14ac:dyDescent="0.3">
      <c r="A1009" s="2">
        <v>22116</v>
      </c>
      <c r="B1009" s="1" t="s">
        <v>6029</v>
      </c>
      <c r="C1009" s="1" t="s">
        <v>6030</v>
      </c>
      <c r="D1009" s="1" t="s">
        <v>6031</v>
      </c>
      <c r="E1009" s="1" t="s">
        <v>6032</v>
      </c>
      <c r="F1009" s="1" t="s">
        <v>6033</v>
      </c>
      <c r="G1009" s="1" t="s">
        <v>6034</v>
      </c>
      <c r="H1009" s="1" t="s">
        <v>6035</v>
      </c>
    </row>
    <row r="1010" spans="1:8" x14ac:dyDescent="0.3">
      <c r="A1010" s="2" t="s">
        <v>6036</v>
      </c>
      <c r="B1010" s="1" t="s">
        <v>6037</v>
      </c>
      <c r="C1010" s="1" t="s">
        <v>6038</v>
      </c>
      <c r="D1010" s="1" t="s">
        <v>6039</v>
      </c>
      <c r="E1010" s="1" t="s">
        <v>6040</v>
      </c>
      <c r="F1010" s="1" t="s">
        <v>6041</v>
      </c>
      <c r="G1010" s="1" t="s">
        <v>6042</v>
      </c>
      <c r="H1010" s="1" t="s">
        <v>6043</v>
      </c>
    </row>
    <row r="1011" spans="1:8" x14ac:dyDescent="0.3">
      <c r="A1011" s="2">
        <v>22117</v>
      </c>
      <c r="B1011" s="1" t="s">
        <v>6044</v>
      </c>
      <c r="C1011" s="1" t="s">
        <v>6045</v>
      </c>
      <c r="D1011" s="1" t="s">
        <v>6046</v>
      </c>
      <c r="E1011" s="1" t="s">
        <v>6047</v>
      </c>
      <c r="F1011" s="1" t="s">
        <v>6048</v>
      </c>
      <c r="G1011" s="1" t="s">
        <v>6049</v>
      </c>
      <c r="H1011" s="1" t="s">
        <v>6050</v>
      </c>
    </row>
    <row r="1012" spans="1:8" x14ac:dyDescent="0.3">
      <c r="A1012" s="2" t="s">
        <v>6051</v>
      </c>
      <c r="B1012" s="1" t="s">
        <v>6052</v>
      </c>
      <c r="C1012" s="1" t="s">
        <v>6053</v>
      </c>
      <c r="D1012" s="1" t="s">
        <v>6054</v>
      </c>
      <c r="E1012" s="1" t="s">
        <v>6055</v>
      </c>
      <c r="F1012" s="1" t="s">
        <v>6056</v>
      </c>
      <c r="G1012" s="1" t="s">
        <v>6057</v>
      </c>
      <c r="H1012" s="1" t="s">
        <v>6058</v>
      </c>
    </row>
    <row r="1013" spans="1:8" x14ac:dyDescent="0.3">
      <c r="A1013" s="2">
        <v>22118</v>
      </c>
      <c r="B1013" s="1" t="s">
        <v>6059</v>
      </c>
      <c r="C1013" s="1" t="s">
        <v>6060</v>
      </c>
      <c r="D1013" s="1" t="s">
        <v>6061</v>
      </c>
      <c r="E1013" s="1" t="s">
        <v>6062</v>
      </c>
      <c r="F1013" s="1" t="s">
        <v>6063</v>
      </c>
      <c r="G1013" s="1" t="s">
        <v>6064</v>
      </c>
      <c r="H1013" s="1" t="s">
        <v>6065</v>
      </c>
    </row>
    <row r="1014" spans="1:8" x14ac:dyDescent="0.3">
      <c r="A1014" s="2">
        <v>22119</v>
      </c>
      <c r="B1014" s="1" t="s">
        <v>6066</v>
      </c>
      <c r="C1014" s="1" t="s">
        <v>6067</v>
      </c>
      <c r="D1014" s="1" t="s">
        <v>6068</v>
      </c>
      <c r="E1014" s="1" t="s">
        <v>6069</v>
      </c>
      <c r="F1014" s="1" t="s">
        <v>6070</v>
      </c>
      <c r="G1014" s="1" t="s">
        <v>6071</v>
      </c>
      <c r="H1014" s="1" t="s">
        <v>6072</v>
      </c>
    </row>
    <row r="1015" spans="1:8" x14ac:dyDescent="0.3">
      <c r="A1015" s="2">
        <v>22120</v>
      </c>
      <c r="B1015" s="1" t="s">
        <v>6073</v>
      </c>
      <c r="C1015" s="1" t="s">
        <v>6074</v>
      </c>
      <c r="D1015" s="1" t="s">
        <v>6075</v>
      </c>
      <c r="E1015" s="1" t="s">
        <v>6076</v>
      </c>
      <c r="F1015" s="1" t="s">
        <v>6077</v>
      </c>
      <c r="G1015" s="1" t="s">
        <v>6078</v>
      </c>
      <c r="H1015" s="1" t="s">
        <v>6079</v>
      </c>
    </row>
    <row r="1016" spans="1:8" x14ac:dyDescent="0.3">
      <c r="A1016" s="2">
        <v>22121</v>
      </c>
      <c r="B1016" s="1" t="s">
        <v>6080</v>
      </c>
      <c r="C1016" s="1" t="s">
        <v>6081</v>
      </c>
      <c r="D1016" s="1" t="s">
        <v>6082</v>
      </c>
      <c r="E1016" s="1" t="s">
        <v>6083</v>
      </c>
      <c r="F1016" s="1" t="s">
        <v>6083</v>
      </c>
      <c r="G1016" s="1" t="s">
        <v>6084</v>
      </c>
      <c r="H1016" s="1" t="s">
        <v>6085</v>
      </c>
    </row>
    <row r="1017" spans="1:8" x14ac:dyDescent="0.3">
      <c r="A1017" s="2">
        <v>22122</v>
      </c>
      <c r="B1017" s="1" t="s">
        <v>6086</v>
      </c>
      <c r="C1017" s="1" t="s">
        <v>6087</v>
      </c>
      <c r="D1017" s="1" t="s">
        <v>6088</v>
      </c>
      <c r="E1017" s="1" t="s">
        <v>6089</v>
      </c>
      <c r="F1017" s="1" t="s">
        <v>6090</v>
      </c>
      <c r="G1017" s="1" t="s">
        <v>6091</v>
      </c>
      <c r="H1017" s="1" t="s">
        <v>6091</v>
      </c>
    </row>
    <row r="1018" spans="1:8" x14ac:dyDescent="0.3">
      <c r="A1018" s="2">
        <v>22123</v>
      </c>
      <c r="B1018" s="1" t="s">
        <v>6092</v>
      </c>
      <c r="C1018" s="1" t="s">
        <v>6093</v>
      </c>
      <c r="D1018" s="1" t="s">
        <v>6094</v>
      </c>
      <c r="E1018" s="1" t="s">
        <v>6095</v>
      </c>
      <c r="F1018" s="1" t="s">
        <v>6096</v>
      </c>
      <c r="G1018" s="1" t="s">
        <v>6097</v>
      </c>
      <c r="H1018" s="1" t="s">
        <v>6098</v>
      </c>
    </row>
    <row r="1019" spans="1:8" x14ac:dyDescent="0.3">
      <c r="A1019" s="2" t="s">
        <v>6099</v>
      </c>
      <c r="B1019" s="1" t="s">
        <v>6100</v>
      </c>
      <c r="C1019" s="1" t="s">
        <v>6101</v>
      </c>
      <c r="D1019" s="1" t="s">
        <v>6102</v>
      </c>
      <c r="E1019" s="1" t="s">
        <v>6100</v>
      </c>
      <c r="F1019" s="1" t="s">
        <v>6103</v>
      </c>
      <c r="G1019" s="1" t="s">
        <v>6104</v>
      </c>
      <c r="H1019" s="1" t="s">
        <v>6105</v>
      </c>
    </row>
    <row r="1020" spans="1:8" x14ac:dyDescent="0.3">
      <c r="A1020" s="2">
        <v>22124</v>
      </c>
      <c r="B1020" s="1" t="s">
        <v>6106</v>
      </c>
      <c r="C1020" s="1" t="s">
        <v>6107</v>
      </c>
      <c r="D1020" s="1" t="s">
        <v>6108</v>
      </c>
      <c r="E1020" s="1" t="s">
        <v>6109</v>
      </c>
      <c r="F1020" s="1" t="s">
        <v>6110</v>
      </c>
      <c r="G1020" s="1" t="s">
        <v>6111</v>
      </c>
      <c r="H1020" s="1" t="s">
        <v>6112</v>
      </c>
    </row>
    <row r="1021" spans="1:8" x14ac:dyDescent="0.3">
      <c r="A1021" s="2">
        <v>22125</v>
      </c>
      <c r="B1021" s="1" t="s">
        <v>6113</v>
      </c>
      <c r="C1021" s="1" t="s">
        <v>6114</v>
      </c>
      <c r="D1021" s="1" t="s">
        <v>6115</v>
      </c>
      <c r="E1021" s="1" t="s">
        <v>6116</v>
      </c>
      <c r="F1021" s="1" t="s">
        <v>6117</v>
      </c>
      <c r="G1021" s="1" t="s">
        <v>6118</v>
      </c>
      <c r="H1021" s="1" t="s">
        <v>6119</v>
      </c>
    </row>
    <row r="1022" spans="1:8" x14ac:dyDescent="0.3">
      <c r="A1022" s="2">
        <v>22126</v>
      </c>
      <c r="B1022" s="1" t="s">
        <v>6120</v>
      </c>
      <c r="C1022" s="1" t="s">
        <v>6121</v>
      </c>
      <c r="D1022" s="1" t="s">
        <v>6122</v>
      </c>
      <c r="E1022" s="1" t="s">
        <v>6123</v>
      </c>
      <c r="F1022" s="1" t="s">
        <v>6124</v>
      </c>
      <c r="G1022" s="1" t="s">
        <v>6125</v>
      </c>
      <c r="H1022" s="1" t="s">
        <v>6126</v>
      </c>
    </row>
    <row r="1023" spans="1:8" x14ac:dyDescent="0.3">
      <c r="A1023" s="2" t="s">
        <v>6127</v>
      </c>
      <c r="B1023" s="1" t="s">
        <v>6120</v>
      </c>
      <c r="C1023" s="1" t="s">
        <v>6121</v>
      </c>
      <c r="D1023" s="1" t="s">
        <v>6128</v>
      </c>
      <c r="E1023" s="1" t="s">
        <v>6129</v>
      </c>
      <c r="F1023" s="1" t="s">
        <v>6130</v>
      </c>
      <c r="G1023" s="1" t="s">
        <v>6131</v>
      </c>
      <c r="H1023" s="1" t="s">
        <v>6132</v>
      </c>
    </row>
    <row r="1024" spans="1:8" x14ac:dyDescent="0.3">
      <c r="A1024" s="2" t="s">
        <v>6133</v>
      </c>
      <c r="B1024" s="1" t="s">
        <v>6120</v>
      </c>
      <c r="C1024" s="1" t="s">
        <v>6134</v>
      </c>
      <c r="D1024" s="1" t="s">
        <v>6135</v>
      </c>
      <c r="E1024" s="1" t="s">
        <v>6136</v>
      </c>
      <c r="F1024" s="1" t="s">
        <v>6137</v>
      </c>
      <c r="G1024" s="1" t="s">
        <v>6138</v>
      </c>
      <c r="H1024" s="1" t="s">
        <v>6139</v>
      </c>
    </row>
    <row r="1025" spans="1:8" x14ac:dyDescent="0.3">
      <c r="A1025" s="2">
        <v>22127</v>
      </c>
      <c r="B1025" s="1" t="s">
        <v>6140</v>
      </c>
      <c r="C1025" s="1" t="s">
        <v>6141</v>
      </c>
      <c r="D1025" s="1" t="s">
        <v>6142</v>
      </c>
      <c r="E1025" s="1" t="s">
        <v>6143</v>
      </c>
      <c r="F1025" s="1" t="s">
        <v>6144</v>
      </c>
      <c r="G1025" s="1" t="s">
        <v>6145</v>
      </c>
      <c r="H1025" s="1" t="s">
        <v>6146</v>
      </c>
    </row>
    <row r="1026" spans="1:8" x14ac:dyDescent="0.3">
      <c r="A1026" s="2">
        <v>22128</v>
      </c>
      <c r="B1026" s="1" t="s">
        <v>6147</v>
      </c>
      <c r="C1026" s="1" t="s">
        <v>6148</v>
      </c>
      <c r="D1026" s="1" t="s">
        <v>6149</v>
      </c>
      <c r="E1026" s="1" t="s">
        <v>6150</v>
      </c>
      <c r="F1026" s="1" t="s">
        <v>6151</v>
      </c>
      <c r="G1026" s="1" t="s">
        <v>6149</v>
      </c>
      <c r="H1026" s="1" t="s">
        <v>6149</v>
      </c>
    </row>
    <row r="1027" spans="1:8" x14ac:dyDescent="0.3">
      <c r="A1027" s="2">
        <v>22129</v>
      </c>
      <c r="B1027" s="1" t="s">
        <v>6152</v>
      </c>
      <c r="C1027" s="1" t="s">
        <v>6153</v>
      </c>
      <c r="D1027" s="1" t="s">
        <v>6152</v>
      </c>
      <c r="E1027" s="1" t="s">
        <v>6152</v>
      </c>
      <c r="F1027" s="1" t="s">
        <v>6152</v>
      </c>
      <c r="G1027" s="1" t="s">
        <v>6154</v>
      </c>
      <c r="H1027" s="1" t="s">
        <v>6155</v>
      </c>
    </row>
    <row r="1028" spans="1:8" x14ac:dyDescent="0.3">
      <c r="A1028" s="2">
        <v>22130</v>
      </c>
      <c r="B1028" s="1" t="s">
        <v>6156</v>
      </c>
      <c r="C1028" s="1" t="s">
        <v>6157</v>
      </c>
      <c r="E1028" s="1" t="s">
        <v>6158</v>
      </c>
      <c r="F1028" s="1" t="s">
        <v>6159</v>
      </c>
      <c r="G1028" s="1" t="s">
        <v>6160</v>
      </c>
      <c r="H1028" s="1" t="s">
        <v>6161</v>
      </c>
    </row>
    <row r="1029" spans="1:8" x14ac:dyDescent="0.3">
      <c r="A1029" s="2">
        <v>22131</v>
      </c>
      <c r="B1029" s="1" t="s">
        <v>6162</v>
      </c>
      <c r="C1029" s="1" t="s">
        <v>6163</v>
      </c>
      <c r="D1029" s="1" t="s">
        <v>6164</v>
      </c>
      <c r="E1029" s="1" t="s">
        <v>6165</v>
      </c>
      <c r="F1029" s="1" t="s">
        <v>6166</v>
      </c>
      <c r="G1029" s="1" t="s">
        <v>6167</v>
      </c>
      <c r="H1029" s="1" t="s">
        <v>6168</v>
      </c>
    </row>
    <row r="1030" spans="1:8" x14ac:dyDescent="0.3">
      <c r="A1030" s="2">
        <v>22132</v>
      </c>
      <c r="B1030" s="1" t="s">
        <v>6169</v>
      </c>
      <c r="C1030" s="1" t="s">
        <v>6170</v>
      </c>
      <c r="D1030" s="1" t="s">
        <v>6171</v>
      </c>
      <c r="E1030" s="1" t="s">
        <v>6171</v>
      </c>
      <c r="F1030" s="1" t="s">
        <v>6172</v>
      </c>
      <c r="G1030" s="1" t="s">
        <v>6173</v>
      </c>
      <c r="H1030" s="1" t="s">
        <v>6174</v>
      </c>
    </row>
    <row r="1031" spans="1:8" x14ac:dyDescent="0.3">
      <c r="A1031" s="2">
        <v>22133</v>
      </c>
      <c r="B1031" s="1" t="s">
        <v>6175</v>
      </c>
      <c r="C1031" s="1" t="s">
        <v>6176</v>
      </c>
      <c r="D1031" s="1" t="s">
        <v>6177</v>
      </c>
      <c r="E1031" s="1" t="s">
        <v>6178</v>
      </c>
      <c r="F1031" s="1" t="s">
        <v>6179</v>
      </c>
      <c r="G1031" s="1" t="s">
        <v>6180</v>
      </c>
      <c r="H1031" s="1" t="s">
        <v>6181</v>
      </c>
    </row>
    <row r="1032" spans="1:8" x14ac:dyDescent="0.3">
      <c r="A1032" s="2">
        <v>22134</v>
      </c>
      <c r="B1032" s="1" t="s">
        <v>6182</v>
      </c>
      <c r="C1032" s="1" t="s">
        <v>6183</v>
      </c>
      <c r="D1032" s="1" t="s">
        <v>6184</v>
      </c>
      <c r="E1032" s="1" t="s">
        <v>6185</v>
      </c>
      <c r="F1032" s="1" t="s">
        <v>6186</v>
      </c>
      <c r="G1032" s="1" t="s">
        <v>6187</v>
      </c>
    </row>
    <row r="1033" spans="1:8" x14ac:dyDescent="0.3">
      <c r="A1033" s="2">
        <v>22135</v>
      </c>
      <c r="B1033" s="1" t="s">
        <v>6188</v>
      </c>
      <c r="C1033" s="1" t="s">
        <v>6189</v>
      </c>
      <c r="D1033" s="1" t="s">
        <v>6190</v>
      </c>
      <c r="E1033" s="1" t="s">
        <v>6191</v>
      </c>
      <c r="F1033" s="1" t="s">
        <v>6192</v>
      </c>
      <c r="G1033" s="1" t="s">
        <v>6193</v>
      </c>
      <c r="H1033" s="1" t="s">
        <v>6194</v>
      </c>
    </row>
    <row r="1034" spans="1:8" x14ac:dyDescent="0.3">
      <c r="A1034" s="2" t="s">
        <v>6195</v>
      </c>
      <c r="B1034" s="1" t="e">
        <f>-을</f>
        <v>#NAME?</v>
      </c>
      <c r="C1034" s="1" t="s">
        <v>6196</v>
      </c>
      <c r="E1034" s="1" t="s">
        <v>6197</v>
      </c>
      <c r="F1034" s="1" t="s">
        <v>6198</v>
      </c>
      <c r="G1034" s="1" t="s">
        <v>6199</v>
      </c>
      <c r="H1034" s="1" t="s">
        <v>6200</v>
      </c>
    </row>
    <row r="1035" spans="1:8" x14ac:dyDescent="0.3">
      <c r="A1035" s="2" t="s">
        <v>6201</v>
      </c>
      <c r="B1035" s="1" t="e">
        <f>-에</f>
        <v>#NAME?</v>
      </c>
      <c r="E1035" s="1" t="s">
        <v>6202</v>
      </c>
    </row>
    <row r="1036" spans="1:8" x14ac:dyDescent="0.3">
      <c r="A1036" s="2">
        <v>22136</v>
      </c>
      <c r="B1036" s="1" t="s">
        <v>6203</v>
      </c>
      <c r="C1036" s="1" t="s">
        <v>6204</v>
      </c>
      <c r="D1036" s="1" t="s">
        <v>6205</v>
      </c>
      <c r="E1036" s="1" t="s">
        <v>6206</v>
      </c>
      <c r="F1036" s="1" t="s">
        <v>6206</v>
      </c>
      <c r="G1036" s="1" t="s">
        <v>6206</v>
      </c>
      <c r="H1036" s="1" t="s">
        <v>6207</v>
      </c>
    </row>
    <row r="1037" spans="1:8" x14ac:dyDescent="0.3">
      <c r="A1037" s="2">
        <v>22201</v>
      </c>
      <c r="B1037" s="1" t="s">
        <v>6208</v>
      </c>
      <c r="C1037" s="1" t="s">
        <v>6209</v>
      </c>
      <c r="D1037" s="1" t="s">
        <v>6210</v>
      </c>
      <c r="E1037" s="1" t="s">
        <v>6211</v>
      </c>
      <c r="F1037" s="1" t="s">
        <v>6212</v>
      </c>
      <c r="G1037" s="1" t="s">
        <v>6213</v>
      </c>
      <c r="H1037" s="1" t="s">
        <v>6214</v>
      </c>
    </row>
    <row r="1038" spans="1:8" x14ac:dyDescent="0.3">
      <c r="A1038" s="2" t="s">
        <v>6215</v>
      </c>
      <c r="B1038" s="1" t="e">
        <f>-을</f>
        <v>#NAME?</v>
      </c>
      <c r="C1038" s="1" t="s">
        <v>6216</v>
      </c>
      <c r="D1038" s="1" t="s">
        <v>6217</v>
      </c>
      <c r="E1038" s="1" t="s">
        <v>6218</v>
      </c>
      <c r="F1038" s="1" t="s">
        <v>6219</v>
      </c>
      <c r="G1038" s="1" t="s">
        <v>6220</v>
      </c>
      <c r="H1038" s="1" t="s">
        <v>6221</v>
      </c>
    </row>
    <row r="1039" spans="1:8" x14ac:dyDescent="0.3">
      <c r="A1039" s="2">
        <v>22202</v>
      </c>
      <c r="B1039" s="1" t="s">
        <v>6222</v>
      </c>
      <c r="C1039" s="1" t="s">
        <v>6223</v>
      </c>
      <c r="D1039" s="1" t="s">
        <v>6224</v>
      </c>
      <c r="E1039" s="1" t="s">
        <v>6225</v>
      </c>
      <c r="F1039" s="1" t="s">
        <v>6226</v>
      </c>
      <c r="G1039" s="1" t="s">
        <v>6227</v>
      </c>
      <c r="H1039" s="1" t="s">
        <v>6228</v>
      </c>
    </row>
    <row r="1040" spans="1:8" x14ac:dyDescent="0.3">
      <c r="A1040" s="2">
        <v>22203</v>
      </c>
      <c r="B1040" s="1" t="s">
        <v>6229</v>
      </c>
      <c r="C1040" s="1" t="s">
        <v>6230</v>
      </c>
      <c r="D1040" s="1" t="s">
        <v>6231</v>
      </c>
      <c r="E1040" s="1" t="s">
        <v>6232</v>
      </c>
      <c r="F1040" s="1" t="s">
        <v>6233</v>
      </c>
      <c r="G1040" s="1" t="s">
        <v>6234</v>
      </c>
      <c r="H1040" s="1" t="s">
        <v>6235</v>
      </c>
    </row>
    <row r="1041" spans="1:8" x14ac:dyDescent="0.3">
      <c r="A1041" s="2">
        <v>22204</v>
      </c>
      <c r="B1041" s="1" t="s">
        <v>6236</v>
      </c>
      <c r="C1041" s="1" t="s">
        <v>6237</v>
      </c>
      <c r="D1041" s="1" t="s">
        <v>6238</v>
      </c>
      <c r="E1041" s="1" t="s">
        <v>6239</v>
      </c>
      <c r="F1041" s="1" t="s">
        <v>6240</v>
      </c>
      <c r="G1041" s="1" t="s">
        <v>6241</v>
      </c>
      <c r="H1041" s="1" t="s">
        <v>6242</v>
      </c>
    </row>
    <row r="1042" spans="1:8" x14ac:dyDescent="0.3">
      <c r="A1042" s="2">
        <v>22205</v>
      </c>
      <c r="B1042" s="1" t="s">
        <v>6243</v>
      </c>
      <c r="C1042" s="1" t="s">
        <v>6244</v>
      </c>
      <c r="D1042" s="1" t="s">
        <v>6245</v>
      </c>
      <c r="E1042" s="1" t="s">
        <v>6246</v>
      </c>
      <c r="F1042" s="1" t="s">
        <v>6247</v>
      </c>
      <c r="G1042" s="1" t="s">
        <v>6248</v>
      </c>
      <c r="H1042" s="1" t="s">
        <v>6249</v>
      </c>
    </row>
    <row r="1043" spans="1:8" x14ac:dyDescent="0.3">
      <c r="A1043" s="2">
        <v>22206</v>
      </c>
      <c r="B1043" s="1" t="s">
        <v>6250</v>
      </c>
      <c r="C1043" s="1" t="s">
        <v>6251</v>
      </c>
      <c r="D1043" s="1" t="s">
        <v>6252</v>
      </c>
      <c r="E1043" s="1" t="s">
        <v>6253</v>
      </c>
      <c r="F1043" s="1" t="s">
        <v>6254</v>
      </c>
      <c r="G1043" s="1" t="s">
        <v>6255</v>
      </c>
      <c r="H1043" s="1" t="s">
        <v>6256</v>
      </c>
    </row>
    <row r="1044" spans="1:8" x14ac:dyDescent="0.3">
      <c r="A1044" s="2">
        <v>22207</v>
      </c>
      <c r="B1044" s="1" t="s">
        <v>6257</v>
      </c>
      <c r="C1044" s="1" t="s">
        <v>6258</v>
      </c>
      <c r="D1044" s="1" t="s">
        <v>6259</v>
      </c>
      <c r="E1044" s="1" t="s">
        <v>6260</v>
      </c>
      <c r="F1044" s="1" t="s">
        <v>6261</v>
      </c>
      <c r="G1044" s="1" t="s">
        <v>6261</v>
      </c>
      <c r="H1044" s="1" t="s">
        <v>6262</v>
      </c>
    </row>
    <row r="1045" spans="1:8" x14ac:dyDescent="0.3">
      <c r="A1045" s="2">
        <v>22208</v>
      </c>
      <c r="B1045" s="1" t="s">
        <v>6263</v>
      </c>
      <c r="C1045" s="1" t="s">
        <v>6264</v>
      </c>
      <c r="D1045" s="1" t="s">
        <v>6265</v>
      </c>
      <c r="E1045" s="1" t="s">
        <v>6266</v>
      </c>
      <c r="F1045" s="1" t="s">
        <v>6267</v>
      </c>
      <c r="G1045" s="1" t="s">
        <v>6268</v>
      </c>
      <c r="H1045" s="1" t="s">
        <v>6267</v>
      </c>
    </row>
    <row r="1046" spans="1:8" x14ac:dyDescent="0.3">
      <c r="A1046" s="2">
        <v>22209</v>
      </c>
      <c r="B1046" s="1" t="s">
        <v>6269</v>
      </c>
      <c r="C1046" s="1" t="s">
        <v>6270</v>
      </c>
      <c r="D1046" s="1" t="s">
        <v>6271</v>
      </c>
      <c r="E1046" s="1" t="s">
        <v>6272</v>
      </c>
      <c r="F1046" s="1" t="s">
        <v>6273</v>
      </c>
      <c r="G1046" s="1" t="s">
        <v>6274</v>
      </c>
      <c r="H1046" s="1" t="s">
        <v>6275</v>
      </c>
    </row>
    <row r="1047" spans="1:8" x14ac:dyDescent="0.3">
      <c r="A1047" s="2" t="s">
        <v>6276</v>
      </c>
      <c r="B1047" s="1" t="s">
        <v>6277</v>
      </c>
      <c r="C1047" s="1" t="s">
        <v>57</v>
      </c>
      <c r="D1047" s="1" t="s">
        <v>6278</v>
      </c>
      <c r="E1047" s="1" t="s">
        <v>6279</v>
      </c>
      <c r="G1047" s="1" t="s">
        <v>6280</v>
      </c>
      <c r="H1047" s="1" t="s">
        <v>6281</v>
      </c>
    </row>
    <row r="1048" spans="1:8" x14ac:dyDescent="0.3">
      <c r="A1048" s="2">
        <v>22210</v>
      </c>
      <c r="B1048" s="1" t="s">
        <v>6282</v>
      </c>
      <c r="C1048" s="1" t="s">
        <v>6283</v>
      </c>
      <c r="D1048" s="1" t="s">
        <v>6284</v>
      </c>
      <c r="E1048" s="1" t="s">
        <v>6285</v>
      </c>
      <c r="F1048" s="1" t="s">
        <v>6286</v>
      </c>
      <c r="G1048" s="1" t="s">
        <v>6287</v>
      </c>
      <c r="H1048" s="1" t="s">
        <v>6288</v>
      </c>
    </row>
    <row r="1049" spans="1:8" x14ac:dyDescent="0.3">
      <c r="A1049" s="2">
        <v>22211</v>
      </c>
      <c r="B1049" s="1" t="s">
        <v>6289</v>
      </c>
      <c r="C1049" s="1" t="s">
        <v>6290</v>
      </c>
      <c r="D1049" s="1" t="s">
        <v>6291</v>
      </c>
      <c r="E1049" s="1" t="s">
        <v>6292</v>
      </c>
      <c r="F1049" s="1" t="s">
        <v>6293</v>
      </c>
      <c r="G1049" s="1" t="s">
        <v>6294</v>
      </c>
      <c r="H1049" s="1" t="s">
        <v>6295</v>
      </c>
    </row>
    <row r="1050" spans="1:8" x14ac:dyDescent="0.3">
      <c r="A1050" s="2">
        <v>22212</v>
      </c>
      <c r="B1050" s="1" t="s">
        <v>6296</v>
      </c>
      <c r="C1050" s="1" t="s">
        <v>6297</v>
      </c>
      <c r="D1050" s="1" t="s">
        <v>6298</v>
      </c>
      <c r="E1050" s="1" t="s">
        <v>6299</v>
      </c>
      <c r="F1050" s="1" t="s">
        <v>6300</v>
      </c>
      <c r="G1050" s="1" t="s">
        <v>6301</v>
      </c>
      <c r="H1050" s="1" t="s">
        <v>6302</v>
      </c>
    </row>
    <row r="1051" spans="1:8" x14ac:dyDescent="0.3">
      <c r="A1051" s="2">
        <v>22213</v>
      </c>
      <c r="B1051" s="1" t="s">
        <v>6303</v>
      </c>
      <c r="C1051" s="1" t="s">
        <v>6304</v>
      </c>
      <c r="D1051" s="1" t="s">
        <v>6305</v>
      </c>
      <c r="E1051" s="1" t="s">
        <v>6306</v>
      </c>
      <c r="F1051" s="1" t="s">
        <v>6307</v>
      </c>
      <c r="G1051" s="1" t="s">
        <v>6308</v>
      </c>
      <c r="H1051" s="1" t="s">
        <v>6309</v>
      </c>
    </row>
    <row r="1052" spans="1:8" x14ac:dyDescent="0.3">
      <c r="A1052" s="2">
        <v>22214</v>
      </c>
      <c r="B1052" s="1" t="s">
        <v>6310</v>
      </c>
      <c r="C1052" s="1" t="s">
        <v>6311</v>
      </c>
      <c r="D1052" s="1" t="s">
        <v>6312</v>
      </c>
      <c r="E1052" s="1" t="s">
        <v>6312</v>
      </c>
      <c r="F1052" s="1" t="s">
        <v>6313</v>
      </c>
      <c r="G1052" s="1" t="s">
        <v>6312</v>
      </c>
      <c r="H1052" s="1" t="s">
        <v>6314</v>
      </c>
    </row>
    <row r="1053" spans="1:8" x14ac:dyDescent="0.3">
      <c r="A1053" s="2">
        <v>22215</v>
      </c>
      <c r="B1053" s="1" t="s">
        <v>6315</v>
      </c>
      <c r="C1053" s="1" t="s">
        <v>6316</v>
      </c>
      <c r="D1053" s="1" t="s">
        <v>6317</v>
      </c>
      <c r="E1053" s="1" t="s">
        <v>6318</v>
      </c>
      <c r="F1053" s="1" t="s">
        <v>6319</v>
      </c>
      <c r="G1053" s="1" t="s">
        <v>6320</v>
      </c>
      <c r="H1053" s="1" t="s">
        <v>6321</v>
      </c>
    </row>
    <row r="1054" spans="1:8" x14ac:dyDescent="0.3">
      <c r="A1054" s="2">
        <v>22216</v>
      </c>
      <c r="B1054" s="1" t="s">
        <v>6322</v>
      </c>
      <c r="C1054" s="1" t="s">
        <v>6323</v>
      </c>
      <c r="D1054" s="1" t="s">
        <v>6324</v>
      </c>
      <c r="E1054" s="1" t="s">
        <v>6325</v>
      </c>
      <c r="F1054" s="1" t="s">
        <v>6326</v>
      </c>
      <c r="G1054" s="1" t="s">
        <v>6327</v>
      </c>
      <c r="H1054" s="1" t="s">
        <v>6328</v>
      </c>
    </row>
    <row r="1055" spans="1:8" x14ac:dyDescent="0.3">
      <c r="A1055" s="2" t="s">
        <v>6329</v>
      </c>
      <c r="B1055" s="1" t="s">
        <v>6330</v>
      </c>
      <c r="C1055" s="1" t="s">
        <v>6331</v>
      </c>
      <c r="D1055" s="1" t="s">
        <v>6332</v>
      </c>
      <c r="E1055" s="1" t="s">
        <v>6333</v>
      </c>
      <c r="F1055" s="1" t="s">
        <v>6334</v>
      </c>
      <c r="G1055" s="1" t="s">
        <v>6335</v>
      </c>
      <c r="H1055" s="1" t="s">
        <v>6336</v>
      </c>
    </row>
    <row r="1056" spans="1:8" x14ac:dyDescent="0.3">
      <c r="A1056" s="2">
        <v>22217</v>
      </c>
      <c r="B1056" s="1" t="s">
        <v>6337</v>
      </c>
      <c r="C1056" s="1" t="s">
        <v>6338</v>
      </c>
      <c r="D1056" s="1" t="s">
        <v>6339</v>
      </c>
      <c r="E1056" s="1" t="s">
        <v>6340</v>
      </c>
      <c r="F1056" s="1" t="s">
        <v>6341</v>
      </c>
      <c r="G1056" s="1" t="s">
        <v>6342</v>
      </c>
      <c r="H1056" s="1" t="s">
        <v>6343</v>
      </c>
    </row>
    <row r="1057" spans="1:8" x14ac:dyDescent="0.3">
      <c r="A1057" s="2">
        <v>22218</v>
      </c>
      <c r="B1057" s="1" t="s">
        <v>6344</v>
      </c>
      <c r="C1057" s="1" t="s">
        <v>6345</v>
      </c>
      <c r="D1057" s="1" t="s">
        <v>6346</v>
      </c>
      <c r="E1057" s="1" t="s">
        <v>6347</v>
      </c>
      <c r="F1057" s="1" t="s">
        <v>6348</v>
      </c>
      <c r="G1057" s="1" t="s">
        <v>6349</v>
      </c>
      <c r="H1057" s="1" t="s">
        <v>6350</v>
      </c>
    </row>
    <row r="1058" spans="1:8" x14ac:dyDescent="0.3">
      <c r="A1058" s="2">
        <v>22219</v>
      </c>
      <c r="B1058" s="1" t="s">
        <v>6351</v>
      </c>
      <c r="C1058" s="1" t="s">
        <v>6352</v>
      </c>
      <c r="D1058" s="1" t="s">
        <v>6353</v>
      </c>
      <c r="E1058" s="1" t="s">
        <v>6354</v>
      </c>
      <c r="F1058" s="1" t="s">
        <v>6354</v>
      </c>
      <c r="G1058" s="1" t="s">
        <v>6355</v>
      </c>
      <c r="H1058" s="1" t="s">
        <v>6354</v>
      </c>
    </row>
    <row r="1059" spans="1:8" x14ac:dyDescent="0.3">
      <c r="A1059" s="2">
        <v>22220</v>
      </c>
      <c r="B1059" s="1" t="s">
        <v>6356</v>
      </c>
      <c r="C1059" s="1" t="s">
        <v>6357</v>
      </c>
      <c r="D1059" s="1" t="s">
        <v>6358</v>
      </c>
      <c r="E1059" s="1" t="s">
        <v>6356</v>
      </c>
      <c r="F1059" s="1" t="s">
        <v>6359</v>
      </c>
      <c r="G1059" s="1" t="s">
        <v>6360</v>
      </c>
      <c r="H1059" s="1" t="s">
        <v>6361</v>
      </c>
    </row>
    <row r="1060" spans="1:8" x14ac:dyDescent="0.3">
      <c r="A1060" s="2" t="s">
        <v>6362</v>
      </c>
      <c r="B1060" s="1" t="s">
        <v>6363</v>
      </c>
      <c r="C1060" s="1" t="s">
        <v>6364</v>
      </c>
      <c r="D1060" s="1" t="s">
        <v>6365</v>
      </c>
      <c r="E1060" s="1" t="s">
        <v>6366</v>
      </c>
      <c r="F1060" s="1" t="s">
        <v>6367</v>
      </c>
      <c r="G1060" s="1" t="s">
        <v>6368</v>
      </c>
      <c r="H1060" s="1" t="s">
        <v>6369</v>
      </c>
    </row>
    <row r="1061" spans="1:8" x14ac:dyDescent="0.3">
      <c r="A1061" s="2">
        <v>22221</v>
      </c>
      <c r="B1061" s="1" t="s">
        <v>6370</v>
      </c>
      <c r="C1061" s="1" t="s">
        <v>6371</v>
      </c>
      <c r="D1061" s="1" t="s">
        <v>6372</v>
      </c>
      <c r="E1061" s="1" t="s">
        <v>6373</v>
      </c>
      <c r="F1061" s="1" t="s">
        <v>6374</v>
      </c>
      <c r="G1061" s="1" t="s">
        <v>6375</v>
      </c>
      <c r="H1061" s="1" t="s">
        <v>6376</v>
      </c>
    </row>
    <row r="1062" spans="1:8" x14ac:dyDescent="0.3">
      <c r="A1062" s="2">
        <v>22222</v>
      </c>
      <c r="B1062" s="1" t="s">
        <v>6377</v>
      </c>
      <c r="C1062" s="1" t="s">
        <v>6378</v>
      </c>
      <c r="D1062" s="1" t="s">
        <v>6379</v>
      </c>
      <c r="E1062" s="1" t="s">
        <v>6380</v>
      </c>
      <c r="F1062" s="1" t="s">
        <v>6381</v>
      </c>
      <c r="G1062" s="1" t="s">
        <v>6382</v>
      </c>
      <c r="H1062" s="1" t="s">
        <v>6383</v>
      </c>
    </row>
    <row r="1063" spans="1:8" x14ac:dyDescent="0.3">
      <c r="A1063" s="2">
        <v>22223</v>
      </c>
      <c r="B1063" s="1" t="s">
        <v>6384</v>
      </c>
      <c r="C1063" s="1" t="s">
        <v>6385</v>
      </c>
      <c r="D1063" s="1" t="s">
        <v>6386</v>
      </c>
      <c r="E1063" s="1" t="s">
        <v>6387</v>
      </c>
      <c r="F1063" s="1" t="s">
        <v>6388</v>
      </c>
      <c r="G1063" s="1" t="s">
        <v>6389</v>
      </c>
      <c r="H1063" s="1" t="s">
        <v>6390</v>
      </c>
    </row>
    <row r="1064" spans="1:8" x14ac:dyDescent="0.3">
      <c r="A1064" s="2">
        <v>22224</v>
      </c>
      <c r="B1064" s="1" t="s">
        <v>6391</v>
      </c>
      <c r="C1064" s="1" t="s">
        <v>6392</v>
      </c>
      <c r="D1064" s="1" t="s">
        <v>6393</v>
      </c>
      <c r="E1064" s="1" t="s">
        <v>6394</v>
      </c>
      <c r="F1064" s="1" t="s">
        <v>6395</v>
      </c>
      <c r="G1064" s="1" t="s">
        <v>6391</v>
      </c>
      <c r="H1064" s="1" t="s">
        <v>6396</v>
      </c>
    </row>
    <row r="1065" spans="1:8" x14ac:dyDescent="0.3">
      <c r="A1065" s="2">
        <v>22225</v>
      </c>
      <c r="B1065" s="1" t="s">
        <v>6397</v>
      </c>
      <c r="C1065" s="1" t="s">
        <v>6398</v>
      </c>
      <c r="D1065" s="1" t="s">
        <v>6399</v>
      </c>
      <c r="E1065" s="1" t="s">
        <v>6400</v>
      </c>
      <c r="F1065" s="1" t="s">
        <v>6401</v>
      </c>
      <c r="G1065" s="1" t="s">
        <v>6402</v>
      </c>
      <c r="H1065" s="1" t="s">
        <v>6403</v>
      </c>
    </row>
    <row r="1066" spans="1:8" x14ac:dyDescent="0.3">
      <c r="A1066" s="2">
        <v>22226</v>
      </c>
      <c r="B1066" s="1" t="s">
        <v>6404</v>
      </c>
      <c r="C1066" s="1" t="s">
        <v>6405</v>
      </c>
      <c r="D1066" s="1" t="s">
        <v>6406</v>
      </c>
      <c r="E1066" s="1" t="s">
        <v>6404</v>
      </c>
      <c r="F1066" s="1" t="s">
        <v>6407</v>
      </c>
      <c r="G1066" s="1" t="s">
        <v>6408</v>
      </c>
      <c r="H1066" s="1" t="s">
        <v>6404</v>
      </c>
    </row>
    <row r="1067" spans="1:8" x14ac:dyDescent="0.3">
      <c r="A1067" s="2">
        <v>22227</v>
      </c>
      <c r="B1067" s="1" t="s">
        <v>6409</v>
      </c>
      <c r="C1067" s="1" t="s">
        <v>6410</v>
      </c>
      <c r="D1067" s="1" t="s">
        <v>6411</v>
      </c>
      <c r="E1067" s="1" t="s">
        <v>6412</v>
      </c>
      <c r="F1067" s="1" t="s">
        <v>6412</v>
      </c>
      <c r="G1067" s="1" t="s">
        <v>6413</v>
      </c>
      <c r="H1067" s="1" t="s">
        <v>6414</v>
      </c>
    </row>
    <row r="1068" spans="1:8" x14ac:dyDescent="0.3">
      <c r="A1068" s="2">
        <v>22228</v>
      </c>
      <c r="B1068" s="1" t="s">
        <v>6415</v>
      </c>
      <c r="C1068" s="1" t="s">
        <v>6416</v>
      </c>
      <c r="D1068" s="1" t="s">
        <v>6415</v>
      </c>
      <c r="E1068" s="1" t="s">
        <v>6415</v>
      </c>
      <c r="F1068" s="1" t="s">
        <v>6415</v>
      </c>
      <c r="G1068" s="1" t="s">
        <v>6415</v>
      </c>
      <c r="H1068" s="1" t="s">
        <v>6417</v>
      </c>
    </row>
    <row r="1069" spans="1:8" x14ac:dyDescent="0.3">
      <c r="A1069" s="2">
        <v>22229</v>
      </c>
      <c r="B1069" s="1" t="s">
        <v>6418</v>
      </c>
      <c r="C1069" s="1" t="s">
        <v>6419</v>
      </c>
      <c r="D1069" s="1" t="s">
        <v>6420</v>
      </c>
      <c r="E1069" s="1" t="s">
        <v>6421</v>
      </c>
      <c r="F1069" s="1" t="s">
        <v>6422</v>
      </c>
      <c r="G1069" s="1" t="s">
        <v>6423</v>
      </c>
      <c r="H1069" s="1" t="s">
        <v>6424</v>
      </c>
    </row>
    <row r="1070" spans="1:8" x14ac:dyDescent="0.3">
      <c r="A1070" s="2">
        <v>22230</v>
      </c>
      <c r="B1070" s="1" t="s">
        <v>6425</v>
      </c>
      <c r="C1070" s="1" t="s">
        <v>6426</v>
      </c>
      <c r="D1070" s="1" t="s">
        <v>6427</v>
      </c>
      <c r="E1070" s="1" t="s">
        <v>6428</v>
      </c>
      <c r="F1070" s="1" t="s">
        <v>6429</v>
      </c>
      <c r="G1070" s="1" t="s">
        <v>6430</v>
      </c>
    </row>
    <row r="1071" spans="1:8" x14ac:dyDescent="0.3">
      <c r="A1071" s="2">
        <v>22231</v>
      </c>
      <c r="B1071" s="1" t="s">
        <v>6431</v>
      </c>
      <c r="C1071" s="1" t="s">
        <v>6432</v>
      </c>
      <c r="D1071" s="1" t="s">
        <v>6433</v>
      </c>
      <c r="E1071" s="1" t="s">
        <v>6434</v>
      </c>
      <c r="F1071" s="1" t="s">
        <v>6433</v>
      </c>
      <c r="G1071" s="1" t="s">
        <v>6435</v>
      </c>
      <c r="H1071" s="1" t="s">
        <v>6436</v>
      </c>
    </row>
    <row r="1072" spans="1:8" x14ac:dyDescent="0.3">
      <c r="A1072" s="2">
        <v>22232</v>
      </c>
      <c r="B1072" s="1" t="s">
        <v>6437</v>
      </c>
      <c r="C1072" s="1" t="s">
        <v>6438</v>
      </c>
      <c r="D1072" s="1" t="s">
        <v>6437</v>
      </c>
      <c r="E1072" s="1" t="s">
        <v>6437</v>
      </c>
      <c r="F1072" s="1" t="s">
        <v>6439</v>
      </c>
      <c r="G1072" s="1" t="s">
        <v>6437</v>
      </c>
      <c r="H1072" s="1" t="s">
        <v>6440</v>
      </c>
    </row>
    <row r="1073" spans="1:8" x14ac:dyDescent="0.3">
      <c r="A1073" s="2">
        <v>22233</v>
      </c>
      <c r="B1073" s="1" t="s">
        <v>6441</v>
      </c>
      <c r="C1073" s="1" t="s">
        <v>6442</v>
      </c>
      <c r="D1073" s="1" t="s">
        <v>6443</v>
      </c>
      <c r="E1073" s="1" t="s">
        <v>6444</v>
      </c>
      <c r="F1073" s="1" t="s">
        <v>6445</v>
      </c>
      <c r="G1073" s="1" t="s">
        <v>6445</v>
      </c>
      <c r="H1073" s="1" t="s">
        <v>6446</v>
      </c>
    </row>
    <row r="1074" spans="1:8" x14ac:dyDescent="0.3">
      <c r="A1074" s="2">
        <v>22234</v>
      </c>
      <c r="B1074" s="1" t="s">
        <v>6447</v>
      </c>
      <c r="C1074" s="1" t="s">
        <v>6448</v>
      </c>
      <c r="D1074" s="1" t="s">
        <v>6449</v>
      </c>
      <c r="E1074" s="1" t="s">
        <v>6450</v>
      </c>
      <c r="F1074" s="1" t="s">
        <v>6451</v>
      </c>
      <c r="G1074" s="1" t="s">
        <v>6452</v>
      </c>
      <c r="H1074" s="1" t="s">
        <v>6453</v>
      </c>
    </row>
    <row r="1075" spans="1:8" x14ac:dyDescent="0.3">
      <c r="A1075" s="2">
        <v>22235</v>
      </c>
      <c r="B1075" s="1" t="s">
        <v>6454</v>
      </c>
      <c r="C1075" s="1" t="s">
        <v>6455</v>
      </c>
      <c r="D1075" s="1" t="s">
        <v>6456</v>
      </c>
      <c r="E1075" s="1" t="s">
        <v>6457</v>
      </c>
      <c r="F1075" s="1" t="s">
        <v>6458</v>
      </c>
      <c r="G1075" s="1" t="s">
        <v>6459</v>
      </c>
      <c r="H1075" s="1" t="s">
        <v>6460</v>
      </c>
    </row>
    <row r="1076" spans="1:8" x14ac:dyDescent="0.3">
      <c r="A1076" s="2">
        <v>22236</v>
      </c>
      <c r="B1076" s="1" t="s">
        <v>6461</v>
      </c>
      <c r="C1076" s="1" t="s">
        <v>6462</v>
      </c>
      <c r="D1076" s="1" t="s">
        <v>6463</v>
      </c>
      <c r="E1076" s="1" t="s">
        <v>6463</v>
      </c>
      <c r="F1076" s="1" t="s">
        <v>6464</v>
      </c>
      <c r="G1076" s="1" t="s">
        <v>6463</v>
      </c>
      <c r="H1076" s="1" t="s">
        <v>6465</v>
      </c>
    </row>
    <row r="1077" spans="1:8" x14ac:dyDescent="0.3">
      <c r="A1077" s="2">
        <v>22237</v>
      </c>
      <c r="B1077" s="1" t="s">
        <v>6466</v>
      </c>
      <c r="C1077" s="1" t="s">
        <v>6467</v>
      </c>
      <c r="D1077" s="1" t="s">
        <v>6468</v>
      </c>
      <c r="E1077" s="1" t="s">
        <v>6469</v>
      </c>
      <c r="F1077" s="1" t="s">
        <v>6470</v>
      </c>
      <c r="G1077" s="1" t="s">
        <v>6471</v>
      </c>
      <c r="H1077" s="1" t="s">
        <v>6472</v>
      </c>
    </row>
    <row r="1078" spans="1:8" x14ac:dyDescent="0.3">
      <c r="A1078" s="2">
        <v>22238</v>
      </c>
      <c r="B1078" s="1" t="s">
        <v>6473</v>
      </c>
      <c r="C1078" s="1" t="s">
        <v>6474</v>
      </c>
      <c r="D1078" s="1" t="s">
        <v>6475</v>
      </c>
      <c r="E1078" s="1" t="s">
        <v>6475</v>
      </c>
      <c r="F1078" s="1" t="s">
        <v>6476</v>
      </c>
      <c r="G1078" s="1" t="s">
        <v>6477</v>
      </c>
      <c r="H1078" s="1" t="s">
        <v>6478</v>
      </c>
    </row>
    <row r="1079" spans="1:8" x14ac:dyDescent="0.3">
      <c r="A1079" s="2">
        <v>22239</v>
      </c>
      <c r="B1079" s="1" t="s">
        <v>6479</v>
      </c>
      <c r="C1079" s="1" t="s">
        <v>6480</v>
      </c>
      <c r="D1079" s="1" t="s">
        <v>6481</v>
      </c>
      <c r="E1079" s="1" t="s">
        <v>6482</v>
      </c>
      <c r="F1079" s="1" t="s">
        <v>6483</v>
      </c>
      <c r="G1079" s="1" t="s">
        <v>6484</v>
      </c>
      <c r="H1079" s="1" t="s">
        <v>6485</v>
      </c>
    </row>
    <row r="1080" spans="1:8" x14ac:dyDescent="0.3">
      <c r="A1080" s="2">
        <v>22240</v>
      </c>
      <c r="B1080" s="1" t="s">
        <v>6486</v>
      </c>
      <c r="C1080" s="1" t="s">
        <v>6487</v>
      </c>
      <c r="D1080" s="1" t="s">
        <v>6488</v>
      </c>
      <c r="E1080" s="1" t="s">
        <v>6489</v>
      </c>
      <c r="F1080" s="1" t="s">
        <v>6490</v>
      </c>
      <c r="G1080" s="1" t="s">
        <v>6486</v>
      </c>
      <c r="H1080" s="1" t="s">
        <v>6491</v>
      </c>
    </row>
    <row r="1081" spans="1:8" x14ac:dyDescent="0.3">
      <c r="A1081" s="2">
        <v>22241</v>
      </c>
      <c r="B1081" s="1" t="s">
        <v>6492</v>
      </c>
      <c r="C1081" s="1" t="s">
        <v>6493</v>
      </c>
      <c r="D1081" s="1" t="s">
        <v>6494</v>
      </c>
      <c r="E1081" s="1" t="s">
        <v>6495</v>
      </c>
      <c r="F1081" s="1" t="s">
        <v>6496</v>
      </c>
      <c r="G1081" s="1" t="s">
        <v>6497</v>
      </c>
      <c r="H1081" s="1" t="s">
        <v>6498</v>
      </c>
    </row>
    <row r="1082" spans="1:8" x14ac:dyDescent="0.3">
      <c r="A1082" s="2" t="s">
        <v>6499</v>
      </c>
      <c r="B1082" s="1" t="s">
        <v>6500</v>
      </c>
      <c r="C1082" s="1" t="s">
        <v>6501</v>
      </c>
      <c r="D1082" s="1" t="s">
        <v>6502</v>
      </c>
      <c r="E1082" s="1" t="s">
        <v>57</v>
      </c>
      <c r="F1082" s="1" t="s">
        <v>57</v>
      </c>
      <c r="G1082" s="1" t="s">
        <v>6503</v>
      </c>
      <c r="H1082" s="1" t="s">
        <v>57</v>
      </c>
    </row>
    <row r="1083" spans="1:8" x14ac:dyDescent="0.3">
      <c r="A1083" s="2" t="s">
        <v>6504</v>
      </c>
      <c r="B1083" s="1" t="s">
        <v>6505</v>
      </c>
      <c r="C1083" s="1" t="s">
        <v>6506</v>
      </c>
      <c r="D1083" s="1" t="s">
        <v>6507</v>
      </c>
      <c r="E1083" s="1" t="s">
        <v>6508</v>
      </c>
      <c r="F1083" s="1" t="s">
        <v>57</v>
      </c>
      <c r="G1083" s="1" t="s">
        <v>6509</v>
      </c>
      <c r="H1083" s="1" t="s">
        <v>6505</v>
      </c>
    </row>
    <row r="1084" spans="1:8" x14ac:dyDescent="0.3">
      <c r="A1084" s="2">
        <v>22242</v>
      </c>
      <c r="B1084" s="1" t="s">
        <v>6510</v>
      </c>
      <c r="C1084" s="1" t="s">
        <v>6511</v>
      </c>
      <c r="D1084" s="1" t="s">
        <v>6512</v>
      </c>
      <c r="E1084" s="1" t="s">
        <v>6513</v>
      </c>
      <c r="F1084" s="1" t="s">
        <v>6514</v>
      </c>
      <c r="G1084" s="1" t="s">
        <v>6515</v>
      </c>
      <c r="H1084" s="1" t="s">
        <v>6516</v>
      </c>
    </row>
    <row r="1085" spans="1:8" x14ac:dyDescent="0.3">
      <c r="A1085" s="2">
        <v>22243</v>
      </c>
      <c r="B1085" s="1" t="s">
        <v>6517</v>
      </c>
      <c r="C1085" s="1" t="s">
        <v>6518</v>
      </c>
      <c r="D1085" s="1" t="s">
        <v>57</v>
      </c>
      <c r="E1085" s="1" t="s">
        <v>57</v>
      </c>
      <c r="F1085" s="1" t="s">
        <v>6519</v>
      </c>
      <c r="G1085" s="1" t="s">
        <v>6520</v>
      </c>
      <c r="H1085" s="1" t="s">
        <v>6521</v>
      </c>
    </row>
    <row r="1086" spans="1:8" x14ac:dyDescent="0.3">
      <c r="A1086" s="2">
        <v>22244</v>
      </c>
      <c r="B1086" s="1" t="s">
        <v>6522</v>
      </c>
      <c r="C1086" s="1" t="s">
        <v>6523</v>
      </c>
      <c r="D1086" s="1" t="s">
        <v>6524</v>
      </c>
      <c r="E1086" s="1" t="s">
        <v>6525</v>
      </c>
      <c r="F1086" s="1" t="s">
        <v>57</v>
      </c>
      <c r="G1086" s="1" t="s">
        <v>6526</v>
      </c>
      <c r="H1086" s="1" t="s">
        <v>6525</v>
      </c>
    </row>
    <row r="1087" spans="1:8" x14ac:dyDescent="0.3">
      <c r="A1087" s="2">
        <v>22245</v>
      </c>
      <c r="B1087" s="1" t="s">
        <v>6527</v>
      </c>
      <c r="C1087" s="1" t="s">
        <v>6528</v>
      </c>
      <c r="D1087" s="1" t="s">
        <v>6527</v>
      </c>
      <c r="E1087" s="1" t="s">
        <v>6529</v>
      </c>
      <c r="F1087" s="1" t="s">
        <v>6530</v>
      </c>
      <c r="G1087" s="1" t="s">
        <v>6531</v>
      </c>
      <c r="H1087" s="1" t="s">
        <v>6532</v>
      </c>
    </row>
    <row r="1088" spans="1:8" x14ac:dyDescent="0.3">
      <c r="A1088" s="2">
        <v>22246</v>
      </c>
      <c r="B1088" s="1" t="s">
        <v>6533</v>
      </c>
      <c r="C1088" s="1" t="s">
        <v>6534</v>
      </c>
      <c r="D1088" s="1" t="s">
        <v>6535</v>
      </c>
      <c r="E1088" s="1" t="s">
        <v>6536</v>
      </c>
      <c r="F1088" s="1" t="s">
        <v>6537</v>
      </c>
      <c r="G1088" s="1" t="s">
        <v>57</v>
      </c>
      <c r="H1088" s="1" t="s">
        <v>6538</v>
      </c>
    </row>
    <row r="1089" spans="1:8" x14ac:dyDescent="0.3">
      <c r="A1089" s="2">
        <v>22247</v>
      </c>
      <c r="B1089" s="1" t="s">
        <v>6539</v>
      </c>
      <c r="C1089" s="1" t="s">
        <v>6540</v>
      </c>
      <c r="D1089" s="1" t="s">
        <v>6541</v>
      </c>
      <c r="E1089" s="1" t="s">
        <v>6542</v>
      </c>
      <c r="F1089" s="1" t="s">
        <v>6543</v>
      </c>
      <c r="G1089" s="1" t="s">
        <v>6544</v>
      </c>
      <c r="H1089" s="1" t="s">
        <v>6545</v>
      </c>
    </row>
    <row r="1090" spans="1:8" x14ac:dyDescent="0.3">
      <c r="A1090" s="2">
        <v>22248</v>
      </c>
      <c r="B1090" s="1" t="s">
        <v>370</v>
      </c>
      <c r="C1090" s="1" t="s">
        <v>6546</v>
      </c>
      <c r="D1090" s="1" t="s">
        <v>6547</v>
      </c>
      <c r="E1090" s="1" t="s">
        <v>370</v>
      </c>
      <c r="F1090" s="1" t="s">
        <v>370</v>
      </c>
      <c r="G1090" s="1" t="s">
        <v>6548</v>
      </c>
      <c r="H1090" s="1" t="s">
        <v>6549</v>
      </c>
    </row>
    <row r="1091" spans="1:8" x14ac:dyDescent="0.3">
      <c r="A1091" s="2" t="s">
        <v>6550</v>
      </c>
      <c r="B1091" s="1" t="s">
        <v>6551</v>
      </c>
      <c r="C1091" s="1" t="s">
        <v>6552</v>
      </c>
      <c r="D1091" s="1" t="s">
        <v>6553</v>
      </c>
      <c r="E1091" s="1" t="s">
        <v>6554</v>
      </c>
      <c r="F1091" s="1" t="s">
        <v>6555</v>
      </c>
      <c r="G1091" s="1" t="s">
        <v>6556</v>
      </c>
      <c r="H1091" s="1" t="s">
        <v>6557</v>
      </c>
    </row>
    <row r="1092" spans="1:8" x14ac:dyDescent="0.3">
      <c r="A1092" s="2">
        <v>22249</v>
      </c>
      <c r="B1092" s="1" t="s">
        <v>6558</v>
      </c>
      <c r="C1092" s="1" t="s">
        <v>6559</v>
      </c>
      <c r="D1092" s="1" t="s">
        <v>6560</v>
      </c>
      <c r="E1092" s="1" t="s">
        <v>6561</v>
      </c>
      <c r="F1092" s="1" t="s">
        <v>6562</v>
      </c>
      <c r="G1092" s="1" t="s">
        <v>6563</v>
      </c>
      <c r="H1092" s="1" t="s">
        <v>6564</v>
      </c>
    </row>
    <row r="1093" spans="1:8" x14ac:dyDescent="0.3">
      <c r="A1093" s="2">
        <v>22250</v>
      </c>
      <c r="B1093" s="1" t="s">
        <v>6565</v>
      </c>
      <c r="C1093" s="1" t="s">
        <v>6566</v>
      </c>
      <c r="D1093" s="1" t="s">
        <v>6567</v>
      </c>
      <c r="E1093" s="1" t="s">
        <v>57</v>
      </c>
      <c r="F1093" s="1" t="s">
        <v>6568</v>
      </c>
      <c r="G1093" s="1" t="s">
        <v>57</v>
      </c>
      <c r="H1093" s="1" t="s">
        <v>6565</v>
      </c>
    </row>
    <row r="1094" spans="1:8" x14ac:dyDescent="0.3">
      <c r="A1094" s="2">
        <v>22251</v>
      </c>
      <c r="B1094" s="1" t="s">
        <v>6569</v>
      </c>
      <c r="C1094" s="1" t="s">
        <v>6570</v>
      </c>
      <c r="E1094" s="1" t="s">
        <v>6571</v>
      </c>
      <c r="F1094" s="1" t="s">
        <v>6571</v>
      </c>
      <c r="G1094" s="1" t="s">
        <v>6571</v>
      </c>
      <c r="H1094" s="1" t="s">
        <v>6572</v>
      </c>
    </row>
    <row r="1095" spans="1:8" x14ac:dyDescent="0.3">
      <c r="A1095" s="2" t="s">
        <v>6573</v>
      </c>
      <c r="B1095" s="1" t="e">
        <f>-고</f>
        <v>#NAME?</v>
      </c>
      <c r="C1095" s="1" t="s">
        <v>6574</v>
      </c>
      <c r="D1095" s="1" t="s">
        <v>6575</v>
      </c>
      <c r="E1095" s="1" t="s">
        <v>6576</v>
      </c>
      <c r="G1095" s="1" t="s">
        <v>6577</v>
      </c>
      <c r="H1095" s="1" t="s">
        <v>6578</v>
      </c>
    </row>
    <row r="1096" spans="1:8" x14ac:dyDescent="0.3">
      <c r="A1096" s="2" t="s">
        <v>6579</v>
      </c>
      <c r="B1096" s="1" t="e">
        <f>-어야</f>
        <v>#NAME?</v>
      </c>
      <c r="C1096" s="1" t="s">
        <v>6580</v>
      </c>
      <c r="D1096" s="1" t="s">
        <v>6581</v>
      </c>
      <c r="E1096" s="1" t="s">
        <v>6582</v>
      </c>
      <c r="F1096" s="1" t="s">
        <v>6583</v>
      </c>
      <c r="G1096" s="1" t="s">
        <v>6584</v>
      </c>
      <c r="H1096" s="1" t="s">
        <v>6585</v>
      </c>
    </row>
    <row r="1097" spans="1:8" x14ac:dyDescent="0.3">
      <c r="A1097" s="2">
        <v>22252</v>
      </c>
      <c r="B1097" s="1" t="s">
        <v>6586</v>
      </c>
      <c r="C1097" s="1" t="s">
        <v>6587</v>
      </c>
      <c r="D1097" s="1" t="s">
        <v>6588</v>
      </c>
      <c r="E1097" s="1" t="s">
        <v>6589</v>
      </c>
      <c r="F1097" s="1" t="s">
        <v>6590</v>
      </c>
      <c r="G1097" s="1" t="s">
        <v>6591</v>
      </c>
      <c r="H1097" s="1" t="s">
        <v>6592</v>
      </c>
    </row>
    <row r="1098" spans="1:8" x14ac:dyDescent="0.3">
      <c r="A1098" s="2">
        <v>22253</v>
      </c>
      <c r="B1098" s="1" t="s">
        <v>6593</v>
      </c>
      <c r="C1098" s="1" t="s">
        <v>6594</v>
      </c>
      <c r="D1098" s="1" t="s">
        <v>6595</v>
      </c>
      <c r="E1098" s="1" t="s">
        <v>6596</v>
      </c>
      <c r="F1098" s="1" t="s">
        <v>6597</v>
      </c>
      <c r="G1098" s="1" t="s">
        <v>6598</v>
      </c>
      <c r="H1098" s="1" t="s">
        <v>6599</v>
      </c>
    </row>
    <row r="1099" spans="1:8" x14ac:dyDescent="0.3">
      <c r="A1099" s="2">
        <v>22254</v>
      </c>
      <c r="B1099" s="1" t="s">
        <v>6600</v>
      </c>
      <c r="C1099" s="1" t="s">
        <v>57</v>
      </c>
      <c r="D1099" s="1" t="s">
        <v>6601</v>
      </c>
      <c r="E1099" s="1" t="s">
        <v>6602</v>
      </c>
      <c r="F1099" s="1" t="s">
        <v>6602</v>
      </c>
      <c r="G1099" s="1" t="s">
        <v>6603</v>
      </c>
      <c r="H1099" s="1" t="s">
        <v>6604</v>
      </c>
    </row>
    <row r="1100" spans="1:8" x14ac:dyDescent="0.3">
      <c r="A1100" s="2">
        <v>22255</v>
      </c>
      <c r="B1100" s="1" t="s">
        <v>6605</v>
      </c>
      <c r="C1100" s="1" t="s">
        <v>6606</v>
      </c>
      <c r="D1100" s="1" t="s">
        <v>6607</v>
      </c>
      <c r="E1100" s="1" t="s">
        <v>6608</v>
      </c>
      <c r="F1100" s="1" t="s">
        <v>6609</v>
      </c>
      <c r="G1100" s="1" t="s">
        <v>6608</v>
      </c>
      <c r="H1100" s="1" t="s">
        <v>6610</v>
      </c>
    </row>
    <row r="1101" spans="1:8" x14ac:dyDescent="0.3">
      <c r="A1101" s="2">
        <v>22256</v>
      </c>
      <c r="B1101" s="1" t="s">
        <v>6611</v>
      </c>
      <c r="C1101" s="1" t="s">
        <v>6612</v>
      </c>
      <c r="D1101" s="1" t="s">
        <v>6613</v>
      </c>
      <c r="E1101" s="1" t="s">
        <v>6614</v>
      </c>
      <c r="F1101" s="1" t="s">
        <v>6615</v>
      </c>
      <c r="G1101" s="1" t="s">
        <v>6616</v>
      </c>
      <c r="H1101" s="1" t="s">
        <v>6617</v>
      </c>
    </row>
    <row r="1102" spans="1:8" x14ac:dyDescent="0.3">
      <c r="A1102" s="2" t="s">
        <v>6618</v>
      </c>
      <c r="B1102" s="1" t="s">
        <v>6619</v>
      </c>
      <c r="C1102" s="1" t="s">
        <v>6620</v>
      </c>
      <c r="D1102" s="1" t="s">
        <v>6621</v>
      </c>
      <c r="E1102" s="1" t="s">
        <v>6622</v>
      </c>
      <c r="F1102" s="1" t="s">
        <v>6623</v>
      </c>
      <c r="G1102" s="1" t="s">
        <v>6624</v>
      </c>
      <c r="H1102" s="1" t="s">
        <v>6625</v>
      </c>
    </row>
    <row r="1103" spans="1:8" x14ac:dyDescent="0.3">
      <c r="A1103" s="2" t="s">
        <v>6626</v>
      </c>
      <c r="B1103" s="1" t="s">
        <v>4683</v>
      </c>
      <c r="C1103" s="1" t="s">
        <v>6627</v>
      </c>
      <c r="D1103" s="1" t="s">
        <v>6628</v>
      </c>
      <c r="E1103" s="1" t="s">
        <v>6629</v>
      </c>
      <c r="F1103" s="1" t="s">
        <v>6630</v>
      </c>
      <c r="G1103" s="1" t="s">
        <v>6631</v>
      </c>
      <c r="H1103" s="1" t="s">
        <v>6632</v>
      </c>
    </row>
    <row r="1104" spans="1:8" x14ac:dyDescent="0.3">
      <c r="A1104" s="2">
        <v>22257</v>
      </c>
      <c r="B1104" s="1" t="s">
        <v>6633</v>
      </c>
      <c r="C1104" s="1" t="s">
        <v>6634</v>
      </c>
      <c r="D1104" s="1" t="s">
        <v>6635</v>
      </c>
      <c r="E1104" s="1" t="s">
        <v>6636</v>
      </c>
      <c r="F1104" s="1" t="s">
        <v>6637</v>
      </c>
      <c r="G1104" s="1" t="s">
        <v>6633</v>
      </c>
      <c r="H1104" s="1" t="s">
        <v>6638</v>
      </c>
    </row>
    <row r="1105" spans="1:8" x14ac:dyDescent="0.3">
      <c r="A1105" s="2" t="s">
        <v>6639</v>
      </c>
      <c r="B1105" s="1" t="s">
        <v>6640</v>
      </c>
      <c r="C1105" s="1" t="s">
        <v>6641</v>
      </c>
      <c r="D1105" s="1" t="s">
        <v>6642</v>
      </c>
      <c r="E1105" s="1" t="s">
        <v>6643</v>
      </c>
      <c r="F1105" s="1" t="s">
        <v>6644</v>
      </c>
      <c r="G1105" s="1" t="s">
        <v>6645</v>
      </c>
      <c r="H1105" s="1" t="s">
        <v>6646</v>
      </c>
    </row>
    <row r="1106" spans="1:8" x14ac:dyDescent="0.3">
      <c r="A1106" s="2">
        <v>22258</v>
      </c>
      <c r="B1106" s="1" t="s">
        <v>6647</v>
      </c>
      <c r="C1106" s="1" t="s">
        <v>6648</v>
      </c>
      <c r="D1106" s="1" t="s">
        <v>6649</v>
      </c>
      <c r="E1106" s="1" t="s">
        <v>6650</v>
      </c>
      <c r="F1106" s="1" t="s">
        <v>6651</v>
      </c>
      <c r="G1106" s="1" t="s">
        <v>6652</v>
      </c>
      <c r="H1106" s="1" t="s">
        <v>6653</v>
      </c>
    </row>
    <row r="1107" spans="1:8" x14ac:dyDescent="0.3">
      <c r="A1107" s="2">
        <v>22301</v>
      </c>
      <c r="B1107" s="1" t="s">
        <v>6654</v>
      </c>
      <c r="C1107" s="1" t="s">
        <v>6655</v>
      </c>
      <c r="D1107" s="1" t="s">
        <v>6654</v>
      </c>
      <c r="F1107" s="1" t="s">
        <v>6656</v>
      </c>
      <c r="G1107" s="1" t="s">
        <v>6654</v>
      </c>
      <c r="H1107" s="1" t="s">
        <v>6657</v>
      </c>
    </row>
    <row r="1108" spans="1:8" x14ac:dyDescent="0.3">
      <c r="A1108" s="2" t="s">
        <v>6658</v>
      </c>
      <c r="B1108" s="1" t="s">
        <v>6659</v>
      </c>
      <c r="C1108" s="1" t="s">
        <v>6660</v>
      </c>
      <c r="D1108" s="1" t="s">
        <v>6654</v>
      </c>
      <c r="E1108" s="1" t="s">
        <v>6654</v>
      </c>
      <c r="F1108" s="1" t="s">
        <v>6661</v>
      </c>
      <c r="G1108" s="1" t="s">
        <v>6662</v>
      </c>
      <c r="H1108" s="1" t="s">
        <v>6657</v>
      </c>
    </row>
    <row r="1109" spans="1:8" x14ac:dyDescent="0.3">
      <c r="A1109" s="2">
        <v>22302</v>
      </c>
      <c r="B1109" s="1" t="s">
        <v>6663</v>
      </c>
      <c r="C1109" s="1" t="s">
        <v>6664</v>
      </c>
      <c r="D1109" s="1" t="s">
        <v>6665</v>
      </c>
      <c r="E1109" s="1" t="s">
        <v>6666</v>
      </c>
      <c r="F1109" s="1" t="s">
        <v>6667</v>
      </c>
      <c r="G1109" s="1" t="s">
        <v>6668</v>
      </c>
      <c r="H1109" s="1" t="s">
        <v>6669</v>
      </c>
    </row>
    <row r="1110" spans="1:8" x14ac:dyDescent="0.3">
      <c r="A1110" s="2" t="s">
        <v>6670</v>
      </c>
      <c r="B1110" s="1" t="s">
        <v>6671</v>
      </c>
      <c r="C1110" s="1" t="s">
        <v>6672</v>
      </c>
      <c r="D1110" s="1" t="s">
        <v>6673</v>
      </c>
      <c r="E1110" s="1" t="s">
        <v>6663</v>
      </c>
      <c r="F1110" s="1" t="s">
        <v>6663</v>
      </c>
      <c r="G1110" s="1" t="s">
        <v>6674</v>
      </c>
      <c r="H1110" s="1" t="s">
        <v>6675</v>
      </c>
    </row>
    <row r="1111" spans="1:8" x14ac:dyDescent="0.3">
      <c r="A1111" s="2">
        <v>22303</v>
      </c>
      <c r="B1111" s="1" t="s">
        <v>6676</v>
      </c>
      <c r="C1111" s="1" t="s">
        <v>6677</v>
      </c>
      <c r="D1111" s="1" t="s">
        <v>6678</v>
      </c>
      <c r="F1111" s="1" t="s">
        <v>6679</v>
      </c>
      <c r="G1111" s="1" t="s">
        <v>6680</v>
      </c>
      <c r="H1111" s="1" t="s">
        <v>6681</v>
      </c>
    </row>
    <row r="1112" spans="1:8" x14ac:dyDescent="0.3">
      <c r="A1112" s="2" t="s">
        <v>6682</v>
      </c>
      <c r="B1112" s="1" t="s">
        <v>6683</v>
      </c>
      <c r="C1112" s="1" t="s">
        <v>6684</v>
      </c>
      <c r="D1112" s="1" t="s">
        <v>6678</v>
      </c>
      <c r="E1112" s="1" t="s">
        <v>6681</v>
      </c>
      <c r="F1112" s="1" t="s">
        <v>6679</v>
      </c>
      <c r="G1112" s="1" t="s">
        <v>6685</v>
      </c>
      <c r="H1112" s="1" t="s">
        <v>6686</v>
      </c>
    </row>
    <row r="1113" spans="1:8" x14ac:dyDescent="0.3">
      <c r="A1113" s="2">
        <v>22304</v>
      </c>
      <c r="B1113" s="1" t="s">
        <v>6687</v>
      </c>
      <c r="C1113" s="1" t="s">
        <v>6688</v>
      </c>
      <c r="D1113" s="1" t="s">
        <v>6687</v>
      </c>
      <c r="E1113" s="1" t="s">
        <v>6689</v>
      </c>
      <c r="F1113" s="1" t="s">
        <v>6690</v>
      </c>
      <c r="G1113" s="1" t="s">
        <v>6691</v>
      </c>
      <c r="H1113" s="1" t="s">
        <v>6692</v>
      </c>
    </row>
    <row r="1114" spans="1:8" x14ac:dyDescent="0.3">
      <c r="A1114" s="2" t="s">
        <v>6693</v>
      </c>
      <c r="B1114" s="1" t="s">
        <v>6694</v>
      </c>
      <c r="C1114" s="1" t="s">
        <v>6695</v>
      </c>
      <c r="D1114" s="1" t="s">
        <v>6687</v>
      </c>
      <c r="E1114" s="1" t="s">
        <v>6696</v>
      </c>
      <c r="F1114" s="1" t="s">
        <v>6687</v>
      </c>
      <c r="G1114" s="1" t="s">
        <v>6691</v>
      </c>
      <c r="H1114" s="1" t="s">
        <v>6692</v>
      </c>
    </row>
    <row r="1115" spans="1:8" x14ac:dyDescent="0.3">
      <c r="A1115" s="2">
        <v>22305</v>
      </c>
      <c r="B1115" s="1" t="s">
        <v>6697</v>
      </c>
      <c r="C1115" s="1" t="s">
        <v>6698</v>
      </c>
      <c r="D1115" s="1" t="s">
        <v>6699</v>
      </c>
      <c r="E1115" s="1" t="s">
        <v>6700</v>
      </c>
      <c r="F1115" s="1" t="s">
        <v>6701</v>
      </c>
      <c r="G1115" s="1" t="s">
        <v>6702</v>
      </c>
      <c r="H1115" s="1" t="s">
        <v>6697</v>
      </c>
    </row>
    <row r="1116" spans="1:8" x14ac:dyDescent="0.3">
      <c r="A1116" s="2" t="s">
        <v>6703</v>
      </c>
      <c r="B1116" s="1" t="s">
        <v>6704</v>
      </c>
      <c r="C1116" s="1" t="s">
        <v>6705</v>
      </c>
      <c r="D1116" s="1" t="s">
        <v>6706</v>
      </c>
      <c r="F1116" s="1" t="s">
        <v>6707</v>
      </c>
      <c r="G1116" s="1" t="s">
        <v>6708</v>
      </c>
      <c r="H1116" s="1" t="s">
        <v>6709</v>
      </c>
    </row>
    <row r="1117" spans="1:8" x14ac:dyDescent="0.3">
      <c r="A1117" s="2">
        <v>22306</v>
      </c>
      <c r="B1117" s="1" t="s">
        <v>6710</v>
      </c>
      <c r="C1117" s="1" t="s">
        <v>6711</v>
      </c>
      <c r="D1117" s="1" t="s">
        <v>6712</v>
      </c>
      <c r="E1117" s="1" t="s">
        <v>6713</v>
      </c>
      <c r="F1117" s="1" t="s">
        <v>6714</v>
      </c>
      <c r="G1117" s="1" t="s">
        <v>6715</v>
      </c>
      <c r="H1117" s="1" t="s">
        <v>6716</v>
      </c>
    </row>
    <row r="1118" spans="1:8" x14ac:dyDescent="0.3">
      <c r="A1118" s="2" t="s">
        <v>6717</v>
      </c>
      <c r="B1118" s="1" t="s">
        <v>6718</v>
      </c>
      <c r="C1118" s="1" t="s">
        <v>6719</v>
      </c>
      <c r="D1118" s="1" t="s">
        <v>6720</v>
      </c>
      <c r="F1118" s="1" t="s">
        <v>6721</v>
      </c>
      <c r="G1118" s="1" t="s">
        <v>6722</v>
      </c>
      <c r="H1118" s="1" t="s">
        <v>6723</v>
      </c>
    </row>
    <row r="1119" spans="1:8" x14ac:dyDescent="0.3">
      <c r="A1119" s="2">
        <v>22307</v>
      </c>
      <c r="B1119" s="1" t="s">
        <v>6724</v>
      </c>
      <c r="C1119" s="1" t="s">
        <v>6725</v>
      </c>
      <c r="D1119" s="1" t="s">
        <v>6726</v>
      </c>
      <c r="E1119" s="1" t="s">
        <v>6727</v>
      </c>
      <c r="F1119" s="1" t="s">
        <v>6728</v>
      </c>
      <c r="G1119" s="1" t="s">
        <v>6729</v>
      </c>
      <c r="H1119" s="1" t="s">
        <v>6730</v>
      </c>
    </row>
    <row r="1120" spans="1:8" x14ac:dyDescent="0.3">
      <c r="A1120" s="2" t="s">
        <v>6731</v>
      </c>
      <c r="B1120" s="1" t="s">
        <v>6732</v>
      </c>
      <c r="C1120" s="1" t="s">
        <v>6733</v>
      </c>
      <c r="D1120" s="1" t="s">
        <v>6734</v>
      </c>
      <c r="F1120" s="1" t="s">
        <v>6735</v>
      </c>
      <c r="G1120" s="1" t="s">
        <v>6736</v>
      </c>
      <c r="H1120" s="1" t="s">
        <v>6737</v>
      </c>
    </row>
    <row r="1121" spans="1:8" x14ac:dyDescent="0.3">
      <c r="A1121" s="2">
        <v>22308</v>
      </c>
      <c r="B1121" s="1" t="s">
        <v>6738</v>
      </c>
      <c r="C1121" s="1" t="s">
        <v>6739</v>
      </c>
      <c r="D1121" s="1" t="s">
        <v>6740</v>
      </c>
      <c r="E1121" s="1" t="s">
        <v>6741</v>
      </c>
      <c r="F1121" s="1" t="s">
        <v>6742</v>
      </c>
      <c r="G1121" s="1" t="s">
        <v>6743</v>
      </c>
      <c r="H1121" s="1" t="s">
        <v>6744</v>
      </c>
    </row>
    <row r="1122" spans="1:8" x14ac:dyDescent="0.3">
      <c r="A1122" s="2" t="s">
        <v>6745</v>
      </c>
      <c r="B1122" s="1" t="s">
        <v>6746</v>
      </c>
      <c r="C1122" s="1" t="s">
        <v>6747</v>
      </c>
      <c r="D1122" s="1" t="s">
        <v>6748</v>
      </c>
      <c r="F1122" s="1" t="s">
        <v>6749</v>
      </c>
      <c r="G1122" s="1" t="s">
        <v>6750</v>
      </c>
      <c r="H1122" s="1" t="s">
        <v>6751</v>
      </c>
    </row>
    <row r="1123" spans="1:8" x14ac:dyDescent="0.3">
      <c r="A1123" s="2">
        <v>22309</v>
      </c>
      <c r="B1123" s="1" t="s">
        <v>6752</v>
      </c>
      <c r="C1123" s="1" t="s">
        <v>6753</v>
      </c>
      <c r="D1123" s="1" t="s">
        <v>6754</v>
      </c>
      <c r="E1123" s="1" t="s">
        <v>6755</v>
      </c>
      <c r="F1123" s="1" t="s">
        <v>6756</v>
      </c>
      <c r="G1123" s="1" t="s">
        <v>6757</v>
      </c>
      <c r="H1123" s="1" t="s">
        <v>6758</v>
      </c>
    </row>
    <row r="1124" spans="1:8" x14ac:dyDescent="0.3">
      <c r="A1124" s="2" t="s">
        <v>6759</v>
      </c>
      <c r="B1124" s="1" t="s">
        <v>6760</v>
      </c>
      <c r="C1124" s="1" t="s">
        <v>6761</v>
      </c>
      <c r="D1124" s="1" t="s">
        <v>6762</v>
      </c>
      <c r="F1124" s="1" t="s">
        <v>6763</v>
      </c>
      <c r="G1124" s="1" t="s">
        <v>6764</v>
      </c>
      <c r="H1124" s="1" t="s">
        <v>6765</v>
      </c>
    </row>
    <row r="1125" spans="1:8" x14ac:dyDescent="0.3">
      <c r="A1125" s="2">
        <v>22310</v>
      </c>
      <c r="B1125" s="1" t="s">
        <v>6766</v>
      </c>
      <c r="C1125" s="1" t="s">
        <v>6767</v>
      </c>
      <c r="D1125" s="1" t="s">
        <v>6768</v>
      </c>
      <c r="E1125" s="1" t="s">
        <v>6769</v>
      </c>
      <c r="F1125" s="1" t="s">
        <v>6770</v>
      </c>
      <c r="G1125" s="1" t="s">
        <v>6771</v>
      </c>
      <c r="H1125" s="1" t="s">
        <v>6772</v>
      </c>
    </row>
    <row r="1126" spans="1:8" x14ac:dyDescent="0.3">
      <c r="A1126" s="2" t="s">
        <v>6773</v>
      </c>
      <c r="B1126" s="1" t="s">
        <v>6774</v>
      </c>
      <c r="C1126" s="1" t="s">
        <v>6739</v>
      </c>
      <c r="D1126" s="1" t="s">
        <v>6775</v>
      </c>
      <c r="F1126" s="1" t="s">
        <v>6776</v>
      </c>
      <c r="G1126" s="1" t="s">
        <v>6777</v>
      </c>
      <c r="H1126" s="1" t="s">
        <v>6778</v>
      </c>
    </row>
    <row r="1127" spans="1:8" x14ac:dyDescent="0.3">
      <c r="A1127" s="2">
        <v>22311</v>
      </c>
      <c r="B1127" s="1" t="s">
        <v>6779</v>
      </c>
      <c r="C1127" s="1" t="s">
        <v>6780</v>
      </c>
      <c r="D1127" s="1" t="s">
        <v>6781</v>
      </c>
      <c r="E1127" s="1" t="s">
        <v>6782</v>
      </c>
      <c r="F1127" s="1" t="s">
        <v>6783</v>
      </c>
      <c r="G1127" s="1" t="s">
        <v>6784</v>
      </c>
      <c r="H1127" s="1" t="s">
        <v>6785</v>
      </c>
    </row>
    <row r="1128" spans="1:8" x14ac:dyDescent="0.3">
      <c r="A1128" s="2">
        <v>22312</v>
      </c>
      <c r="B1128" s="1" t="s">
        <v>6786</v>
      </c>
      <c r="C1128" s="1" t="s">
        <v>6787</v>
      </c>
      <c r="D1128" s="1" t="s">
        <v>6788</v>
      </c>
      <c r="E1128" s="1" t="s">
        <v>6789</v>
      </c>
      <c r="F1128" s="1" t="s">
        <v>6790</v>
      </c>
      <c r="G1128" s="1" t="s">
        <v>6791</v>
      </c>
      <c r="H1128" s="1" t="s">
        <v>6790</v>
      </c>
    </row>
    <row r="1129" spans="1:8" x14ac:dyDescent="0.3">
      <c r="A1129" s="2">
        <v>22313</v>
      </c>
      <c r="B1129" s="1" t="s">
        <v>6792</v>
      </c>
      <c r="C1129" s="1" t="s">
        <v>6793</v>
      </c>
      <c r="F1129" s="1" t="s">
        <v>6794</v>
      </c>
      <c r="G1129" s="1" t="s">
        <v>6795</v>
      </c>
      <c r="H1129" s="1" t="s">
        <v>6795</v>
      </c>
    </row>
    <row r="1130" spans="1:8" x14ac:dyDescent="0.3">
      <c r="A1130" s="2">
        <v>22314</v>
      </c>
      <c r="B1130" s="1" t="s">
        <v>6796</v>
      </c>
      <c r="C1130" s="1" t="s">
        <v>6797</v>
      </c>
      <c r="D1130" s="1" t="s">
        <v>6798</v>
      </c>
      <c r="F1130" s="1" t="s">
        <v>6799</v>
      </c>
      <c r="G1130" s="1" t="s">
        <v>6800</v>
      </c>
      <c r="H1130" s="1" t="s">
        <v>6798</v>
      </c>
    </row>
    <row r="1131" spans="1:8" x14ac:dyDescent="0.3">
      <c r="A1131" s="2">
        <v>22315</v>
      </c>
      <c r="B1131" s="1" t="s">
        <v>6801</v>
      </c>
      <c r="C1131" s="1" t="s">
        <v>6802</v>
      </c>
      <c r="D1131" s="1" t="s">
        <v>6803</v>
      </c>
      <c r="E1131" s="1" t="s">
        <v>6804</v>
      </c>
      <c r="F1131" s="1" t="s">
        <v>6805</v>
      </c>
      <c r="G1131" s="1" t="s">
        <v>6806</v>
      </c>
      <c r="H1131" s="1" t="s">
        <v>6801</v>
      </c>
    </row>
    <row r="1132" spans="1:8" x14ac:dyDescent="0.3">
      <c r="A1132" s="2" t="s">
        <v>6807</v>
      </c>
      <c r="B1132" s="1" t="s">
        <v>6808</v>
      </c>
      <c r="C1132" s="1" t="s">
        <v>6809</v>
      </c>
      <c r="D1132" s="1" t="s">
        <v>6810</v>
      </c>
      <c r="E1132" s="1" t="s">
        <v>6811</v>
      </c>
      <c r="F1132" s="1" t="s">
        <v>6801</v>
      </c>
      <c r="G1132" s="1" t="s">
        <v>6812</v>
      </c>
      <c r="H1132" s="1" t="s">
        <v>6813</v>
      </c>
    </row>
    <row r="1133" spans="1:8" x14ac:dyDescent="0.3">
      <c r="A1133" s="2">
        <v>22316</v>
      </c>
      <c r="B1133" s="1" t="s">
        <v>6814</v>
      </c>
      <c r="C1133" s="1" t="s">
        <v>6815</v>
      </c>
      <c r="E1133" s="1" t="s">
        <v>6816</v>
      </c>
      <c r="F1133" s="1" t="s">
        <v>6817</v>
      </c>
      <c r="G1133" s="1" t="s">
        <v>6818</v>
      </c>
      <c r="H1133" s="1" t="s">
        <v>6819</v>
      </c>
    </row>
    <row r="1134" spans="1:8" x14ac:dyDescent="0.3">
      <c r="A1134" s="2" t="s">
        <v>6820</v>
      </c>
      <c r="B1134" s="1" t="s">
        <v>6821</v>
      </c>
      <c r="C1134" s="1" t="s">
        <v>6822</v>
      </c>
      <c r="G1134" s="1" t="s">
        <v>6823</v>
      </c>
      <c r="H1134" s="1" t="s">
        <v>6824</v>
      </c>
    </row>
    <row r="1135" spans="1:8" x14ac:dyDescent="0.3">
      <c r="A1135" s="2">
        <v>22317</v>
      </c>
      <c r="B1135" s="1" t="s">
        <v>6825</v>
      </c>
      <c r="C1135" s="1" t="s">
        <v>6826</v>
      </c>
      <c r="D1135" s="1" t="s">
        <v>6827</v>
      </c>
      <c r="F1135" s="1" t="s">
        <v>6828</v>
      </c>
      <c r="G1135" s="1" t="s">
        <v>6829</v>
      </c>
      <c r="H1135" s="1" t="s">
        <v>6830</v>
      </c>
    </row>
    <row r="1136" spans="1:8" x14ac:dyDescent="0.3">
      <c r="A1136" s="2" t="s">
        <v>6831</v>
      </c>
      <c r="B1136" s="1" t="s">
        <v>6832</v>
      </c>
      <c r="C1136" s="1" t="s">
        <v>6833</v>
      </c>
      <c r="D1136" s="1" t="s">
        <v>6834</v>
      </c>
      <c r="E1136" s="1" t="s">
        <v>6835</v>
      </c>
      <c r="F1136" s="1" t="s">
        <v>6836</v>
      </c>
      <c r="G1136" s="1" t="s">
        <v>6837</v>
      </c>
      <c r="H1136" s="1" t="s">
        <v>6838</v>
      </c>
    </row>
    <row r="1137" spans="1:8" x14ac:dyDescent="0.3">
      <c r="A1137" s="2">
        <v>22318</v>
      </c>
      <c r="B1137" s="1" t="s">
        <v>6839</v>
      </c>
      <c r="C1137" s="1" t="s">
        <v>6840</v>
      </c>
      <c r="D1137" s="1" t="s">
        <v>6841</v>
      </c>
      <c r="E1137" s="1" t="s">
        <v>6842</v>
      </c>
      <c r="F1137" s="1" t="s">
        <v>6843</v>
      </c>
      <c r="G1137" s="1" t="s">
        <v>6844</v>
      </c>
    </row>
    <row r="1138" spans="1:8" x14ac:dyDescent="0.3">
      <c r="A1138" s="2" t="s">
        <v>6845</v>
      </c>
      <c r="B1138" s="1" t="s">
        <v>6846</v>
      </c>
      <c r="C1138" s="1" t="s">
        <v>6847</v>
      </c>
      <c r="D1138" s="1" t="s">
        <v>6848</v>
      </c>
      <c r="E1138" s="1" t="s">
        <v>6849</v>
      </c>
      <c r="F1138" s="1" t="s">
        <v>57</v>
      </c>
      <c r="G1138" s="1" t="s">
        <v>6850</v>
      </c>
      <c r="H1138" s="1" t="s">
        <v>6851</v>
      </c>
    </row>
    <row r="1139" spans="1:8" x14ac:dyDescent="0.3">
      <c r="A1139" s="2">
        <v>22319</v>
      </c>
      <c r="B1139" s="1" t="s">
        <v>6852</v>
      </c>
      <c r="C1139" s="1" t="s">
        <v>6853</v>
      </c>
      <c r="D1139" s="1" t="s">
        <v>6854</v>
      </c>
      <c r="E1139" s="1" t="s">
        <v>6855</v>
      </c>
      <c r="F1139" s="1" t="s">
        <v>6852</v>
      </c>
      <c r="G1139" s="1" t="s">
        <v>6856</v>
      </c>
      <c r="H1139" s="1" t="s">
        <v>6857</v>
      </c>
    </row>
    <row r="1140" spans="1:8" x14ac:dyDescent="0.3">
      <c r="A1140" s="2">
        <v>22320</v>
      </c>
      <c r="B1140" s="1" t="s">
        <v>6858</v>
      </c>
      <c r="C1140" s="1" t="s">
        <v>6859</v>
      </c>
      <c r="D1140" s="1" t="s">
        <v>6860</v>
      </c>
      <c r="E1140" s="1" t="s">
        <v>6861</v>
      </c>
      <c r="F1140" s="1" t="s">
        <v>6858</v>
      </c>
      <c r="G1140" s="1" t="s">
        <v>6862</v>
      </c>
      <c r="H1140" s="1" t="s">
        <v>6858</v>
      </c>
    </row>
    <row r="1141" spans="1:8" x14ac:dyDescent="0.3">
      <c r="A1141" s="2">
        <v>22321</v>
      </c>
      <c r="B1141" s="1" t="s">
        <v>6863</v>
      </c>
      <c r="C1141" s="1" t="s">
        <v>6864</v>
      </c>
      <c r="D1141" s="1" t="s">
        <v>6865</v>
      </c>
      <c r="E1141" s="1" t="s">
        <v>6865</v>
      </c>
      <c r="F1141" s="1" t="s">
        <v>6866</v>
      </c>
      <c r="G1141" s="1" t="s">
        <v>6867</v>
      </c>
      <c r="H1141" s="1" t="s">
        <v>6865</v>
      </c>
    </row>
    <row r="1142" spans="1:8" x14ac:dyDescent="0.3">
      <c r="A1142" s="2" t="s">
        <v>6868</v>
      </c>
      <c r="B1142" s="1" t="s">
        <v>6869</v>
      </c>
      <c r="C1142" s="1" t="s">
        <v>6870</v>
      </c>
      <c r="D1142" s="1" t="s">
        <v>6871</v>
      </c>
      <c r="E1142" s="1" t="s">
        <v>6872</v>
      </c>
      <c r="G1142" s="1" t="s">
        <v>6873</v>
      </c>
      <c r="H1142" s="1" t="s">
        <v>6874</v>
      </c>
    </row>
    <row r="1143" spans="1:8" x14ac:dyDescent="0.3">
      <c r="A1143" s="2">
        <v>22322</v>
      </c>
      <c r="B1143" s="1" t="s">
        <v>6875</v>
      </c>
      <c r="C1143" s="1" t="s">
        <v>6876</v>
      </c>
      <c r="D1143" s="1" t="s">
        <v>6877</v>
      </c>
      <c r="E1143" s="1" t="s">
        <v>6878</v>
      </c>
      <c r="F1143" s="1" t="s">
        <v>6879</v>
      </c>
      <c r="G1143" s="1" t="s">
        <v>6880</v>
      </c>
      <c r="H1143" s="1" t="s">
        <v>6881</v>
      </c>
    </row>
    <row r="1144" spans="1:8" x14ac:dyDescent="0.3">
      <c r="A1144" s="2">
        <v>22323</v>
      </c>
      <c r="B1144" s="1" t="s">
        <v>6882</v>
      </c>
      <c r="C1144" s="1" t="s">
        <v>6883</v>
      </c>
      <c r="D1144" s="1" t="s">
        <v>6884</v>
      </c>
      <c r="E1144" s="1" t="s">
        <v>6882</v>
      </c>
      <c r="F1144" s="1" t="s">
        <v>6885</v>
      </c>
      <c r="G1144" s="1" t="s">
        <v>6882</v>
      </c>
      <c r="H1144" s="1" t="s">
        <v>6886</v>
      </c>
    </row>
    <row r="1145" spans="1:8" x14ac:dyDescent="0.3">
      <c r="A1145" s="2">
        <v>22324</v>
      </c>
      <c r="B1145" s="1" t="s">
        <v>6887</v>
      </c>
      <c r="C1145" s="1" t="s">
        <v>6888</v>
      </c>
      <c r="D1145" s="1" t="s">
        <v>6889</v>
      </c>
      <c r="E1145" s="1" t="s">
        <v>6890</v>
      </c>
      <c r="F1145" s="1" t="s">
        <v>6891</v>
      </c>
      <c r="G1145" s="1" t="s">
        <v>6892</v>
      </c>
      <c r="H1145" s="1" t="s">
        <v>6893</v>
      </c>
    </row>
    <row r="1146" spans="1:8" x14ac:dyDescent="0.3">
      <c r="A1146" s="2" t="s">
        <v>6894</v>
      </c>
      <c r="B1146" s="1" t="e">
        <f>-고</f>
        <v>#NAME?</v>
      </c>
      <c r="C1146" s="1" t="s">
        <v>6895</v>
      </c>
      <c r="D1146" s="1" t="s">
        <v>6896</v>
      </c>
      <c r="E1146" s="1" t="s">
        <v>6897</v>
      </c>
      <c r="F1146" s="1" t="s">
        <v>6898</v>
      </c>
      <c r="G1146" s="1" t="s">
        <v>6899</v>
      </c>
    </row>
    <row r="1147" spans="1:8" x14ac:dyDescent="0.3">
      <c r="A1147" s="2" t="s">
        <v>6900</v>
      </c>
      <c r="B1147" s="1" t="s">
        <v>6901</v>
      </c>
      <c r="C1147" s="1" t="s">
        <v>6902</v>
      </c>
      <c r="D1147" s="1" t="s">
        <v>6903</v>
      </c>
      <c r="E1147" s="1" t="s">
        <v>6904</v>
      </c>
      <c r="F1147" s="1" t="s">
        <v>6905</v>
      </c>
      <c r="G1147" s="1" t="s">
        <v>6906</v>
      </c>
      <c r="H1147" s="1" t="s">
        <v>6907</v>
      </c>
    </row>
    <row r="1148" spans="1:8" x14ac:dyDescent="0.3">
      <c r="A1148" s="2">
        <v>22325</v>
      </c>
      <c r="B1148" s="1" t="s">
        <v>6908</v>
      </c>
      <c r="C1148" s="1" t="s">
        <v>6909</v>
      </c>
      <c r="D1148" s="1" t="s">
        <v>6910</v>
      </c>
      <c r="E1148" s="1" t="s">
        <v>6910</v>
      </c>
      <c r="F1148" s="1" t="s">
        <v>6910</v>
      </c>
      <c r="G1148" s="1" t="s">
        <v>6911</v>
      </c>
      <c r="H1148" s="1" t="s">
        <v>6910</v>
      </c>
    </row>
    <row r="1149" spans="1:8" x14ac:dyDescent="0.3">
      <c r="A1149" s="2">
        <v>22326</v>
      </c>
      <c r="B1149" s="1" t="s">
        <v>6912</v>
      </c>
      <c r="C1149" s="1" t="s">
        <v>6913</v>
      </c>
      <c r="D1149" s="1" t="s">
        <v>6914</v>
      </c>
      <c r="E1149" s="1" t="s">
        <v>6915</v>
      </c>
      <c r="F1149" s="1" t="s">
        <v>6916</v>
      </c>
      <c r="G1149" s="1" t="s">
        <v>6917</v>
      </c>
      <c r="H1149" s="1" t="s">
        <v>6915</v>
      </c>
    </row>
    <row r="1150" spans="1:8" x14ac:dyDescent="0.3">
      <c r="A1150" s="2">
        <v>22327</v>
      </c>
      <c r="B1150" s="1" t="s">
        <v>6918</v>
      </c>
      <c r="C1150" s="1" t="s">
        <v>6919</v>
      </c>
      <c r="D1150" s="1" t="s">
        <v>6920</v>
      </c>
      <c r="E1150" s="1" t="s">
        <v>6921</v>
      </c>
      <c r="F1150" s="1" t="s">
        <v>6922</v>
      </c>
      <c r="G1150" s="1" t="s">
        <v>6923</v>
      </c>
    </row>
    <row r="1151" spans="1:8" x14ac:dyDescent="0.3">
      <c r="A1151" s="2" t="s">
        <v>6924</v>
      </c>
      <c r="B1151" s="1" t="s">
        <v>6925</v>
      </c>
      <c r="C1151" s="1" t="s">
        <v>6926</v>
      </c>
      <c r="D1151" s="1" t="s">
        <v>6927</v>
      </c>
      <c r="E1151" s="1" t="s">
        <v>6928</v>
      </c>
      <c r="F1151" s="1" t="s">
        <v>6929</v>
      </c>
      <c r="G1151" s="1" t="s">
        <v>6930</v>
      </c>
      <c r="H1151" s="1" t="s">
        <v>6931</v>
      </c>
    </row>
    <row r="1152" spans="1:8" x14ac:dyDescent="0.3">
      <c r="A1152" s="2">
        <v>22328</v>
      </c>
      <c r="B1152" s="1" t="s">
        <v>6932</v>
      </c>
      <c r="C1152" s="1" t="s">
        <v>6933</v>
      </c>
      <c r="D1152" s="1" t="s">
        <v>6934</v>
      </c>
      <c r="E1152" s="1" t="s">
        <v>6935</v>
      </c>
      <c r="F1152" s="1" t="s">
        <v>6936</v>
      </c>
      <c r="G1152" s="1" t="s">
        <v>6937</v>
      </c>
      <c r="H1152" s="1" t="s">
        <v>6938</v>
      </c>
    </row>
    <row r="1153" spans="1:8" x14ac:dyDescent="0.3">
      <c r="A1153" s="2">
        <v>22329</v>
      </c>
      <c r="B1153" s="1" t="s">
        <v>6939</v>
      </c>
      <c r="C1153" s="1" t="s">
        <v>6940</v>
      </c>
      <c r="D1153" s="1" t="s">
        <v>6941</v>
      </c>
      <c r="E1153" s="1" t="s">
        <v>6942</v>
      </c>
      <c r="F1153" s="1" t="s">
        <v>6943</v>
      </c>
      <c r="G1153" s="1" t="s">
        <v>6944</v>
      </c>
      <c r="H1153" s="1" t="s">
        <v>6945</v>
      </c>
    </row>
    <row r="1154" spans="1:8" x14ac:dyDescent="0.3">
      <c r="A1154" s="2" t="s">
        <v>6946</v>
      </c>
      <c r="B1154" s="1" t="s">
        <v>6947</v>
      </c>
      <c r="C1154" s="1" t="s">
        <v>6948</v>
      </c>
      <c r="D1154" s="1" t="s">
        <v>6949</v>
      </c>
      <c r="E1154" s="1" t="s">
        <v>6950</v>
      </c>
      <c r="F1154" s="1" t="s">
        <v>6951</v>
      </c>
      <c r="G1154" s="1" t="s">
        <v>6952</v>
      </c>
      <c r="H1154" s="1" t="s">
        <v>6953</v>
      </c>
    </row>
    <row r="1155" spans="1:8" x14ac:dyDescent="0.3">
      <c r="A1155" s="2">
        <v>22330</v>
      </c>
      <c r="B1155" s="1" t="s">
        <v>6954</v>
      </c>
      <c r="C1155" s="1" t="s">
        <v>6955</v>
      </c>
      <c r="D1155" s="1" t="s">
        <v>6956</v>
      </c>
      <c r="E1155" s="1" t="s">
        <v>6957</v>
      </c>
      <c r="F1155" s="1" t="s">
        <v>6958</v>
      </c>
      <c r="G1155" s="1" t="s">
        <v>6958</v>
      </c>
      <c r="H1155" s="1" t="s">
        <v>6959</v>
      </c>
    </row>
    <row r="1156" spans="1:8" x14ac:dyDescent="0.3">
      <c r="A1156" s="2">
        <v>22331</v>
      </c>
      <c r="B1156" s="1" t="s">
        <v>6960</v>
      </c>
      <c r="C1156" s="1" t="s">
        <v>6961</v>
      </c>
      <c r="D1156" s="1" t="s">
        <v>6962</v>
      </c>
      <c r="E1156" s="1" t="s">
        <v>6962</v>
      </c>
      <c r="F1156" s="1" t="s">
        <v>6963</v>
      </c>
      <c r="G1156" s="1" t="s">
        <v>6964</v>
      </c>
      <c r="H1156" s="1" t="s">
        <v>6962</v>
      </c>
    </row>
    <row r="1157" spans="1:8" x14ac:dyDescent="0.3">
      <c r="A1157" s="2">
        <v>22332</v>
      </c>
      <c r="B1157" s="1" t="s">
        <v>6965</v>
      </c>
      <c r="C1157" s="1" t="s">
        <v>6966</v>
      </c>
      <c r="D1157" s="1" t="s">
        <v>6967</v>
      </c>
      <c r="E1157" s="1" t="s">
        <v>6968</v>
      </c>
      <c r="F1157" s="1" t="s">
        <v>6969</v>
      </c>
      <c r="G1157" s="1" t="s">
        <v>6970</v>
      </c>
      <c r="H1157" s="1" t="s">
        <v>6971</v>
      </c>
    </row>
    <row r="1158" spans="1:8" x14ac:dyDescent="0.3">
      <c r="A1158" s="2">
        <v>22333</v>
      </c>
      <c r="B1158" s="1" t="s">
        <v>6972</v>
      </c>
      <c r="C1158" s="1" t="s">
        <v>6973</v>
      </c>
      <c r="D1158" s="1" t="s">
        <v>6974</v>
      </c>
      <c r="E1158" s="1" t="s">
        <v>6975</v>
      </c>
      <c r="F1158" s="1" t="s">
        <v>6976</v>
      </c>
      <c r="G1158" s="1" t="s">
        <v>6977</v>
      </c>
      <c r="H1158" s="1" t="s">
        <v>6978</v>
      </c>
    </row>
    <row r="1159" spans="1:8" x14ac:dyDescent="0.3">
      <c r="A1159" s="2" t="s">
        <v>6979</v>
      </c>
      <c r="B1159" s="1" t="s">
        <v>6980</v>
      </c>
      <c r="C1159" s="1" t="s">
        <v>6981</v>
      </c>
      <c r="D1159" s="1" t="s">
        <v>6982</v>
      </c>
      <c r="E1159" s="1" t="s">
        <v>6983</v>
      </c>
      <c r="F1159" s="1" t="s">
        <v>6984</v>
      </c>
      <c r="G1159" s="1" t="s">
        <v>6985</v>
      </c>
      <c r="H1159" s="1" t="s">
        <v>6986</v>
      </c>
    </row>
    <row r="1160" spans="1:8" x14ac:dyDescent="0.3">
      <c r="A1160" s="2">
        <v>22334</v>
      </c>
      <c r="B1160" s="1" t="s">
        <v>6987</v>
      </c>
      <c r="C1160" s="1" t="s">
        <v>6988</v>
      </c>
      <c r="D1160" s="1" t="s">
        <v>6989</v>
      </c>
      <c r="E1160" s="1" t="s">
        <v>6990</v>
      </c>
      <c r="F1160" s="1" t="s">
        <v>6991</v>
      </c>
      <c r="G1160" s="1" t="s">
        <v>6992</v>
      </c>
      <c r="H1160" s="1" t="s">
        <v>6993</v>
      </c>
    </row>
    <row r="1161" spans="1:8" x14ac:dyDescent="0.3">
      <c r="A1161" s="2" t="s">
        <v>6994</v>
      </c>
      <c r="B1161" s="1" t="s">
        <v>6995</v>
      </c>
      <c r="C1161" s="1" t="s">
        <v>6996</v>
      </c>
      <c r="D1161" s="1" t="s">
        <v>6997</v>
      </c>
      <c r="E1161" s="1" t="s">
        <v>6998</v>
      </c>
      <c r="F1161" s="1" t="s">
        <v>6999</v>
      </c>
      <c r="G1161" s="1" t="s">
        <v>7000</v>
      </c>
      <c r="H1161" s="1" t="s">
        <v>7001</v>
      </c>
    </row>
    <row r="1162" spans="1:8" x14ac:dyDescent="0.3">
      <c r="A1162" s="2">
        <v>22335</v>
      </c>
      <c r="B1162" s="1" t="s">
        <v>7002</v>
      </c>
      <c r="C1162" s="1" t="s">
        <v>7003</v>
      </c>
      <c r="D1162" s="1" t="s">
        <v>7004</v>
      </c>
      <c r="E1162" s="1" t="s">
        <v>7005</v>
      </c>
      <c r="F1162" s="1" t="s">
        <v>7006</v>
      </c>
      <c r="G1162" s="1" t="s">
        <v>7004</v>
      </c>
      <c r="H1162" s="1" t="s">
        <v>7007</v>
      </c>
    </row>
    <row r="1163" spans="1:8" x14ac:dyDescent="0.3">
      <c r="A1163" s="2" t="s">
        <v>7008</v>
      </c>
      <c r="B1163" s="1" t="s">
        <v>7009</v>
      </c>
      <c r="C1163" s="1" t="s">
        <v>7010</v>
      </c>
      <c r="D1163" s="1" t="s">
        <v>7011</v>
      </c>
      <c r="E1163" s="1" t="s">
        <v>7011</v>
      </c>
      <c r="F1163" s="1" t="s">
        <v>7012</v>
      </c>
      <c r="G1163" s="1" t="s">
        <v>7012</v>
      </c>
      <c r="H1163" s="1" t="s">
        <v>7013</v>
      </c>
    </row>
    <row r="1164" spans="1:8" x14ac:dyDescent="0.3">
      <c r="A1164" s="2">
        <v>22336</v>
      </c>
      <c r="B1164" s="1" t="s">
        <v>7014</v>
      </c>
      <c r="C1164" s="1" t="s">
        <v>7015</v>
      </c>
      <c r="D1164" s="1" t="s">
        <v>7016</v>
      </c>
      <c r="F1164" s="1" t="s">
        <v>7017</v>
      </c>
      <c r="G1164" s="1" t="s">
        <v>7018</v>
      </c>
      <c r="H1164" s="1" t="s">
        <v>7019</v>
      </c>
    </row>
    <row r="1165" spans="1:8" x14ac:dyDescent="0.3">
      <c r="A1165" s="2">
        <v>22337</v>
      </c>
      <c r="B1165" s="1" t="s">
        <v>7020</v>
      </c>
      <c r="C1165" s="1" t="s">
        <v>7021</v>
      </c>
      <c r="D1165" s="1" t="s">
        <v>7022</v>
      </c>
      <c r="E1165" s="1" t="s">
        <v>7023</v>
      </c>
      <c r="F1165" s="1" t="s">
        <v>7020</v>
      </c>
      <c r="G1165" s="1" t="s">
        <v>7024</v>
      </c>
      <c r="H1165" s="1" t="s">
        <v>7025</v>
      </c>
    </row>
    <row r="1166" spans="1:8" x14ac:dyDescent="0.3">
      <c r="A1166" s="2" t="s">
        <v>7026</v>
      </c>
      <c r="B1166" s="1" t="s">
        <v>7027</v>
      </c>
      <c r="C1166" s="1" t="s">
        <v>7028</v>
      </c>
      <c r="D1166" s="1" t="s">
        <v>7029</v>
      </c>
      <c r="E1166" s="1" t="s">
        <v>7030</v>
      </c>
      <c r="F1166" s="1" t="s">
        <v>7020</v>
      </c>
      <c r="G1166" s="1" t="s">
        <v>7031</v>
      </c>
      <c r="H1166" s="1" t="s">
        <v>7032</v>
      </c>
    </row>
    <row r="1167" spans="1:8" x14ac:dyDescent="0.3">
      <c r="A1167" s="2">
        <v>22338</v>
      </c>
      <c r="B1167" s="1" t="s">
        <v>7033</v>
      </c>
      <c r="C1167" s="1" t="s">
        <v>7034</v>
      </c>
      <c r="D1167" s="1" t="s">
        <v>7035</v>
      </c>
      <c r="E1167" s="1" t="s">
        <v>7036</v>
      </c>
      <c r="F1167" s="1" t="s">
        <v>7037</v>
      </c>
      <c r="G1167" s="1" t="s">
        <v>7038</v>
      </c>
      <c r="H1167" s="1" t="s">
        <v>7039</v>
      </c>
    </row>
    <row r="1168" spans="1:8" x14ac:dyDescent="0.3">
      <c r="A1168" s="2" t="s">
        <v>7040</v>
      </c>
      <c r="B1168" s="1" t="s">
        <v>7041</v>
      </c>
      <c r="C1168" s="1" t="s">
        <v>7042</v>
      </c>
      <c r="D1168" s="1" t="s">
        <v>7043</v>
      </c>
      <c r="F1168" s="1" t="s">
        <v>7044</v>
      </c>
      <c r="G1168" s="1" t="s">
        <v>7045</v>
      </c>
      <c r="H1168" s="1" t="s">
        <v>7046</v>
      </c>
    </row>
    <row r="1169" spans="1:8" x14ac:dyDescent="0.3">
      <c r="A1169" s="2">
        <v>22339</v>
      </c>
      <c r="B1169" s="1" t="s">
        <v>7047</v>
      </c>
      <c r="C1169" s="1" t="s">
        <v>7048</v>
      </c>
      <c r="D1169" s="1" t="s">
        <v>7049</v>
      </c>
      <c r="E1169" s="1" t="s">
        <v>7050</v>
      </c>
      <c r="F1169" s="1" t="s">
        <v>7051</v>
      </c>
      <c r="G1169" s="1" t="s">
        <v>7052</v>
      </c>
      <c r="H1169" s="1" t="s">
        <v>7053</v>
      </c>
    </row>
    <row r="1170" spans="1:8" x14ac:dyDescent="0.3">
      <c r="A1170" s="2" t="s">
        <v>7054</v>
      </c>
      <c r="B1170" s="1" t="s">
        <v>7055</v>
      </c>
      <c r="C1170" s="1" t="s">
        <v>7056</v>
      </c>
      <c r="D1170" s="1" t="s">
        <v>7057</v>
      </c>
      <c r="E1170" s="1" t="s">
        <v>7058</v>
      </c>
      <c r="F1170" s="1" t="s">
        <v>7051</v>
      </c>
      <c r="G1170" s="1" t="s">
        <v>57</v>
      </c>
      <c r="H1170" s="1" t="s">
        <v>7059</v>
      </c>
    </row>
    <row r="1171" spans="1:8" x14ac:dyDescent="0.3">
      <c r="A1171" s="2">
        <v>22340</v>
      </c>
      <c r="B1171" s="1" t="s">
        <v>6737</v>
      </c>
      <c r="C1171" s="1" t="s">
        <v>7060</v>
      </c>
      <c r="D1171" s="1" t="s">
        <v>7061</v>
      </c>
      <c r="E1171" s="1" t="s">
        <v>7062</v>
      </c>
      <c r="F1171" s="1" t="s">
        <v>7063</v>
      </c>
      <c r="G1171" s="1" t="s">
        <v>7064</v>
      </c>
      <c r="H1171" s="1" t="s">
        <v>7065</v>
      </c>
    </row>
    <row r="1172" spans="1:8" x14ac:dyDescent="0.3">
      <c r="A1172" s="2" t="s">
        <v>7066</v>
      </c>
      <c r="B1172" s="1" t="s">
        <v>7067</v>
      </c>
      <c r="C1172" s="1" t="s">
        <v>7068</v>
      </c>
      <c r="D1172" s="1" t="s">
        <v>6737</v>
      </c>
      <c r="F1172" s="1" t="s">
        <v>7069</v>
      </c>
      <c r="H1172" s="1" t="s">
        <v>7070</v>
      </c>
    </row>
    <row r="1173" spans="1:8" x14ac:dyDescent="0.3">
      <c r="A1173" s="2">
        <v>22341</v>
      </c>
      <c r="B1173" s="1" t="s">
        <v>7071</v>
      </c>
      <c r="C1173" s="1" t="s">
        <v>7072</v>
      </c>
      <c r="D1173" s="1" t="s">
        <v>7073</v>
      </c>
      <c r="E1173" s="1" t="s">
        <v>7074</v>
      </c>
      <c r="F1173" s="1" t="s">
        <v>7075</v>
      </c>
      <c r="G1173" s="1" t="s">
        <v>7076</v>
      </c>
      <c r="H1173" s="1" t="s">
        <v>7077</v>
      </c>
    </row>
    <row r="1174" spans="1:8" x14ac:dyDescent="0.3">
      <c r="A1174" s="2" t="s">
        <v>7078</v>
      </c>
      <c r="B1174" s="1" t="s">
        <v>7079</v>
      </c>
      <c r="C1174" s="1" t="s">
        <v>7080</v>
      </c>
      <c r="D1174" s="1" t="s">
        <v>7081</v>
      </c>
      <c r="F1174" s="1" t="s">
        <v>7082</v>
      </c>
      <c r="G1174" s="1" t="s">
        <v>7083</v>
      </c>
      <c r="H1174" s="1" t="s">
        <v>7084</v>
      </c>
    </row>
    <row r="1175" spans="1:8" x14ac:dyDescent="0.3">
      <c r="A1175" s="2" t="s">
        <v>7085</v>
      </c>
      <c r="B1175" s="1" t="s">
        <v>7086</v>
      </c>
      <c r="C1175" s="1" t="s">
        <v>7087</v>
      </c>
      <c r="F1175" s="1" t="s">
        <v>7088</v>
      </c>
      <c r="G1175" s="1" t="s">
        <v>7089</v>
      </c>
      <c r="H1175" s="1" t="s">
        <v>7090</v>
      </c>
    </row>
    <row r="1176" spans="1:8" x14ac:dyDescent="0.3">
      <c r="A1176" s="2" t="s">
        <v>7091</v>
      </c>
      <c r="B1176" s="1" t="s">
        <v>7092</v>
      </c>
      <c r="C1176" s="1" t="s">
        <v>7093</v>
      </c>
      <c r="D1176" s="1" t="s">
        <v>7094</v>
      </c>
      <c r="F1176" s="1" t="s">
        <v>7095</v>
      </c>
      <c r="H1176" s="1" t="s">
        <v>7096</v>
      </c>
    </row>
    <row r="1177" spans="1:8" x14ac:dyDescent="0.3">
      <c r="A1177" s="2">
        <v>22342</v>
      </c>
      <c r="B1177" s="1" t="s">
        <v>7097</v>
      </c>
      <c r="C1177" s="1" t="s">
        <v>7098</v>
      </c>
      <c r="D1177" s="1" t="s">
        <v>7099</v>
      </c>
      <c r="E1177" s="1" t="s">
        <v>7100</v>
      </c>
      <c r="F1177" s="1" t="s">
        <v>7097</v>
      </c>
      <c r="G1177" s="1" t="s">
        <v>7101</v>
      </c>
      <c r="H1177" s="1" t="s">
        <v>7097</v>
      </c>
    </row>
    <row r="1178" spans="1:8" x14ac:dyDescent="0.3">
      <c r="A1178" s="2" t="s">
        <v>7102</v>
      </c>
      <c r="B1178" s="1" t="s">
        <v>7103</v>
      </c>
      <c r="C1178" s="1" t="s">
        <v>7104</v>
      </c>
      <c r="D1178" s="1" t="s">
        <v>7105</v>
      </c>
      <c r="E1178" s="1" t="s">
        <v>7100</v>
      </c>
      <c r="F1178" s="1" t="s">
        <v>7106</v>
      </c>
      <c r="G1178" s="1" t="s">
        <v>7107</v>
      </c>
      <c r="H1178" s="1" t="s">
        <v>7108</v>
      </c>
    </row>
    <row r="1179" spans="1:8" x14ac:dyDescent="0.3">
      <c r="A1179" s="2">
        <v>22343</v>
      </c>
      <c r="B1179" s="1" t="s">
        <v>7109</v>
      </c>
      <c r="C1179" s="1" t="s">
        <v>7110</v>
      </c>
      <c r="D1179" s="1" t="s">
        <v>7111</v>
      </c>
      <c r="E1179" s="1" t="s">
        <v>7112</v>
      </c>
      <c r="F1179" s="1" t="s">
        <v>7113</v>
      </c>
      <c r="G1179" s="1" t="s">
        <v>7114</v>
      </c>
      <c r="H1179" s="1" t="s">
        <v>7115</v>
      </c>
    </row>
    <row r="1180" spans="1:8" x14ac:dyDescent="0.3">
      <c r="A1180" s="2" t="s">
        <v>7116</v>
      </c>
      <c r="B1180" s="1" t="s">
        <v>7117</v>
      </c>
      <c r="C1180" s="1" t="s">
        <v>7118</v>
      </c>
      <c r="D1180" s="1" t="s">
        <v>7119</v>
      </c>
      <c r="E1180" s="1" t="s">
        <v>7120</v>
      </c>
      <c r="F1180" s="1" t="s">
        <v>7121</v>
      </c>
      <c r="G1180" s="1" t="s">
        <v>7122</v>
      </c>
      <c r="H1180" s="1" t="s">
        <v>7123</v>
      </c>
    </row>
    <row r="1181" spans="1:8" x14ac:dyDescent="0.3">
      <c r="A1181" s="2">
        <v>22344</v>
      </c>
      <c r="B1181" s="1" t="s">
        <v>7124</v>
      </c>
      <c r="C1181" s="1" t="s">
        <v>7125</v>
      </c>
      <c r="D1181" s="1" t="s">
        <v>7126</v>
      </c>
      <c r="E1181" s="1" t="s">
        <v>7127</v>
      </c>
      <c r="F1181" s="1" t="s">
        <v>7128</v>
      </c>
      <c r="G1181" s="1" t="s">
        <v>7129</v>
      </c>
      <c r="H1181" s="1" t="s">
        <v>7130</v>
      </c>
    </row>
    <row r="1182" spans="1:8" x14ac:dyDescent="0.3">
      <c r="A1182" s="2" t="s">
        <v>7131</v>
      </c>
      <c r="B1182" s="1" t="s">
        <v>7132</v>
      </c>
      <c r="C1182" s="1" t="s">
        <v>7133</v>
      </c>
      <c r="E1182" s="1" t="s">
        <v>7134</v>
      </c>
      <c r="F1182" s="1" t="s">
        <v>7135</v>
      </c>
    </row>
    <row r="1183" spans="1:8" x14ac:dyDescent="0.3">
      <c r="A1183" s="2">
        <v>22345</v>
      </c>
      <c r="B1183" s="1" t="s">
        <v>7136</v>
      </c>
      <c r="C1183" s="1" t="s">
        <v>7137</v>
      </c>
      <c r="D1183" s="1" t="s">
        <v>7138</v>
      </c>
      <c r="E1183" s="1" t="s">
        <v>7139</v>
      </c>
      <c r="F1183" s="1" t="s">
        <v>7140</v>
      </c>
      <c r="G1183" s="1" t="s">
        <v>7141</v>
      </c>
      <c r="H1183" s="1" t="s">
        <v>7142</v>
      </c>
    </row>
    <row r="1184" spans="1:8" x14ac:dyDescent="0.3">
      <c r="A1184" s="2" t="s">
        <v>7143</v>
      </c>
      <c r="B1184" s="1" t="s">
        <v>7144</v>
      </c>
      <c r="C1184" s="1" t="s">
        <v>7145</v>
      </c>
      <c r="F1184" s="1" t="s">
        <v>7139</v>
      </c>
      <c r="G1184" s="1" t="s">
        <v>7146</v>
      </c>
      <c r="H1184" s="1" t="s">
        <v>7147</v>
      </c>
    </row>
    <row r="1185" spans="1:8" x14ac:dyDescent="0.3">
      <c r="A1185" s="2" t="s">
        <v>7148</v>
      </c>
      <c r="B1185" s="1" t="s">
        <v>7149</v>
      </c>
      <c r="C1185" s="1" t="s">
        <v>7150</v>
      </c>
      <c r="D1185" s="1" t="s">
        <v>7151</v>
      </c>
      <c r="E1185" s="1" t="s">
        <v>7152</v>
      </c>
      <c r="F1185" s="1" t="s">
        <v>7153</v>
      </c>
      <c r="G1185" s="1" t="s">
        <v>7154</v>
      </c>
      <c r="H1185" s="1" t="s">
        <v>7155</v>
      </c>
    </row>
    <row r="1186" spans="1:8" x14ac:dyDescent="0.3">
      <c r="A1186" s="2" t="s">
        <v>7156</v>
      </c>
      <c r="B1186" s="1" t="s">
        <v>7157</v>
      </c>
      <c r="C1186" s="1" t="s">
        <v>7158</v>
      </c>
      <c r="D1186" s="1" t="s">
        <v>7151</v>
      </c>
      <c r="E1186" s="1" t="s">
        <v>7159</v>
      </c>
      <c r="G1186" s="1" t="s">
        <v>7160</v>
      </c>
      <c r="H1186" s="1" t="s">
        <v>7161</v>
      </c>
    </row>
    <row r="1187" spans="1:8" x14ac:dyDescent="0.3">
      <c r="A1187" s="2">
        <v>22346</v>
      </c>
      <c r="B1187" s="1" t="s">
        <v>7162</v>
      </c>
      <c r="C1187" s="1" t="s">
        <v>7163</v>
      </c>
      <c r="D1187" s="1" t="s">
        <v>7164</v>
      </c>
      <c r="E1187" s="1" t="s">
        <v>7165</v>
      </c>
      <c r="F1187" s="1" t="s">
        <v>7166</v>
      </c>
      <c r="G1187" s="1" t="s">
        <v>7164</v>
      </c>
      <c r="H1187" s="1" t="s">
        <v>7167</v>
      </c>
    </row>
    <row r="1188" spans="1:8" x14ac:dyDescent="0.3">
      <c r="A1188" s="2" t="s">
        <v>7168</v>
      </c>
      <c r="B1188" s="1" t="s">
        <v>7169</v>
      </c>
      <c r="C1188" s="1" t="s">
        <v>7170</v>
      </c>
      <c r="D1188" s="1" t="s">
        <v>7171</v>
      </c>
      <c r="E1188" s="1" t="s">
        <v>7164</v>
      </c>
      <c r="F1188" s="1" t="s">
        <v>7172</v>
      </c>
      <c r="G1188" s="1" t="s">
        <v>7173</v>
      </c>
      <c r="H1188" s="1" t="s">
        <v>7174</v>
      </c>
    </row>
    <row r="1189" spans="1:8" x14ac:dyDescent="0.3">
      <c r="A1189" s="2" t="s">
        <v>7175</v>
      </c>
      <c r="B1189" s="1" t="s">
        <v>7176</v>
      </c>
      <c r="C1189" s="1" t="s">
        <v>7177</v>
      </c>
      <c r="D1189" s="1" t="s">
        <v>7178</v>
      </c>
      <c r="E1189" s="1" t="s">
        <v>7179</v>
      </c>
      <c r="F1189" s="1" t="s">
        <v>7179</v>
      </c>
      <c r="G1189" s="1" t="s">
        <v>7180</v>
      </c>
      <c r="H1189" s="1" t="s">
        <v>7181</v>
      </c>
    </row>
    <row r="1190" spans="1:8" x14ac:dyDescent="0.3">
      <c r="A1190" s="2" t="s">
        <v>7182</v>
      </c>
      <c r="B1190" s="1" t="s">
        <v>7183</v>
      </c>
      <c r="C1190" s="1" t="s">
        <v>7184</v>
      </c>
      <c r="D1190" s="1" t="s">
        <v>7185</v>
      </c>
      <c r="E1190" s="1" t="s">
        <v>7186</v>
      </c>
      <c r="G1190" s="1" t="s">
        <v>7187</v>
      </c>
      <c r="H1190" s="1" t="s">
        <v>7188</v>
      </c>
    </row>
    <row r="1191" spans="1:8" x14ac:dyDescent="0.3">
      <c r="A1191" s="2">
        <v>22347</v>
      </c>
      <c r="B1191" s="1" t="s">
        <v>7189</v>
      </c>
      <c r="C1191" s="1" t="s">
        <v>7190</v>
      </c>
      <c r="D1191" s="1" t="s">
        <v>7191</v>
      </c>
      <c r="F1191" s="1" t="s">
        <v>7192</v>
      </c>
      <c r="G1191" s="1" t="s">
        <v>7193</v>
      </c>
      <c r="H1191" s="1" t="s">
        <v>7194</v>
      </c>
    </row>
    <row r="1192" spans="1:8" x14ac:dyDescent="0.3">
      <c r="A1192" s="2">
        <v>22348</v>
      </c>
      <c r="B1192" s="1" t="s">
        <v>7195</v>
      </c>
      <c r="C1192" s="1" t="s">
        <v>7196</v>
      </c>
      <c r="D1192" s="1" t="s">
        <v>7197</v>
      </c>
      <c r="F1192" s="1" t="s">
        <v>7153</v>
      </c>
      <c r="G1192" s="1" t="s">
        <v>7198</v>
      </c>
      <c r="H1192" s="1" t="s">
        <v>7199</v>
      </c>
    </row>
    <row r="1193" spans="1:8" x14ac:dyDescent="0.3">
      <c r="A1193" s="2" t="s">
        <v>7200</v>
      </c>
      <c r="B1193" s="1" t="s">
        <v>7201</v>
      </c>
      <c r="C1193" s="1" t="s">
        <v>7202</v>
      </c>
      <c r="D1193" s="1" t="s">
        <v>7203</v>
      </c>
      <c r="F1193" s="1" t="s">
        <v>7153</v>
      </c>
      <c r="G1193" s="1" t="s">
        <v>7204</v>
      </c>
      <c r="H1193" s="1" t="s">
        <v>7205</v>
      </c>
    </row>
    <row r="1194" spans="1:8" x14ac:dyDescent="0.3">
      <c r="A1194" s="2">
        <v>22349</v>
      </c>
      <c r="B1194" s="1" t="s">
        <v>7206</v>
      </c>
      <c r="C1194" s="1" t="s">
        <v>7207</v>
      </c>
      <c r="D1194" s="1" t="s">
        <v>7208</v>
      </c>
      <c r="F1194" s="1" t="s">
        <v>7179</v>
      </c>
      <c r="G1194" s="1" t="s">
        <v>7209</v>
      </c>
      <c r="H1194" s="1" t="s">
        <v>7210</v>
      </c>
    </row>
    <row r="1195" spans="1:8" x14ac:dyDescent="0.3">
      <c r="A1195" s="2" t="s">
        <v>7211</v>
      </c>
      <c r="B1195" s="1" t="s">
        <v>7212</v>
      </c>
      <c r="C1195" s="1" t="s">
        <v>7213</v>
      </c>
      <c r="D1195" s="1" t="s">
        <v>7214</v>
      </c>
      <c r="F1195" s="1" t="s">
        <v>7179</v>
      </c>
      <c r="G1195" s="1" t="s">
        <v>7209</v>
      </c>
      <c r="H1195" s="1" t="s">
        <v>7215</v>
      </c>
    </row>
    <row r="1196" spans="1:8" x14ac:dyDescent="0.3">
      <c r="A1196" s="2">
        <v>22350</v>
      </c>
      <c r="B1196" s="1" t="s">
        <v>7216</v>
      </c>
      <c r="C1196" s="1" t="s">
        <v>7217</v>
      </c>
      <c r="D1196" s="1" t="s">
        <v>7218</v>
      </c>
      <c r="E1196" s="1" t="s">
        <v>7219</v>
      </c>
      <c r="G1196" s="1" t="s">
        <v>7220</v>
      </c>
      <c r="H1196" s="1" t="s">
        <v>7221</v>
      </c>
    </row>
    <row r="1197" spans="1:8" x14ac:dyDescent="0.3">
      <c r="A1197" s="2" t="s">
        <v>7222</v>
      </c>
      <c r="B1197" s="1" t="s">
        <v>7223</v>
      </c>
      <c r="C1197" s="1" t="s">
        <v>7224</v>
      </c>
      <c r="E1197" s="1" t="s">
        <v>7221</v>
      </c>
      <c r="G1197" s="1" t="s">
        <v>7225</v>
      </c>
      <c r="H1197" s="1" t="s">
        <v>7226</v>
      </c>
    </row>
    <row r="1198" spans="1:8" x14ac:dyDescent="0.3">
      <c r="A1198" s="2">
        <v>22351</v>
      </c>
      <c r="B1198" s="1" t="s">
        <v>7227</v>
      </c>
      <c r="C1198" s="1" t="s">
        <v>7228</v>
      </c>
      <c r="D1198" s="1" t="s">
        <v>7229</v>
      </c>
      <c r="E1198" s="1" t="s">
        <v>7230</v>
      </c>
      <c r="F1198" s="1" t="s">
        <v>7231</v>
      </c>
      <c r="G1198" s="1" t="s">
        <v>7232</v>
      </c>
      <c r="H1198" s="1" t="s">
        <v>7233</v>
      </c>
    </row>
    <row r="1199" spans="1:8" x14ac:dyDescent="0.3">
      <c r="A1199" s="2" t="s">
        <v>7234</v>
      </c>
      <c r="B1199" s="1" t="s">
        <v>7235</v>
      </c>
      <c r="C1199" s="1" t="s">
        <v>7236</v>
      </c>
      <c r="E1199" s="1" t="s">
        <v>7237</v>
      </c>
      <c r="F1199" s="1" t="s">
        <v>7238</v>
      </c>
      <c r="G1199" s="1" t="s">
        <v>7239</v>
      </c>
      <c r="H1199" s="1" t="s">
        <v>7240</v>
      </c>
    </row>
    <row r="1200" spans="1:8" x14ac:dyDescent="0.3">
      <c r="A1200" s="2">
        <v>22352</v>
      </c>
      <c r="B1200" s="1" t="s">
        <v>7241</v>
      </c>
      <c r="C1200" s="1" t="s">
        <v>7242</v>
      </c>
      <c r="E1200" s="1" t="s">
        <v>7243</v>
      </c>
      <c r="F1200" s="1" t="s">
        <v>7244</v>
      </c>
      <c r="G1200" s="1" t="s">
        <v>7245</v>
      </c>
      <c r="H1200" s="1" t="s">
        <v>7246</v>
      </c>
    </row>
    <row r="1201" spans="1:8" x14ac:dyDescent="0.3">
      <c r="A1201" s="2" t="s">
        <v>7247</v>
      </c>
      <c r="B1201" s="1" t="s">
        <v>7248</v>
      </c>
      <c r="C1201" s="1" t="s">
        <v>7249</v>
      </c>
      <c r="F1201" s="1" t="s">
        <v>7241</v>
      </c>
      <c r="G1201" s="1" t="s">
        <v>7250</v>
      </c>
      <c r="H1201" s="1" t="s">
        <v>7251</v>
      </c>
    </row>
    <row r="1202" spans="1:8" x14ac:dyDescent="0.3">
      <c r="A1202" s="2">
        <v>22353</v>
      </c>
      <c r="B1202" s="1" t="s">
        <v>7252</v>
      </c>
      <c r="C1202" s="1" t="s">
        <v>7253</v>
      </c>
      <c r="D1202" s="1" t="s">
        <v>7254</v>
      </c>
      <c r="E1202" s="1" t="s">
        <v>7255</v>
      </c>
      <c r="F1202" s="1" t="s">
        <v>7256</v>
      </c>
      <c r="G1202" s="1" t="s">
        <v>7257</v>
      </c>
      <c r="H1202" s="1" t="s">
        <v>7252</v>
      </c>
    </row>
    <row r="1203" spans="1:8" x14ac:dyDescent="0.3">
      <c r="A1203" s="2">
        <v>22354</v>
      </c>
      <c r="B1203" s="1" t="s">
        <v>7258</v>
      </c>
      <c r="C1203" s="1" t="s">
        <v>7259</v>
      </c>
      <c r="D1203" s="1" t="s">
        <v>7260</v>
      </c>
      <c r="F1203" s="1" t="s">
        <v>7261</v>
      </c>
      <c r="G1203" s="1" t="s">
        <v>7262</v>
      </c>
      <c r="H1203" s="1" t="s">
        <v>7258</v>
      </c>
    </row>
    <row r="1204" spans="1:8" x14ac:dyDescent="0.3">
      <c r="A1204" s="2">
        <v>22355</v>
      </c>
      <c r="B1204" s="1" t="s">
        <v>7263</v>
      </c>
      <c r="C1204" s="1" t="s">
        <v>7264</v>
      </c>
      <c r="D1204" s="1" t="s">
        <v>7265</v>
      </c>
      <c r="E1204" s="1" t="s">
        <v>7266</v>
      </c>
      <c r="F1204" s="1" t="s">
        <v>7267</v>
      </c>
      <c r="G1204" s="1" t="s">
        <v>7268</v>
      </c>
      <c r="H1204" s="1" t="s">
        <v>7263</v>
      </c>
    </row>
    <row r="1205" spans="1:8" x14ac:dyDescent="0.3">
      <c r="A1205" s="2" t="s">
        <v>7269</v>
      </c>
      <c r="B1205" s="1" t="s">
        <v>7270</v>
      </c>
      <c r="C1205" s="1" t="s">
        <v>7271</v>
      </c>
      <c r="D1205" s="1" t="s">
        <v>7272</v>
      </c>
      <c r="E1205" s="1" t="s">
        <v>7273</v>
      </c>
      <c r="F1205" s="1" t="s">
        <v>7274</v>
      </c>
      <c r="G1205" s="1" t="s">
        <v>7275</v>
      </c>
      <c r="H1205" s="1" t="s">
        <v>7276</v>
      </c>
    </row>
    <row r="1206" spans="1:8" x14ac:dyDescent="0.3">
      <c r="A1206" s="2">
        <v>22356</v>
      </c>
      <c r="B1206" s="1" t="s">
        <v>7277</v>
      </c>
      <c r="C1206" s="1" t="s">
        <v>7278</v>
      </c>
      <c r="D1206" s="1" t="s">
        <v>7277</v>
      </c>
      <c r="E1206" s="1" t="s">
        <v>7277</v>
      </c>
      <c r="F1206" s="1" t="s">
        <v>7279</v>
      </c>
      <c r="G1206" s="1" t="s">
        <v>7280</v>
      </c>
      <c r="H1206" s="1" t="s">
        <v>7277</v>
      </c>
    </row>
    <row r="1207" spans="1:8" x14ac:dyDescent="0.3">
      <c r="A1207" s="2" t="s">
        <v>7281</v>
      </c>
      <c r="B1207" s="1" t="s">
        <v>7282</v>
      </c>
      <c r="C1207" s="1" t="s">
        <v>7283</v>
      </c>
      <c r="E1207" s="1" t="s">
        <v>7284</v>
      </c>
      <c r="F1207" s="1" t="s">
        <v>57</v>
      </c>
      <c r="G1207" s="1" t="s">
        <v>7285</v>
      </c>
      <c r="H1207" s="1" t="s">
        <v>7286</v>
      </c>
    </row>
    <row r="1208" spans="1:8" x14ac:dyDescent="0.3">
      <c r="A1208" s="2">
        <v>22357</v>
      </c>
      <c r="B1208" s="1" t="s">
        <v>7287</v>
      </c>
      <c r="C1208" s="1" t="s">
        <v>7288</v>
      </c>
      <c r="D1208" s="1" t="s">
        <v>7289</v>
      </c>
      <c r="E1208" s="1" t="s">
        <v>7290</v>
      </c>
      <c r="F1208" s="1" t="s">
        <v>7291</v>
      </c>
      <c r="G1208" s="1" t="s">
        <v>7292</v>
      </c>
      <c r="H1208" s="1" t="s">
        <v>7293</v>
      </c>
    </row>
    <row r="1209" spans="1:8" x14ac:dyDescent="0.3">
      <c r="A1209" s="2">
        <v>22358</v>
      </c>
      <c r="B1209" s="1" t="s">
        <v>7294</v>
      </c>
      <c r="C1209" s="1" t="s">
        <v>7295</v>
      </c>
      <c r="D1209" s="1" t="s">
        <v>7296</v>
      </c>
      <c r="E1209" s="1" t="s">
        <v>7294</v>
      </c>
      <c r="F1209" s="1" t="s">
        <v>7297</v>
      </c>
      <c r="G1209" s="1" t="s">
        <v>7294</v>
      </c>
      <c r="H1209" s="1" t="s">
        <v>7298</v>
      </c>
    </row>
    <row r="1210" spans="1:8" x14ac:dyDescent="0.3">
      <c r="A1210" s="2" t="s">
        <v>7299</v>
      </c>
      <c r="B1210" s="1" t="s">
        <v>7300</v>
      </c>
      <c r="C1210" s="1" t="s">
        <v>7301</v>
      </c>
      <c r="D1210" s="1" t="s">
        <v>7302</v>
      </c>
      <c r="F1210" s="1" t="s">
        <v>7303</v>
      </c>
      <c r="G1210" s="1" t="s">
        <v>7304</v>
      </c>
      <c r="H1210" s="1" t="s">
        <v>7305</v>
      </c>
    </row>
    <row r="1211" spans="1:8" x14ac:dyDescent="0.3">
      <c r="A1211" s="2">
        <v>22359</v>
      </c>
      <c r="B1211" s="1" t="s">
        <v>7306</v>
      </c>
      <c r="C1211" s="1" t="s">
        <v>7307</v>
      </c>
      <c r="E1211" s="1" t="s">
        <v>7306</v>
      </c>
      <c r="G1211" s="1" t="s">
        <v>7306</v>
      </c>
      <c r="H1211" s="1" t="s">
        <v>7306</v>
      </c>
    </row>
    <row r="1212" spans="1:8" x14ac:dyDescent="0.3">
      <c r="A1212" s="2" t="s">
        <v>7308</v>
      </c>
      <c r="B1212" s="1" t="s">
        <v>7309</v>
      </c>
      <c r="C1212" s="1" t="s">
        <v>7310</v>
      </c>
      <c r="G1212" s="1" t="s">
        <v>7306</v>
      </c>
      <c r="H1212" s="1" t="s">
        <v>7311</v>
      </c>
    </row>
    <row r="1213" spans="1:8" x14ac:dyDescent="0.3">
      <c r="A1213" s="2">
        <v>22360</v>
      </c>
      <c r="B1213" s="1" t="s">
        <v>7312</v>
      </c>
      <c r="C1213" s="1" t="s">
        <v>7313</v>
      </c>
      <c r="E1213" s="1" t="s">
        <v>7314</v>
      </c>
      <c r="F1213" s="1" t="s">
        <v>7315</v>
      </c>
      <c r="G1213" s="1" t="s">
        <v>7316</v>
      </c>
      <c r="H1213" s="1" t="s">
        <v>7317</v>
      </c>
    </row>
    <row r="1214" spans="1:8" x14ac:dyDescent="0.3">
      <c r="A1214" s="2">
        <v>22361</v>
      </c>
      <c r="B1214" s="1" t="s">
        <v>7318</v>
      </c>
      <c r="C1214" s="1" t="s">
        <v>7319</v>
      </c>
      <c r="D1214" s="1" t="s">
        <v>7320</v>
      </c>
      <c r="E1214" s="1" t="s">
        <v>7321</v>
      </c>
      <c r="F1214" s="1" t="s">
        <v>7322</v>
      </c>
      <c r="G1214" s="1" t="s">
        <v>7323</v>
      </c>
      <c r="H1214" s="1" t="s">
        <v>7323</v>
      </c>
    </row>
    <row r="1215" spans="1:8" x14ac:dyDescent="0.3">
      <c r="A1215" s="2" t="s">
        <v>7324</v>
      </c>
      <c r="B1215" s="1" t="s">
        <v>7325</v>
      </c>
      <c r="C1215" s="1" t="s">
        <v>7326</v>
      </c>
      <c r="D1215" s="1" t="s">
        <v>7327</v>
      </c>
      <c r="F1215" s="1" t="s">
        <v>7328</v>
      </c>
      <c r="G1215" s="1" t="s">
        <v>7329</v>
      </c>
      <c r="H1215" s="1" t="s">
        <v>7323</v>
      </c>
    </row>
    <row r="1216" spans="1:8" x14ac:dyDescent="0.3">
      <c r="A1216" s="2">
        <v>22362</v>
      </c>
      <c r="B1216" s="1" t="s">
        <v>7330</v>
      </c>
      <c r="C1216" s="1" t="s">
        <v>7331</v>
      </c>
      <c r="E1216" s="1" t="s">
        <v>7332</v>
      </c>
      <c r="F1216" s="1" t="s">
        <v>7333</v>
      </c>
      <c r="G1216" s="1" t="s">
        <v>7332</v>
      </c>
      <c r="H1216" s="1" t="s">
        <v>7334</v>
      </c>
    </row>
    <row r="1217" spans="1:8" x14ac:dyDescent="0.3">
      <c r="A1217" s="2" t="s">
        <v>7335</v>
      </c>
      <c r="B1217" s="1" t="s">
        <v>7336</v>
      </c>
      <c r="C1217" s="1" t="s">
        <v>7337</v>
      </c>
      <c r="D1217" s="1" t="s">
        <v>7338</v>
      </c>
      <c r="F1217" s="1" t="s">
        <v>7241</v>
      </c>
      <c r="G1217" s="1" t="s">
        <v>7339</v>
      </c>
      <c r="H1217" s="1" t="s">
        <v>7340</v>
      </c>
    </row>
    <row r="1218" spans="1:8" x14ac:dyDescent="0.3">
      <c r="A1218" s="2">
        <v>22363</v>
      </c>
      <c r="B1218" s="1" t="s">
        <v>7341</v>
      </c>
      <c r="C1218" s="1" t="s">
        <v>7342</v>
      </c>
      <c r="D1218" s="1" t="s">
        <v>7343</v>
      </c>
      <c r="F1218" s="1" t="s">
        <v>7344</v>
      </c>
      <c r="G1218" s="1" t="s">
        <v>7345</v>
      </c>
      <c r="H1218" s="1" t="s">
        <v>7346</v>
      </c>
    </row>
    <row r="1219" spans="1:8" x14ac:dyDescent="0.3">
      <c r="A1219" s="2">
        <v>22364</v>
      </c>
      <c r="B1219" s="1" t="s">
        <v>7347</v>
      </c>
      <c r="C1219" s="1" t="s">
        <v>7348</v>
      </c>
      <c r="D1219" s="1" t="s">
        <v>7349</v>
      </c>
      <c r="E1219" s="1" t="s">
        <v>7350</v>
      </c>
      <c r="F1219" s="1" t="s">
        <v>7350</v>
      </c>
      <c r="G1219" s="1" t="s">
        <v>7351</v>
      </c>
      <c r="H1219" s="1" t="s">
        <v>7350</v>
      </c>
    </row>
    <row r="1220" spans="1:8" x14ac:dyDescent="0.3">
      <c r="A1220" s="2" t="s">
        <v>7352</v>
      </c>
      <c r="B1220" s="1" t="s">
        <v>7353</v>
      </c>
      <c r="C1220" s="1" t="s">
        <v>7354</v>
      </c>
      <c r="F1220" s="1" t="s">
        <v>7350</v>
      </c>
      <c r="G1220" s="1" t="s">
        <v>7355</v>
      </c>
      <c r="H1220" s="1" t="s">
        <v>7356</v>
      </c>
    </row>
    <row r="1221" spans="1:8" x14ac:dyDescent="0.3">
      <c r="A1221" s="2">
        <v>22365</v>
      </c>
      <c r="B1221" s="1" t="s">
        <v>7357</v>
      </c>
      <c r="C1221" s="1" t="s">
        <v>7358</v>
      </c>
      <c r="D1221" s="1" t="s">
        <v>7357</v>
      </c>
      <c r="E1221" s="1" t="s">
        <v>7357</v>
      </c>
      <c r="F1221" s="1" t="s">
        <v>7357</v>
      </c>
      <c r="G1221" s="1" t="s">
        <v>7359</v>
      </c>
      <c r="H1221" s="1" t="s">
        <v>7360</v>
      </c>
    </row>
    <row r="1222" spans="1:8" x14ac:dyDescent="0.3">
      <c r="A1222" s="2" t="s">
        <v>7361</v>
      </c>
      <c r="B1222" s="1" t="s">
        <v>7362</v>
      </c>
      <c r="C1222" s="1" t="s">
        <v>7363</v>
      </c>
      <c r="D1222" s="1" t="s">
        <v>7357</v>
      </c>
      <c r="F1222" s="1" t="s">
        <v>7357</v>
      </c>
      <c r="G1222" s="1" t="s">
        <v>7364</v>
      </c>
      <c r="H1222" s="1" t="s">
        <v>7365</v>
      </c>
    </row>
    <row r="1223" spans="1:8" x14ac:dyDescent="0.3">
      <c r="A1223" s="2">
        <v>22366</v>
      </c>
      <c r="B1223" s="1" t="s">
        <v>7366</v>
      </c>
      <c r="C1223" s="1" t="s">
        <v>7367</v>
      </c>
      <c r="D1223" s="1" t="s">
        <v>7368</v>
      </c>
      <c r="E1223" s="1" t="s">
        <v>7369</v>
      </c>
      <c r="F1223" s="1" t="s">
        <v>7370</v>
      </c>
      <c r="G1223" s="1" t="s">
        <v>7371</v>
      </c>
      <c r="H1223" s="1" t="s">
        <v>7372</v>
      </c>
    </row>
    <row r="1224" spans="1:8" x14ac:dyDescent="0.3">
      <c r="A1224" s="2" t="s">
        <v>7373</v>
      </c>
      <c r="B1224" s="1" t="s">
        <v>7374</v>
      </c>
      <c r="C1224" s="1" t="s">
        <v>7375</v>
      </c>
      <c r="F1224" s="1" t="s">
        <v>7376</v>
      </c>
      <c r="G1224" s="1" t="s">
        <v>7377</v>
      </c>
      <c r="H1224" s="1" t="s">
        <v>7378</v>
      </c>
    </row>
    <row r="1225" spans="1:8" x14ac:dyDescent="0.3">
      <c r="A1225" s="2">
        <v>22367</v>
      </c>
      <c r="B1225" s="1" t="s">
        <v>7379</v>
      </c>
      <c r="C1225" s="1" t="s">
        <v>7380</v>
      </c>
      <c r="D1225" s="1" t="s">
        <v>7381</v>
      </c>
      <c r="E1225" s="1" t="s">
        <v>7382</v>
      </c>
      <c r="F1225" s="1" t="s">
        <v>7383</v>
      </c>
      <c r="G1225" s="1" t="s">
        <v>7384</v>
      </c>
      <c r="H1225" s="1" t="s">
        <v>7385</v>
      </c>
    </row>
    <row r="1226" spans="1:8" x14ac:dyDescent="0.3">
      <c r="A1226" s="2" t="s">
        <v>7386</v>
      </c>
      <c r="B1226" s="1" t="s">
        <v>7387</v>
      </c>
      <c r="C1226" s="1" t="s">
        <v>7388</v>
      </c>
      <c r="D1226" s="1" t="s">
        <v>7381</v>
      </c>
      <c r="F1226" s="1" t="s">
        <v>7389</v>
      </c>
      <c r="G1226" s="1" t="s">
        <v>7390</v>
      </c>
      <c r="H1226" s="1" t="s">
        <v>7391</v>
      </c>
    </row>
    <row r="1227" spans="1:8" x14ac:dyDescent="0.3">
      <c r="A1227" s="2">
        <v>22368</v>
      </c>
      <c r="B1227" s="1" t="s">
        <v>7392</v>
      </c>
      <c r="C1227" s="1" t="s">
        <v>7393</v>
      </c>
      <c r="D1227" s="1" t="s">
        <v>7394</v>
      </c>
      <c r="E1227" s="1" t="s">
        <v>7392</v>
      </c>
      <c r="F1227" s="1" t="s">
        <v>7395</v>
      </c>
      <c r="G1227" s="1" t="s">
        <v>7396</v>
      </c>
      <c r="H1227" s="1" t="s">
        <v>7392</v>
      </c>
    </row>
    <row r="1228" spans="1:8" x14ac:dyDescent="0.3">
      <c r="A1228" s="2" t="s">
        <v>7397</v>
      </c>
      <c r="B1228" s="1" t="s">
        <v>7398</v>
      </c>
      <c r="C1228" s="1" t="s">
        <v>7393</v>
      </c>
      <c r="D1228" s="1" t="s">
        <v>7398</v>
      </c>
      <c r="E1228" s="1" t="s">
        <v>7399</v>
      </c>
      <c r="F1228" s="1" t="s">
        <v>7392</v>
      </c>
      <c r="G1228" s="1" t="s">
        <v>7400</v>
      </c>
      <c r="H1228" s="1" t="s">
        <v>7401</v>
      </c>
    </row>
    <row r="1229" spans="1:8" x14ac:dyDescent="0.3">
      <c r="A1229" s="2">
        <v>22369</v>
      </c>
      <c r="B1229" s="1" t="s">
        <v>7402</v>
      </c>
      <c r="C1229" s="1" t="s">
        <v>7403</v>
      </c>
      <c r="E1229" s="1" t="s">
        <v>7404</v>
      </c>
      <c r="F1229" s="1" t="s">
        <v>7241</v>
      </c>
      <c r="G1229" s="1" t="s">
        <v>7404</v>
      </c>
      <c r="H1229" s="1" t="s">
        <v>7405</v>
      </c>
    </row>
    <row r="1230" spans="1:8" x14ac:dyDescent="0.3">
      <c r="A1230" s="2" t="s">
        <v>7406</v>
      </c>
      <c r="B1230" s="1" t="s">
        <v>7407</v>
      </c>
      <c r="C1230" s="1" t="s">
        <v>7408</v>
      </c>
      <c r="E1230" s="1" t="s">
        <v>7404</v>
      </c>
      <c r="F1230" s="1" t="s">
        <v>7409</v>
      </c>
      <c r="G1230" s="1" t="s">
        <v>7410</v>
      </c>
      <c r="H1230" s="1" t="s">
        <v>7411</v>
      </c>
    </row>
    <row r="1231" spans="1:8" x14ac:dyDescent="0.3">
      <c r="A1231" s="2">
        <v>22370</v>
      </c>
      <c r="B1231" s="1" t="s">
        <v>7412</v>
      </c>
      <c r="C1231" s="1" t="s">
        <v>7413</v>
      </c>
      <c r="D1231" s="1" t="s">
        <v>7414</v>
      </c>
      <c r="E1231" s="1" t="s">
        <v>7415</v>
      </c>
      <c r="F1231" s="1" t="s">
        <v>7415</v>
      </c>
      <c r="G1231" s="1" t="s">
        <v>7416</v>
      </c>
      <c r="H1231" s="1" t="s">
        <v>7417</v>
      </c>
    </row>
    <row r="1232" spans="1:8" x14ac:dyDescent="0.3">
      <c r="A1232" s="2">
        <v>22371</v>
      </c>
      <c r="B1232" s="1" t="s">
        <v>7418</v>
      </c>
      <c r="C1232" s="1" t="s">
        <v>7419</v>
      </c>
      <c r="D1232" s="1" t="s">
        <v>7420</v>
      </c>
      <c r="E1232" s="1" t="s">
        <v>7421</v>
      </c>
      <c r="F1232" s="1" t="s">
        <v>7422</v>
      </c>
      <c r="G1232" s="1" t="s">
        <v>7422</v>
      </c>
      <c r="H1232" s="1" t="s">
        <v>7423</v>
      </c>
    </row>
    <row r="1233" spans="1:8" x14ac:dyDescent="0.3">
      <c r="A1233" s="2">
        <v>22372</v>
      </c>
      <c r="B1233" s="1" t="s">
        <v>7424</v>
      </c>
      <c r="C1233" s="1" t="s">
        <v>7425</v>
      </c>
      <c r="D1233" s="1" t="s">
        <v>7426</v>
      </c>
      <c r="E1233" s="1" t="s">
        <v>7427</v>
      </c>
      <c r="F1233" s="1" t="s">
        <v>7428</v>
      </c>
      <c r="G1233" s="1" t="s">
        <v>7429</v>
      </c>
      <c r="H1233" s="1" t="s">
        <v>7430</v>
      </c>
    </row>
    <row r="1234" spans="1:8" x14ac:dyDescent="0.3">
      <c r="A1234" s="2" t="s">
        <v>7431</v>
      </c>
      <c r="B1234" s="1" t="s">
        <v>7432</v>
      </c>
      <c r="C1234" s="1" t="s">
        <v>7433</v>
      </c>
      <c r="D1234" s="1" t="s">
        <v>7434</v>
      </c>
      <c r="E1234" s="1" t="s">
        <v>7435</v>
      </c>
      <c r="F1234" s="1" t="s">
        <v>7436</v>
      </c>
      <c r="G1234" s="1" t="s">
        <v>7437</v>
      </c>
      <c r="H1234" s="1" t="s">
        <v>7435</v>
      </c>
    </row>
    <row r="1235" spans="1:8" x14ac:dyDescent="0.3">
      <c r="A1235" s="2">
        <v>22373</v>
      </c>
      <c r="B1235" s="1" t="s">
        <v>7227</v>
      </c>
      <c r="C1235" s="1" t="s">
        <v>7438</v>
      </c>
      <c r="E1235" s="1" t="s">
        <v>7439</v>
      </c>
      <c r="F1235" s="1" t="s">
        <v>7440</v>
      </c>
      <c r="G1235" s="1" t="s">
        <v>7441</v>
      </c>
      <c r="H1235" s="1" t="s">
        <v>7442</v>
      </c>
    </row>
    <row r="1236" spans="1:8" x14ac:dyDescent="0.3">
      <c r="A1236" s="2" t="s">
        <v>7443</v>
      </c>
      <c r="B1236" s="1" t="s">
        <v>7235</v>
      </c>
      <c r="C1236" s="1" t="s">
        <v>7444</v>
      </c>
      <c r="D1236" s="1" t="s">
        <v>7227</v>
      </c>
      <c r="F1236" s="1" t="s">
        <v>7445</v>
      </c>
      <c r="G1236" s="1" t="s">
        <v>7446</v>
      </c>
      <c r="H1236" s="1" t="s">
        <v>7447</v>
      </c>
    </row>
    <row r="1237" spans="1:8" x14ac:dyDescent="0.3">
      <c r="A1237" s="2">
        <v>22374</v>
      </c>
      <c r="B1237" s="1" t="s">
        <v>7241</v>
      </c>
      <c r="C1237" s="1" t="s">
        <v>7448</v>
      </c>
      <c r="D1237" s="1" t="s">
        <v>7449</v>
      </c>
      <c r="E1237" s="1" t="s">
        <v>7241</v>
      </c>
      <c r="F1237" s="1" t="s">
        <v>7450</v>
      </c>
      <c r="G1237" s="1" t="s">
        <v>7451</v>
      </c>
      <c r="H1237" s="1" t="s">
        <v>7452</v>
      </c>
    </row>
    <row r="1238" spans="1:8" x14ac:dyDescent="0.3">
      <c r="A1238" s="2" t="s">
        <v>7453</v>
      </c>
      <c r="B1238" s="1" t="s">
        <v>7248</v>
      </c>
      <c r="C1238" s="1" t="s">
        <v>7454</v>
      </c>
      <c r="D1238" s="1" t="s">
        <v>7455</v>
      </c>
      <c r="F1238" s="1" t="s">
        <v>7241</v>
      </c>
      <c r="H1238" s="1" t="s">
        <v>7456</v>
      </c>
    </row>
    <row r="1239" spans="1:8" x14ac:dyDescent="0.3">
      <c r="A1239" s="2">
        <v>22375</v>
      </c>
      <c r="B1239" s="1" t="s">
        <v>7457</v>
      </c>
      <c r="C1239" s="1" t="s">
        <v>7458</v>
      </c>
      <c r="D1239" s="1" t="s">
        <v>7459</v>
      </c>
      <c r="E1239" s="1" t="s">
        <v>7460</v>
      </c>
      <c r="F1239" s="1" t="s">
        <v>7461</v>
      </c>
      <c r="G1239" s="1" t="s">
        <v>7462</v>
      </c>
      <c r="H1239" s="1" t="s">
        <v>7463</v>
      </c>
    </row>
    <row r="1240" spans="1:8" x14ac:dyDescent="0.3">
      <c r="A1240" s="2">
        <v>22376</v>
      </c>
      <c r="B1240" s="1" t="s">
        <v>7464</v>
      </c>
      <c r="C1240" s="1" t="s">
        <v>7465</v>
      </c>
      <c r="D1240" s="1" t="s">
        <v>7466</v>
      </c>
      <c r="E1240" s="1" t="s">
        <v>7467</v>
      </c>
      <c r="F1240" s="1" t="s">
        <v>7468</v>
      </c>
      <c r="G1240" s="1" t="s">
        <v>7469</v>
      </c>
      <c r="H1240" s="1" t="s">
        <v>7470</v>
      </c>
    </row>
    <row r="1241" spans="1:8" x14ac:dyDescent="0.3">
      <c r="A1241" s="2" t="s">
        <v>7471</v>
      </c>
      <c r="B1241" s="1" t="s">
        <v>7472</v>
      </c>
      <c r="C1241" s="1" t="s">
        <v>7473</v>
      </c>
      <c r="E1241" s="1" t="s">
        <v>7474</v>
      </c>
      <c r="F1241" s="1" t="s">
        <v>7475</v>
      </c>
      <c r="G1241" s="1" t="s">
        <v>7476</v>
      </c>
      <c r="H1241" s="1" t="s">
        <v>7477</v>
      </c>
    </row>
    <row r="1242" spans="1:8" x14ac:dyDescent="0.3">
      <c r="A1242" s="2">
        <v>22377</v>
      </c>
      <c r="B1242" s="1" t="s">
        <v>7478</v>
      </c>
      <c r="C1242" s="1" t="s">
        <v>7479</v>
      </c>
      <c r="D1242" s="1" t="s">
        <v>7478</v>
      </c>
      <c r="E1242" s="1" t="s">
        <v>7480</v>
      </c>
      <c r="F1242" s="1" t="s">
        <v>7481</v>
      </c>
      <c r="G1242" s="1" t="s">
        <v>7482</v>
      </c>
      <c r="H1242" s="1" t="s">
        <v>7483</v>
      </c>
    </row>
    <row r="1243" spans="1:8" x14ac:dyDescent="0.3">
      <c r="A1243" s="2" t="s">
        <v>7484</v>
      </c>
      <c r="B1243" s="1" t="e">
        <f>-를</f>
        <v>#NAME?</v>
      </c>
      <c r="C1243" s="1" t="s">
        <v>7485</v>
      </c>
      <c r="D1243" s="1" t="s">
        <v>7486</v>
      </c>
      <c r="E1243" s="1" t="s">
        <v>7487</v>
      </c>
      <c r="F1243" s="1" t="s">
        <v>7488</v>
      </c>
      <c r="G1243" s="1" t="s">
        <v>7489</v>
      </c>
      <c r="H1243" s="1" t="s">
        <v>7490</v>
      </c>
    </row>
    <row r="1244" spans="1:8" x14ac:dyDescent="0.3">
      <c r="A1244" s="2">
        <v>22378</v>
      </c>
      <c r="B1244" s="1" t="s">
        <v>7491</v>
      </c>
      <c r="C1244" s="1" t="s">
        <v>7492</v>
      </c>
      <c r="D1244" s="1" t="s">
        <v>7493</v>
      </c>
      <c r="E1244" s="1" t="s">
        <v>7494</v>
      </c>
      <c r="F1244" s="1" t="s">
        <v>7495</v>
      </c>
      <c r="G1244" s="1" t="s">
        <v>7496</v>
      </c>
      <c r="H1244" s="1" t="s">
        <v>7497</v>
      </c>
    </row>
    <row r="1245" spans="1:8" x14ac:dyDescent="0.3">
      <c r="A1245" s="2" t="s">
        <v>7498</v>
      </c>
      <c r="B1245" s="1" t="s">
        <v>7499</v>
      </c>
      <c r="C1245" s="1" t="s">
        <v>7500</v>
      </c>
      <c r="E1245" s="1" t="s">
        <v>7501</v>
      </c>
      <c r="F1245" s="1" t="s">
        <v>7501</v>
      </c>
      <c r="G1245" s="1" t="s">
        <v>7501</v>
      </c>
      <c r="H1245" s="1" t="s">
        <v>7501</v>
      </c>
    </row>
    <row r="1246" spans="1:8" x14ac:dyDescent="0.3">
      <c r="A1246" s="2">
        <v>22379</v>
      </c>
      <c r="B1246" s="1" t="s">
        <v>5866</v>
      </c>
      <c r="C1246" s="1" t="s">
        <v>7502</v>
      </c>
      <c r="D1246" s="1" t="s">
        <v>7503</v>
      </c>
      <c r="E1246" s="1" t="s">
        <v>7504</v>
      </c>
      <c r="F1246" s="1" t="s">
        <v>7505</v>
      </c>
      <c r="G1246" s="1" t="s">
        <v>7506</v>
      </c>
      <c r="H1246" s="1" t="s">
        <v>7507</v>
      </c>
    </row>
    <row r="1247" spans="1:8" x14ac:dyDescent="0.3">
      <c r="A1247" s="2">
        <v>22401</v>
      </c>
      <c r="B1247" s="1" t="s">
        <v>7508</v>
      </c>
      <c r="C1247" s="1" t="s">
        <v>7509</v>
      </c>
      <c r="D1247" s="1" t="s">
        <v>7510</v>
      </c>
      <c r="E1247" s="1" t="s">
        <v>7511</v>
      </c>
      <c r="F1247" s="1" t="s">
        <v>7512</v>
      </c>
      <c r="G1247" s="1" t="s">
        <v>7511</v>
      </c>
      <c r="H1247" s="1" t="s">
        <v>7513</v>
      </c>
    </row>
    <row r="1248" spans="1:8" x14ac:dyDescent="0.3">
      <c r="A1248" s="2">
        <v>22402</v>
      </c>
      <c r="B1248" s="1" t="s">
        <v>7514</v>
      </c>
      <c r="C1248" s="1" t="s">
        <v>7515</v>
      </c>
      <c r="D1248" s="1" t="s">
        <v>7516</v>
      </c>
      <c r="E1248" s="1" t="s">
        <v>7517</v>
      </c>
      <c r="F1248" s="1" t="s">
        <v>7517</v>
      </c>
      <c r="G1248" s="1" t="s">
        <v>7518</v>
      </c>
      <c r="H1248" s="1" t="s">
        <v>7517</v>
      </c>
    </row>
    <row r="1249" spans="1:8" x14ac:dyDescent="0.3">
      <c r="A1249" s="2">
        <v>22403</v>
      </c>
      <c r="B1249" s="1" t="s">
        <v>7519</v>
      </c>
      <c r="C1249" s="1" t="s">
        <v>7520</v>
      </c>
      <c r="D1249" s="1" t="s">
        <v>7521</v>
      </c>
      <c r="E1249" s="1" t="s">
        <v>7522</v>
      </c>
      <c r="F1249" s="1" t="s">
        <v>7523</v>
      </c>
      <c r="G1249" s="1" t="s">
        <v>7524</v>
      </c>
      <c r="H1249" s="1" t="s">
        <v>7525</v>
      </c>
    </row>
    <row r="1250" spans="1:8" x14ac:dyDescent="0.3">
      <c r="A1250" s="2">
        <v>22404</v>
      </c>
      <c r="B1250" s="1" t="s">
        <v>7526</v>
      </c>
      <c r="C1250" s="1" t="s">
        <v>7527</v>
      </c>
      <c r="D1250" s="1" t="s">
        <v>7528</v>
      </c>
      <c r="E1250" s="1" t="s">
        <v>7529</v>
      </c>
      <c r="F1250" s="1" t="s">
        <v>7530</v>
      </c>
      <c r="G1250" s="1" t="s">
        <v>7531</v>
      </c>
      <c r="H1250" s="1" t="s">
        <v>7532</v>
      </c>
    </row>
    <row r="1251" spans="1:8" x14ac:dyDescent="0.3">
      <c r="A1251" s="2">
        <v>22405</v>
      </c>
      <c r="B1251" s="1" t="s">
        <v>7533</v>
      </c>
      <c r="C1251" s="1" t="s">
        <v>7534</v>
      </c>
      <c r="D1251" s="1" t="s">
        <v>7535</v>
      </c>
      <c r="E1251" s="1" t="s">
        <v>7536</v>
      </c>
      <c r="F1251" s="1" t="s">
        <v>7537</v>
      </c>
      <c r="G1251" s="1" t="s">
        <v>57</v>
      </c>
      <c r="H1251" s="1" t="s">
        <v>7538</v>
      </c>
    </row>
    <row r="1252" spans="1:8" x14ac:dyDescent="0.3">
      <c r="A1252" s="2">
        <v>22406</v>
      </c>
      <c r="B1252" s="1" t="s">
        <v>7539</v>
      </c>
      <c r="C1252" s="1" t="s">
        <v>7540</v>
      </c>
      <c r="D1252" s="1" t="s">
        <v>7541</v>
      </c>
      <c r="E1252" s="1" t="s">
        <v>7542</v>
      </c>
      <c r="F1252" s="1" t="s">
        <v>7543</v>
      </c>
      <c r="G1252" s="1" t="s">
        <v>7544</v>
      </c>
      <c r="H1252" s="1" t="s">
        <v>7545</v>
      </c>
    </row>
    <row r="1253" spans="1:8" x14ac:dyDescent="0.3">
      <c r="A1253" s="2">
        <v>22407</v>
      </c>
      <c r="B1253" s="1" t="s">
        <v>7546</v>
      </c>
      <c r="C1253" s="1" t="s">
        <v>7547</v>
      </c>
      <c r="D1253" s="1" t="s">
        <v>7548</v>
      </c>
      <c r="E1253" s="1" t="s">
        <v>7549</v>
      </c>
      <c r="F1253" s="1" t="s">
        <v>7550</v>
      </c>
      <c r="G1253" s="1" t="s">
        <v>7551</v>
      </c>
      <c r="H1253" s="1" t="s">
        <v>7552</v>
      </c>
    </row>
    <row r="1254" spans="1:8" x14ac:dyDescent="0.3">
      <c r="A1254" s="2">
        <v>22408</v>
      </c>
      <c r="B1254" s="1" t="s">
        <v>7553</v>
      </c>
      <c r="C1254" s="1" t="s">
        <v>7554</v>
      </c>
      <c r="D1254" s="1" t="s">
        <v>7555</v>
      </c>
      <c r="E1254" s="1" t="s">
        <v>7553</v>
      </c>
      <c r="F1254" s="1" t="s">
        <v>7556</v>
      </c>
      <c r="G1254" s="1" t="s">
        <v>7557</v>
      </c>
      <c r="H1254" s="1" t="s">
        <v>7558</v>
      </c>
    </row>
    <row r="1255" spans="1:8" x14ac:dyDescent="0.3">
      <c r="A1255" s="2">
        <v>22409</v>
      </c>
      <c r="B1255" s="1" t="s">
        <v>7559</v>
      </c>
      <c r="C1255" s="1" t="s">
        <v>7560</v>
      </c>
      <c r="D1255" s="1" t="s">
        <v>7561</v>
      </c>
      <c r="E1255" s="1" t="s">
        <v>7562</v>
      </c>
      <c r="F1255" s="1" t="s">
        <v>7563</v>
      </c>
      <c r="G1255" s="1" t="s">
        <v>7564</v>
      </c>
      <c r="H1255" s="1" t="s">
        <v>7565</v>
      </c>
    </row>
    <row r="1256" spans="1:8" x14ac:dyDescent="0.3">
      <c r="A1256" s="2">
        <v>22410</v>
      </c>
      <c r="B1256" s="1" t="s">
        <v>7566</v>
      </c>
      <c r="C1256" s="1" t="s">
        <v>7567</v>
      </c>
      <c r="D1256" s="1" t="s">
        <v>7568</v>
      </c>
      <c r="E1256" s="1" t="s">
        <v>7568</v>
      </c>
      <c r="F1256" s="1" t="s">
        <v>7569</v>
      </c>
      <c r="G1256" s="1" t="s">
        <v>7568</v>
      </c>
      <c r="H1256" s="1" t="s">
        <v>7570</v>
      </c>
    </row>
    <row r="1257" spans="1:8" x14ac:dyDescent="0.3">
      <c r="A1257" s="2">
        <v>22411</v>
      </c>
      <c r="B1257" s="1" t="s">
        <v>7571</v>
      </c>
      <c r="C1257" s="1" t="s">
        <v>7572</v>
      </c>
      <c r="D1257" s="1" t="s">
        <v>7573</v>
      </c>
      <c r="E1257" s="1" t="s">
        <v>7574</v>
      </c>
      <c r="F1257" s="1" t="s">
        <v>7575</v>
      </c>
      <c r="G1257" s="1" t="s">
        <v>7576</v>
      </c>
      <c r="H1257" s="1" t="s">
        <v>7577</v>
      </c>
    </row>
    <row r="1258" spans="1:8" x14ac:dyDescent="0.3">
      <c r="A1258" s="2">
        <v>22412</v>
      </c>
      <c r="B1258" s="1" t="s">
        <v>7578</v>
      </c>
      <c r="C1258" s="1" t="s">
        <v>7579</v>
      </c>
      <c r="D1258" s="1" t="s">
        <v>7580</v>
      </c>
      <c r="E1258" s="1" t="s">
        <v>7578</v>
      </c>
      <c r="F1258" s="1" t="s">
        <v>7581</v>
      </c>
      <c r="G1258" s="1" t="s">
        <v>7578</v>
      </c>
      <c r="H1258" s="1" t="s">
        <v>7582</v>
      </c>
    </row>
    <row r="1259" spans="1:8" x14ac:dyDescent="0.3">
      <c r="A1259" s="2">
        <v>22413</v>
      </c>
      <c r="B1259" s="1" t="s">
        <v>7583</v>
      </c>
      <c r="C1259" s="1" t="s">
        <v>7584</v>
      </c>
      <c r="D1259" s="1" t="s">
        <v>7585</v>
      </c>
      <c r="E1259" s="1" t="s">
        <v>7583</v>
      </c>
      <c r="F1259" s="1" t="s">
        <v>7586</v>
      </c>
      <c r="G1259" s="1" t="s">
        <v>7587</v>
      </c>
      <c r="H1259" s="1" t="s">
        <v>7588</v>
      </c>
    </row>
    <row r="1260" spans="1:8" x14ac:dyDescent="0.3">
      <c r="A1260" s="2">
        <v>22414</v>
      </c>
      <c r="B1260" s="1" t="s">
        <v>7589</v>
      </c>
      <c r="C1260" s="1" t="s">
        <v>7590</v>
      </c>
      <c r="D1260" s="1" t="s">
        <v>7591</v>
      </c>
      <c r="E1260" s="1" t="s">
        <v>7592</v>
      </c>
      <c r="F1260" s="1" t="s">
        <v>7589</v>
      </c>
      <c r="G1260" s="1" t="s">
        <v>7593</v>
      </c>
      <c r="H1260" s="1" t="s">
        <v>7589</v>
      </c>
    </row>
    <row r="1261" spans="1:8" x14ac:dyDescent="0.3">
      <c r="A1261" s="2">
        <v>22415</v>
      </c>
      <c r="B1261" s="1" t="s">
        <v>7594</v>
      </c>
      <c r="C1261" s="1" t="s">
        <v>7595</v>
      </c>
      <c r="D1261" s="1" t="s">
        <v>7596</v>
      </c>
      <c r="E1261" s="1" t="s">
        <v>7597</v>
      </c>
      <c r="F1261" s="1" t="s">
        <v>7594</v>
      </c>
      <c r="G1261" s="1" t="s">
        <v>7598</v>
      </c>
      <c r="H1261" s="1" t="s">
        <v>7599</v>
      </c>
    </row>
    <row r="1262" spans="1:8" x14ac:dyDescent="0.3">
      <c r="A1262" s="2">
        <v>22416</v>
      </c>
      <c r="B1262" s="1" t="s">
        <v>7600</v>
      </c>
      <c r="C1262" s="1" t="s">
        <v>7601</v>
      </c>
      <c r="D1262" s="1" t="s">
        <v>7602</v>
      </c>
      <c r="E1262" s="1" t="s">
        <v>7603</v>
      </c>
      <c r="F1262" s="1" t="s">
        <v>7604</v>
      </c>
      <c r="G1262" s="1" t="s">
        <v>7605</v>
      </c>
      <c r="H1262" s="1" t="s">
        <v>7606</v>
      </c>
    </row>
    <row r="1263" spans="1:8" x14ac:dyDescent="0.3">
      <c r="A1263" s="2">
        <v>22417</v>
      </c>
      <c r="B1263" s="1" t="s">
        <v>7607</v>
      </c>
      <c r="C1263" s="1" t="s">
        <v>7608</v>
      </c>
      <c r="D1263" s="1" t="s">
        <v>7609</v>
      </c>
      <c r="E1263" s="1" t="s">
        <v>7610</v>
      </c>
      <c r="G1263" s="1" t="s">
        <v>7611</v>
      </c>
      <c r="H1263" s="1" t="s">
        <v>7612</v>
      </c>
    </row>
    <row r="1264" spans="1:8" x14ac:dyDescent="0.3">
      <c r="A1264" s="2">
        <v>22418</v>
      </c>
      <c r="B1264" s="1" t="s">
        <v>7613</v>
      </c>
      <c r="C1264" s="1" t="s">
        <v>7614</v>
      </c>
      <c r="D1264" s="1" t="s">
        <v>7615</v>
      </c>
      <c r="E1264" s="1" t="s">
        <v>7616</v>
      </c>
      <c r="F1264" s="1" t="s">
        <v>7617</v>
      </c>
      <c r="G1264" s="1" t="s">
        <v>7618</v>
      </c>
      <c r="H1264" s="1" t="s">
        <v>7619</v>
      </c>
    </row>
    <row r="1265" spans="1:8" x14ac:dyDescent="0.3">
      <c r="A1265" s="2">
        <v>22419</v>
      </c>
      <c r="B1265" s="1" t="s">
        <v>7620</v>
      </c>
      <c r="C1265" s="1" t="s">
        <v>57</v>
      </c>
      <c r="D1265" s="1" t="s">
        <v>57</v>
      </c>
      <c r="G1265" s="1" t="s">
        <v>57</v>
      </c>
      <c r="H1265" s="1" t="s">
        <v>57</v>
      </c>
    </row>
    <row r="1266" spans="1:8" x14ac:dyDescent="0.3">
      <c r="A1266" s="2">
        <v>22420</v>
      </c>
      <c r="B1266" s="1" t="s">
        <v>7621</v>
      </c>
      <c r="C1266" s="1" t="s">
        <v>7622</v>
      </c>
      <c r="D1266" s="1" t="s">
        <v>7623</v>
      </c>
      <c r="E1266" s="1" t="s">
        <v>7624</v>
      </c>
      <c r="F1266" s="1" t="s">
        <v>7625</v>
      </c>
      <c r="G1266" s="1" t="s">
        <v>7626</v>
      </c>
      <c r="H1266" s="1" t="s">
        <v>7627</v>
      </c>
    </row>
    <row r="1267" spans="1:8" x14ac:dyDescent="0.3">
      <c r="A1267" s="2">
        <v>22421</v>
      </c>
      <c r="B1267" s="1" t="s">
        <v>7628</v>
      </c>
      <c r="C1267" s="1" t="s">
        <v>7629</v>
      </c>
      <c r="D1267" s="1" t="s">
        <v>7630</v>
      </c>
      <c r="E1267" s="1" t="s">
        <v>7631</v>
      </c>
      <c r="F1267" s="1" t="s">
        <v>7632</v>
      </c>
      <c r="G1267" s="1" t="s">
        <v>7633</v>
      </c>
      <c r="H1267" s="1" t="s">
        <v>7628</v>
      </c>
    </row>
    <row r="1268" spans="1:8" x14ac:dyDescent="0.3">
      <c r="A1268" s="2" t="s">
        <v>7634</v>
      </c>
      <c r="B1268" s="1" t="s">
        <v>7635</v>
      </c>
      <c r="C1268" s="1" t="s">
        <v>57</v>
      </c>
      <c r="D1268" s="1" t="s">
        <v>7636</v>
      </c>
      <c r="G1268" s="1" t="s">
        <v>57</v>
      </c>
      <c r="H1268" s="1" t="s">
        <v>7637</v>
      </c>
    </row>
    <row r="1269" spans="1:8" x14ac:dyDescent="0.3">
      <c r="A1269" s="2" t="s">
        <v>7638</v>
      </c>
      <c r="B1269" s="1" t="s">
        <v>7639</v>
      </c>
      <c r="C1269" s="1" t="s">
        <v>7640</v>
      </c>
      <c r="E1269" s="1" t="s">
        <v>7641</v>
      </c>
      <c r="G1269" s="1" t="s">
        <v>57</v>
      </c>
      <c r="H1269" s="1" t="s">
        <v>7642</v>
      </c>
    </row>
    <row r="1270" spans="1:8" x14ac:dyDescent="0.3">
      <c r="A1270" s="2" t="s">
        <v>7643</v>
      </c>
      <c r="B1270" s="1" t="s">
        <v>7644</v>
      </c>
      <c r="C1270" s="1" t="s">
        <v>7645</v>
      </c>
      <c r="D1270" s="1" t="s">
        <v>7646</v>
      </c>
      <c r="E1270" s="1" t="s">
        <v>7647</v>
      </c>
      <c r="F1270" s="1" t="s">
        <v>7648</v>
      </c>
      <c r="G1270" s="1" t="s">
        <v>57</v>
      </c>
      <c r="H1270" s="1" t="s">
        <v>7649</v>
      </c>
    </row>
    <row r="1271" spans="1:8" x14ac:dyDescent="0.3">
      <c r="A1271" s="2" t="s">
        <v>7650</v>
      </c>
      <c r="B1271" s="1" t="s">
        <v>7651</v>
      </c>
      <c r="C1271" s="1" t="s">
        <v>7652</v>
      </c>
      <c r="D1271" s="1" t="s">
        <v>7653</v>
      </c>
      <c r="E1271" s="1" t="s">
        <v>7654</v>
      </c>
      <c r="G1271" s="1" t="s">
        <v>7655</v>
      </c>
      <c r="H1271" s="1" t="s">
        <v>7656</v>
      </c>
    </row>
    <row r="1272" spans="1:8" x14ac:dyDescent="0.3">
      <c r="A1272" s="2">
        <v>22422</v>
      </c>
      <c r="B1272" s="1" t="s">
        <v>7657</v>
      </c>
      <c r="C1272" s="1" t="s">
        <v>7658</v>
      </c>
      <c r="D1272" s="1" t="s">
        <v>7659</v>
      </c>
      <c r="E1272" s="1" t="s">
        <v>7660</v>
      </c>
      <c r="F1272" s="1" t="s">
        <v>7659</v>
      </c>
      <c r="G1272" s="1" t="s">
        <v>7661</v>
      </c>
      <c r="H1272" s="1" t="s">
        <v>7659</v>
      </c>
    </row>
    <row r="1273" spans="1:8" x14ac:dyDescent="0.3">
      <c r="A1273" s="2" t="s">
        <v>7662</v>
      </c>
      <c r="B1273" s="1" t="e">
        <f>-이</f>
        <v>#NAME?</v>
      </c>
      <c r="C1273" s="1" t="s">
        <v>7663</v>
      </c>
      <c r="D1273" s="1" t="s">
        <v>7664</v>
      </c>
      <c r="E1273" s="1" t="s">
        <v>7665</v>
      </c>
      <c r="F1273" s="1" t="s">
        <v>7666</v>
      </c>
      <c r="G1273" s="1" t="s">
        <v>7667</v>
      </c>
      <c r="H1273" s="1" t="s">
        <v>7668</v>
      </c>
    </row>
    <row r="1274" spans="1:8" x14ac:dyDescent="0.3">
      <c r="A1274" s="2">
        <v>22423</v>
      </c>
      <c r="B1274" s="1" t="s">
        <v>7669</v>
      </c>
      <c r="C1274" s="1" t="s">
        <v>7670</v>
      </c>
      <c r="D1274" s="1" t="s">
        <v>7671</v>
      </c>
      <c r="E1274" s="1" t="s">
        <v>7672</v>
      </c>
      <c r="F1274" s="1" t="s">
        <v>7673</v>
      </c>
      <c r="G1274" s="1" t="s">
        <v>7674</v>
      </c>
      <c r="H1274" s="1" t="s">
        <v>7672</v>
      </c>
    </row>
    <row r="1275" spans="1:8" x14ac:dyDescent="0.3">
      <c r="A1275" s="2">
        <v>22424</v>
      </c>
      <c r="B1275" s="1" t="s">
        <v>7675</v>
      </c>
      <c r="C1275" s="1" t="s">
        <v>7676</v>
      </c>
      <c r="D1275" s="1" t="s">
        <v>7677</v>
      </c>
      <c r="E1275" s="1" t="s">
        <v>7678</v>
      </c>
      <c r="F1275" s="1" t="s">
        <v>7678</v>
      </c>
      <c r="G1275" s="1" t="s">
        <v>7678</v>
      </c>
      <c r="H1275" s="1" t="s">
        <v>7678</v>
      </c>
    </row>
    <row r="1276" spans="1:8" x14ac:dyDescent="0.3">
      <c r="A1276" s="2">
        <v>22425</v>
      </c>
      <c r="B1276" s="1" t="s">
        <v>7679</v>
      </c>
      <c r="C1276" s="1" t="s">
        <v>7680</v>
      </c>
      <c r="D1276" s="1" t="s">
        <v>7681</v>
      </c>
      <c r="E1276" s="1" t="s">
        <v>7682</v>
      </c>
      <c r="F1276" s="1" t="s">
        <v>7683</v>
      </c>
      <c r="G1276" s="1" t="s">
        <v>7684</v>
      </c>
      <c r="H1276" s="1" t="s">
        <v>7685</v>
      </c>
    </row>
    <row r="1277" spans="1:8" x14ac:dyDescent="0.3">
      <c r="A1277" s="2">
        <v>22426</v>
      </c>
      <c r="B1277" s="1" t="s">
        <v>7686</v>
      </c>
      <c r="C1277" s="1" t="s">
        <v>7687</v>
      </c>
      <c r="D1277" s="1" t="s">
        <v>7686</v>
      </c>
      <c r="E1277" s="1" t="s">
        <v>7688</v>
      </c>
      <c r="F1277" s="1" t="s">
        <v>7689</v>
      </c>
      <c r="G1277" s="1" t="s">
        <v>7686</v>
      </c>
      <c r="H1277" s="1" t="s">
        <v>7686</v>
      </c>
    </row>
    <row r="1278" spans="1:8" x14ac:dyDescent="0.3">
      <c r="A1278" s="2">
        <v>22427</v>
      </c>
      <c r="B1278" s="1" t="s">
        <v>7690</v>
      </c>
      <c r="C1278" s="1" t="s">
        <v>7691</v>
      </c>
      <c r="D1278" s="1" t="s">
        <v>7692</v>
      </c>
      <c r="E1278" s="1" t="s">
        <v>7692</v>
      </c>
      <c r="F1278" s="1" t="s">
        <v>7692</v>
      </c>
      <c r="G1278" s="1" t="s">
        <v>7692</v>
      </c>
      <c r="H1278" s="1" t="s">
        <v>7693</v>
      </c>
    </row>
    <row r="1279" spans="1:8" x14ac:dyDescent="0.3">
      <c r="A1279" s="2">
        <v>22428</v>
      </c>
      <c r="B1279" s="1" t="s">
        <v>7694</v>
      </c>
      <c r="C1279" s="1" t="s">
        <v>7695</v>
      </c>
      <c r="D1279" s="1" t="s">
        <v>7696</v>
      </c>
      <c r="E1279" s="1" t="s">
        <v>7694</v>
      </c>
      <c r="F1279" s="1" t="s">
        <v>7697</v>
      </c>
      <c r="G1279" s="1" t="s">
        <v>7698</v>
      </c>
      <c r="H1279" s="1" t="s">
        <v>7699</v>
      </c>
    </row>
    <row r="1280" spans="1:8" x14ac:dyDescent="0.3">
      <c r="A1280" s="2">
        <v>22429</v>
      </c>
      <c r="B1280" s="1" t="s">
        <v>7700</v>
      </c>
      <c r="C1280" s="1" t="s">
        <v>7701</v>
      </c>
      <c r="D1280" s="1" t="s">
        <v>7702</v>
      </c>
      <c r="E1280" s="1" t="s">
        <v>7703</v>
      </c>
      <c r="F1280" s="1" t="s">
        <v>7704</v>
      </c>
      <c r="G1280" s="1" t="s">
        <v>7705</v>
      </c>
      <c r="H1280" s="1" t="s">
        <v>7706</v>
      </c>
    </row>
    <row r="1281" spans="1:8" x14ac:dyDescent="0.3">
      <c r="A1281" s="2" t="s">
        <v>7707</v>
      </c>
      <c r="B1281" s="1" t="s">
        <v>7708</v>
      </c>
      <c r="C1281" s="1" t="s">
        <v>7709</v>
      </c>
      <c r="D1281" s="1" t="s">
        <v>7710</v>
      </c>
      <c r="E1281" s="1" t="s">
        <v>7704</v>
      </c>
      <c r="F1281" s="1" t="s">
        <v>7711</v>
      </c>
      <c r="G1281" s="1" t="s">
        <v>7712</v>
      </c>
      <c r="H1281" s="1" t="s">
        <v>7713</v>
      </c>
    </row>
    <row r="1282" spans="1:8" x14ac:dyDescent="0.3">
      <c r="A1282" s="2" t="s">
        <v>7714</v>
      </c>
      <c r="B1282" s="1" t="s">
        <v>7715</v>
      </c>
      <c r="C1282" s="1" t="s">
        <v>7716</v>
      </c>
      <c r="D1282" s="1" t="s">
        <v>7717</v>
      </c>
      <c r="E1282" s="1" t="s">
        <v>7715</v>
      </c>
      <c r="F1282" s="1" t="s">
        <v>7718</v>
      </c>
      <c r="G1282" s="1" t="s">
        <v>7719</v>
      </c>
      <c r="H1282" s="1" t="s">
        <v>7715</v>
      </c>
    </row>
    <row r="1283" spans="1:8" x14ac:dyDescent="0.3">
      <c r="A1283" s="2" t="s">
        <v>7720</v>
      </c>
      <c r="B1283" s="1" t="s">
        <v>7721</v>
      </c>
      <c r="C1283" s="1" t="s">
        <v>7722</v>
      </c>
      <c r="D1283" s="1" t="s">
        <v>7723</v>
      </c>
      <c r="E1283" s="1" t="s">
        <v>7721</v>
      </c>
      <c r="H1283" s="1" t="s">
        <v>7721</v>
      </c>
    </row>
    <row r="1284" spans="1:8" x14ac:dyDescent="0.3">
      <c r="A1284" s="2" t="s">
        <v>7724</v>
      </c>
      <c r="B1284" s="1" t="s">
        <v>7725</v>
      </c>
      <c r="C1284" s="1" t="s">
        <v>7726</v>
      </c>
      <c r="D1284" s="1" t="s">
        <v>7727</v>
      </c>
      <c r="E1284" s="1" t="s">
        <v>7728</v>
      </c>
      <c r="F1284" s="1" t="s">
        <v>7729</v>
      </c>
      <c r="G1284" s="1" t="s">
        <v>7730</v>
      </c>
      <c r="H1284" s="1" t="s">
        <v>7731</v>
      </c>
    </row>
    <row r="1285" spans="1:8" x14ac:dyDescent="0.3">
      <c r="A1285" s="2" t="s">
        <v>7732</v>
      </c>
      <c r="B1285" s="1" t="s">
        <v>7733</v>
      </c>
      <c r="C1285" s="1" t="s">
        <v>7734</v>
      </c>
      <c r="D1285" s="1" t="s">
        <v>7735</v>
      </c>
      <c r="E1285" s="1" t="s">
        <v>7736</v>
      </c>
      <c r="F1285" s="1" t="s">
        <v>7737</v>
      </c>
      <c r="G1285" s="1" t="s">
        <v>7738</v>
      </c>
      <c r="H1285" s="1" t="s">
        <v>7739</v>
      </c>
    </row>
    <row r="1286" spans="1:8" x14ac:dyDescent="0.3">
      <c r="A1286" s="2">
        <v>22430</v>
      </c>
      <c r="B1286" s="1" t="s">
        <v>7740</v>
      </c>
      <c r="C1286" s="1" t="s">
        <v>7741</v>
      </c>
      <c r="D1286" s="1" t="s">
        <v>7742</v>
      </c>
      <c r="F1286" s="1" t="s">
        <v>7743</v>
      </c>
      <c r="G1286" s="1" t="s">
        <v>7744</v>
      </c>
      <c r="H1286" s="1" t="s">
        <v>7745</v>
      </c>
    </row>
    <row r="1287" spans="1:8" x14ac:dyDescent="0.3">
      <c r="A1287" s="2">
        <v>22431</v>
      </c>
      <c r="B1287" s="1" t="s">
        <v>7746</v>
      </c>
      <c r="C1287" s="1" t="s">
        <v>57</v>
      </c>
      <c r="D1287" s="1" t="s">
        <v>7747</v>
      </c>
      <c r="E1287" s="1" t="s">
        <v>7746</v>
      </c>
      <c r="F1287" s="1" t="s">
        <v>57</v>
      </c>
      <c r="G1287" s="1" t="s">
        <v>57</v>
      </c>
      <c r="H1287" s="1" t="s">
        <v>57</v>
      </c>
    </row>
    <row r="1288" spans="1:8" x14ac:dyDescent="0.3">
      <c r="A1288" s="2">
        <v>22432</v>
      </c>
      <c r="B1288" s="1" t="s">
        <v>7748</v>
      </c>
      <c r="C1288" s="1" t="s">
        <v>7749</v>
      </c>
      <c r="D1288" s="1" t="s">
        <v>7750</v>
      </c>
      <c r="E1288" s="1" t="s">
        <v>7751</v>
      </c>
      <c r="F1288" s="1" t="s">
        <v>7752</v>
      </c>
      <c r="G1288" s="1" t="s">
        <v>7753</v>
      </c>
      <c r="H1288" s="1" t="s">
        <v>7754</v>
      </c>
    </row>
    <row r="1289" spans="1:8" x14ac:dyDescent="0.3">
      <c r="A1289" s="2">
        <v>22433</v>
      </c>
      <c r="B1289" s="1" t="s">
        <v>7755</v>
      </c>
      <c r="C1289" s="1" t="s">
        <v>7756</v>
      </c>
      <c r="D1289" s="1" t="s">
        <v>7757</v>
      </c>
      <c r="E1289" s="1" t="s">
        <v>7758</v>
      </c>
      <c r="F1289" s="1" t="s">
        <v>7759</v>
      </c>
      <c r="G1289" s="1" t="s">
        <v>7760</v>
      </c>
      <c r="H1289" s="1" t="s">
        <v>7761</v>
      </c>
    </row>
    <row r="1290" spans="1:8" x14ac:dyDescent="0.3">
      <c r="A1290" s="2">
        <v>22434</v>
      </c>
      <c r="B1290" s="1" t="s">
        <v>7762</v>
      </c>
      <c r="C1290" s="1" t="s">
        <v>7763</v>
      </c>
      <c r="D1290" s="1" t="s">
        <v>7762</v>
      </c>
      <c r="E1290" s="1" t="s">
        <v>7762</v>
      </c>
      <c r="F1290" s="1" t="s">
        <v>7764</v>
      </c>
      <c r="G1290" s="1" t="s">
        <v>7765</v>
      </c>
      <c r="H1290" s="1" t="s">
        <v>7762</v>
      </c>
    </row>
    <row r="1291" spans="1:8" x14ac:dyDescent="0.3">
      <c r="A1291" s="2">
        <v>22435</v>
      </c>
      <c r="B1291" s="1" t="s">
        <v>7766</v>
      </c>
      <c r="C1291" s="1" t="s">
        <v>7767</v>
      </c>
      <c r="D1291" s="1" t="s">
        <v>7768</v>
      </c>
      <c r="E1291" s="1" t="s">
        <v>7769</v>
      </c>
      <c r="F1291" s="1" t="s">
        <v>7769</v>
      </c>
      <c r="G1291" s="1" t="s">
        <v>7770</v>
      </c>
      <c r="H1291" s="1" t="s">
        <v>7771</v>
      </c>
    </row>
    <row r="1292" spans="1:8" x14ac:dyDescent="0.3">
      <c r="A1292" s="2">
        <v>22436</v>
      </c>
      <c r="B1292" s="1" t="s">
        <v>7772</v>
      </c>
      <c r="C1292" s="1" t="s">
        <v>57</v>
      </c>
      <c r="D1292" s="1" t="s">
        <v>7773</v>
      </c>
      <c r="E1292" s="1" t="s">
        <v>57</v>
      </c>
      <c r="F1292" s="1" t="s">
        <v>7774</v>
      </c>
      <c r="G1292" s="1" t="s">
        <v>7775</v>
      </c>
      <c r="H1292" s="1" t="s">
        <v>3728</v>
      </c>
    </row>
    <row r="1293" spans="1:8" x14ac:dyDescent="0.3">
      <c r="A1293" s="2">
        <v>22437</v>
      </c>
      <c r="B1293" s="1" t="s">
        <v>7776</v>
      </c>
      <c r="C1293" s="1" t="s">
        <v>7777</v>
      </c>
      <c r="D1293" s="1" t="s">
        <v>7778</v>
      </c>
      <c r="E1293" s="1" t="s">
        <v>7779</v>
      </c>
      <c r="F1293" s="1" t="s">
        <v>7780</v>
      </c>
      <c r="G1293" s="1" t="s">
        <v>7776</v>
      </c>
      <c r="H1293" s="1" t="s">
        <v>7781</v>
      </c>
    </row>
    <row r="1294" spans="1:8" x14ac:dyDescent="0.3">
      <c r="A1294" s="2">
        <v>22438</v>
      </c>
      <c r="B1294" s="1" t="s">
        <v>7782</v>
      </c>
      <c r="C1294" s="1" t="s">
        <v>7783</v>
      </c>
      <c r="D1294" s="1" t="s">
        <v>7784</v>
      </c>
      <c r="E1294" s="1" t="s">
        <v>7785</v>
      </c>
      <c r="F1294" s="1" t="s">
        <v>57</v>
      </c>
      <c r="G1294" s="1" t="s">
        <v>57</v>
      </c>
      <c r="H1294" s="1" t="s">
        <v>7786</v>
      </c>
    </row>
    <row r="1295" spans="1:8" x14ac:dyDescent="0.3">
      <c r="A1295" s="2">
        <v>22501</v>
      </c>
      <c r="B1295" s="1" t="s">
        <v>7787</v>
      </c>
      <c r="C1295" s="1" t="s">
        <v>7788</v>
      </c>
      <c r="D1295" s="1" t="s">
        <v>7789</v>
      </c>
      <c r="E1295" s="1" t="s">
        <v>7790</v>
      </c>
      <c r="F1295" s="1" t="s">
        <v>7791</v>
      </c>
      <c r="G1295" s="1" t="s">
        <v>7792</v>
      </c>
      <c r="H1295" s="1" t="s">
        <v>7793</v>
      </c>
    </row>
    <row r="1296" spans="1:8" x14ac:dyDescent="0.3">
      <c r="A1296" s="2">
        <v>22502</v>
      </c>
      <c r="B1296" s="1" t="s">
        <v>7794</v>
      </c>
      <c r="C1296" s="1" t="s">
        <v>7795</v>
      </c>
      <c r="D1296" s="1" t="s">
        <v>7796</v>
      </c>
      <c r="E1296" s="1" t="s">
        <v>7797</v>
      </c>
      <c r="F1296" s="1" t="s">
        <v>7798</v>
      </c>
      <c r="G1296" s="1" t="s">
        <v>7799</v>
      </c>
      <c r="H1296" s="1" t="s">
        <v>7800</v>
      </c>
    </row>
    <row r="1297" spans="1:8" x14ac:dyDescent="0.3">
      <c r="A1297" s="2">
        <v>22503</v>
      </c>
      <c r="B1297" s="1" t="s">
        <v>7801</v>
      </c>
      <c r="C1297" s="1" t="s">
        <v>7802</v>
      </c>
      <c r="D1297" s="1" t="s">
        <v>7801</v>
      </c>
      <c r="E1297" s="1" t="s">
        <v>7803</v>
      </c>
      <c r="F1297" s="1" t="s">
        <v>7804</v>
      </c>
      <c r="G1297" s="1" t="s">
        <v>7805</v>
      </c>
      <c r="H1297" s="1" t="s">
        <v>7803</v>
      </c>
    </row>
    <row r="1298" spans="1:8" x14ac:dyDescent="0.3">
      <c r="A1298" s="2" t="s">
        <v>7806</v>
      </c>
      <c r="B1298" s="1" t="s">
        <v>7807</v>
      </c>
      <c r="C1298" s="1" t="s">
        <v>7808</v>
      </c>
      <c r="D1298" s="1" t="s">
        <v>7809</v>
      </c>
      <c r="E1298" s="1" t="s">
        <v>7807</v>
      </c>
      <c r="F1298" s="1" t="s">
        <v>7810</v>
      </c>
      <c r="G1298" s="1" t="s">
        <v>7811</v>
      </c>
      <c r="H1298" s="1" t="s">
        <v>7807</v>
      </c>
    </row>
    <row r="1299" spans="1:8" x14ac:dyDescent="0.3">
      <c r="A1299" s="2">
        <v>22504</v>
      </c>
      <c r="B1299" s="1" t="s">
        <v>7812</v>
      </c>
      <c r="C1299" s="1" t="s">
        <v>7813</v>
      </c>
      <c r="D1299" s="1" t="s">
        <v>7814</v>
      </c>
      <c r="E1299" s="1" t="s">
        <v>7815</v>
      </c>
      <c r="F1299" s="1" t="s">
        <v>7816</v>
      </c>
      <c r="G1299" s="1" t="s">
        <v>7817</v>
      </c>
      <c r="H1299" s="1" t="s">
        <v>7818</v>
      </c>
    </row>
    <row r="1300" spans="1:8" x14ac:dyDescent="0.3">
      <c r="A1300" s="2">
        <v>22505</v>
      </c>
      <c r="B1300" s="1" t="s">
        <v>7819</v>
      </c>
      <c r="C1300" s="1" t="s">
        <v>7820</v>
      </c>
      <c r="E1300" s="1" t="s">
        <v>7821</v>
      </c>
      <c r="F1300" s="1" t="s">
        <v>7822</v>
      </c>
      <c r="G1300" s="1" t="s">
        <v>7823</v>
      </c>
      <c r="H1300" s="1" t="s">
        <v>7824</v>
      </c>
    </row>
    <row r="1301" spans="1:8" x14ac:dyDescent="0.3">
      <c r="A1301" s="2">
        <v>22506</v>
      </c>
      <c r="B1301" s="1" t="s">
        <v>7825</v>
      </c>
      <c r="C1301" s="1" t="s">
        <v>7826</v>
      </c>
      <c r="D1301" s="1" t="s">
        <v>7827</v>
      </c>
      <c r="E1301" s="1" t="s">
        <v>7828</v>
      </c>
      <c r="F1301" s="1" t="s">
        <v>7829</v>
      </c>
      <c r="G1301" s="1" t="s">
        <v>7830</v>
      </c>
      <c r="H1301" s="1" t="s">
        <v>7831</v>
      </c>
    </row>
    <row r="1302" spans="1:8" x14ac:dyDescent="0.3">
      <c r="A1302" s="2" t="s">
        <v>7832</v>
      </c>
      <c r="B1302" s="1" t="s">
        <v>7833</v>
      </c>
      <c r="C1302" s="1" t="s">
        <v>7834</v>
      </c>
      <c r="D1302" s="1" t="s">
        <v>7835</v>
      </c>
      <c r="E1302" s="1" t="s">
        <v>7836</v>
      </c>
      <c r="F1302" s="1" t="s">
        <v>7837</v>
      </c>
      <c r="G1302" s="1" t="s">
        <v>7838</v>
      </c>
      <c r="H1302" s="1" t="s">
        <v>7839</v>
      </c>
    </row>
    <row r="1303" spans="1:8" x14ac:dyDescent="0.3">
      <c r="A1303" s="2">
        <v>22507</v>
      </c>
      <c r="B1303" s="1" t="s">
        <v>7840</v>
      </c>
      <c r="C1303" s="1" t="s">
        <v>7841</v>
      </c>
      <c r="D1303" s="1" t="s">
        <v>7842</v>
      </c>
      <c r="E1303" s="1" t="s">
        <v>7843</v>
      </c>
      <c r="F1303" s="1" t="s">
        <v>7844</v>
      </c>
      <c r="G1303" s="1" t="s">
        <v>7845</v>
      </c>
      <c r="H1303" s="1" t="s">
        <v>7846</v>
      </c>
    </row>
    <row r="1304" spans="1:8" x14ac:dyDescent="0.3">
      <c r="A1304" s="2">
        <v>22508</v>
      </c>
      <c r="B1304" s="1" t="s">
        <v>7847</v>
      </c>
      <c r="C1304" s="1" t="s">
        <v>7848</v>
      </c>
      <c r="D1304" s="1" t="s">
        <v>7849</v>
      </c>
      <c r="E1304" s="1" t="s">
        <v>7850</v>
      </c>
      <c r="F1304" s="1" t="s">
        <v>7851</v>
      </c>
      <c r="G1304" s="1" t="s">
        <v>7852</v>
      </c>
      <c r="H1304" s="1" t="s">
        <v>7853</v>
      </c>
    </row>
    <row r="1305" spans="1:8" x14ac:dyDescent="0.3">
      <c r="A1305" s="2" t="s">
        <v>7854</v>
      </c>
      <c r="B1305" s="1" t="s">
        <v>7855</v>
      </c>
      <c r="C1305" s="1" t="s">
        <v>7856</v>
      </c>
      <c r="D1305" s="1" t="s">
        <v>7857</v>
      </c>
      <c r="E1305" s="1" t="s">
        <v>7858</v>
      </c>
      <c r="G1305" s="1" t="s">
        <v>57</v>
      </c>
      <c r="H1305" s="1" t="s">
        <v>7859</v>
      </c>
    </row>
    <row r="1306" spans="1:8" x14ac:dyDescent="0.3">
      <c r="A1306" s="2" t="s">
        <v>7860</v>
      </c>
      <c r="B1306" s="1" t="s">
        <v>7861</v>
      </c>
      <c r="C1306" s="1" t="s">
        <v>7862</v>
      </c>
      <c r="D1306" s="1" t="s">
        <v>7863</v>
      </c>
      <c r="E1306" s="1" t="s">
        <v>7858</v>
      </c>
      <c r="F1306" s="1" t="s">
        <v>7864</v>
      </c>
      <c r="G1306" s="1" t="s">
        <v>57</v>
      </c>
      <c r="H1306" s="1" t="s">
        <v>7865</v>
      </c>
    </row>
    <row r="1307" spans="1:8" x14ac:dyDescent="0.3">
      <c r="A1307" s="2">
        <v>22509</v>
      </c>
      <c r="B1307" s="1" t="s">
        <v>7866</v>
      </c>
      <c r="C1307" s="1" t="s">
        <v>7867</v>
      </c>
      <c r="D1307" s="1" t="s">
        <v>7868</v>
      </c>
      <c r="E1307" s="1" t="s">
        <v>7866</v>
      </c>
      <c r="F1307" s="1" t="s">
        <v>7869</v>
      </c>
      <c r="G1307" s="1" t="s">
        <v>7870</v>
      </c>
      <c r="H1307" s="1" t="s">
        <v>7871</v>
      </c>
    </row>
    <row r="1308" spans="1:8" x14ac:dyDescent="0.3">
      <c r="A1308" s="2">
        <v>22510</v>
      </c>
      <c r="B1308" s="1" t="s">
        <v>7872</v>
      </c>
      <c r="C1308" s="1" t="s">
        <v>7873</v>
      </c>
      <c r="D1308" s="1" t="s">
        <v>7874</v>
      </c>
      <c r="E1308" s="1" t="s">
        <v>7875</v>
      </c>
      <c r="F1308" s="1" t="s">
        <v>7876</v>
      </c>
      <c r="G1308" s="1" t="s">
        <v>57</v>
      </c>
      <c r="H1308" s="1" t="s">
        <v>7877</v>
      </c>
    </row>
    <row r="1309" spans="1:8" x14ac:dyDescent="0.3">
      <c r="A1309" s="2">
        <v>22511</v>
      </c>
      <c r="B1309" s="1" t="s">
        <v>5656</v>
      </c>
      <c r="C1309" s="1" t="s">
        <v>5657</v>
      </c>
      <c r="D1309" s="1" t="s">
        <v>7878</v>
      </c>
      <c r="E1309" s="1" t="s">
        <v>7879</v>
      </c>
      <c r="F1309" s="1" t="s">
        <v>7880</v>
      </c>
      <c r="G1309" s="1" t="s">
        <v>7881</v>
      </c>
      <c r="H1309" s="1" t="s">
        <v>7882</v>
      </c>
    </row>
    <row r="1310" spans="1:8" x14ac:dyDescent="0.3">
      <c r="A1310" s="2">
        <v>22512</v>
      </c>
      <c r="B1310" s="1" t="s">
        <v>7883</v>
      </c>
      <c r="C1310" s="1" t="s">
        <v>7884</v>
      </c>
      <c r="D1310" s="1" t="s">
        <v>7885</v>
      </c>
      <c r="E1310" s="1" t="s">
        <v>7886</v>
      </c>
      <c r="F1310" s="1" t="s">
        <v>7887</v>
      </c>
      <c r="G1310" s="1" t="s">
        <v>7888</v>
      </c>
      <c r="H1310" s="1" t="s">
        <v>7889</v>
      </c>
    </row>
    <row r="1311" spans="1:8" x14ac:dyDescent="0.3">
      <c r="A1311" s="2" t="s">
        <v>7890</v>
      </c>
      <c r="B1311" s="1" t="s">
        <v>7891</v>
      </c>
      <c r="C1311" s="1" t="s">
        <v>7892</v>
      </c>
      <c r="D1311" s="1" t="s">
        <v>7893</v>
      </c>
      <c r="E1311" s="1" t="s">
        <v>7894</v>
      </c>
      <c r="F1311" s="1" t="s">
        <v>7895</v>
      </c>
      <c r="G1311" s="1" t="s">
        <v>7896</v>
      </c>
      <c r="H1311" s="1" t="s">
        <v>7897</v>
      </c>
    </row>
    <row r="1312" spans="1:8" x14ac:dyDescent="0.3">
      <c r="A1312" s="2">
        <v>22513</v>
      </c>
      <c r="B1312" s="1" t="s">
        <v>7898</v>
      </c>
      <c r="C1312" s="1" t="s">
        <v>7899</v>
      </c>
      <c r="D1312" s="1" t="s">
        <v>7900</v>
      </c>
      <c r="E1312" s="1" t="s">
        <v>7901</v>
      </c>
      <c r="F1312" s="1" t="s">
        <v>7902</v>
      </c>
      <c r="G1312" s="1" t="s">
        <v>7901</v>
      </c>
      <c r="H1312" s="1" t="s">
        <v>7903</v>
      </c>
    </row>
    <row r="1313" spans="1:8" x14ac:dyDescent="0.3">
      <c r="A1313" s="2">
        <v>22514</v>
      </c>
      <c r="B1313" s="1" t="s">
        <v>7904</v>
      </c>
      <c r="C1313" s="1" t="s">
        <v>7905</v>
      </c>
      <c r="D1313" s="1" t="s">
        <v>7906</v>
      </c>
      <c r="E1313" s="1" t="s">
        <v>7907</v>
      </c>
      <c r="F1313" s="1" t="s">
        <v>7908</v>
      </c>
      <c r="G1313" s="1" t="s">
        <v>7909</v>
      </c>
      <c r="H1313" s="1" t="s">
        <v>7904</v>
      </c>
    </row>
    <row r="1314" spans="1:8" x14ac:dyDescent="0.3">
      <c r="A1314" s="2">
        <v>22515</v>
      </c>
      <c r="B1314" s="1" t="s">
        <v>7910</v>
      </c>
      <c r="C1314" s="1" t="s">
        <v>7911</v>
      </c>
      <c r="D1314" s="1" t="s">
        <v>7912</v>
      </c>
      <c r="E1314" s="1" t="s">
        <v>7913</v>
      </c>
      <c r="F1314" s="1" t="s">
        <v>7914</v>
      </c>
      <c r="G1314" s="1" t="s">
        <v>7913</v>
      </c>
      <c r="H1314" s="1" t="s">
        <v>7915</v>
      </c>
    </row>
    <row r="1315" spans="1:8" x14ac:dyDescent="0.3">
      <c r="A1315" s="2">
        <v>22516</v>
      </c>
      <c r="B1315" s="1" t="s">
        <v>7916</v>
      </c>
      <c r="C1315" s="1" t="s">
        <v>7917</v>
      </c>
      <c r="D1315" s="1" t="s">
        <v>7918</v>
      </c>
      <c r="E1315" s="1" t="s">
        <v>7919</v>
      </c>
      <c r="F1315" s="1" t="s">
        <v>7920</v>
      </c>
      <c r="G1315" s="1" t="s">
        <v>57</v>
      </c>
      <c r="H1315" s="1" t="s">
        <v>7921</v>
      </c>
    </row>
    <row r="1316" spans="1:8" x14ac:dyDescent="0.3">
      <c r="A1316" s="2">
        <v>22517</v>
      </c>
      <c r="B1316" s="1" t="s">
        <v>7922</v>
      </c>
      <c r="C1316" s="1" t="s">
        <v>7923</v>
      </c>
      <c r="D1316" s="1" t="s">
        <v>7924</v>
      </c>
      <c r="E1316" s="1" t="s">
        <v>7925</v>
      </c>
      <c r="F1316" s="1" t="s">
        <v>7926</v>
      </c>
      <c r="G1316" s="1" t="s">
        <v>7927</v>
      </c>
      <c r="H1316" s="1" t="s">
        <v>7928</v>
      </c>
    </row>
    <row r="1317" spans="1:8" x14ac:dyDescent="0.3">
      <c r="A1317" s="2">
        <v>22518</v>
      </c>
      <c r="B1317" s="1" t="s">
        <v>7929</v>
      </c>
      <c r="C1317" s="1" t="s">
        <v>57</v>
      </c>
      <c r="D1317" s="1" t="s">
        <v>7930</v>
      </c>
      <c r="E1317" s="1" t="s">
        <v>7931</v>
      </c>
      <c r="F1317" s="1" t="s">
        <v>57</v>
      </c>
      <c r="G1317" s="1" t="s">
        <v>57</v>
      </c>
      <c r="H1317" s="1" t="s">
        <v>57</v>
      </c>
    </row>
    <row r="1318" spans="1:8" x14ac:dyDescent="0.3">
      <c r="A1318" s="2">
        <v>22519</v>
      </c>
      <c r="B1318" s="1" t="s">
        <v>7932</v>
      </c>
      <c r="C1318" s="1" t="s">
        <v>7933</v>
      </c>
      <c r="D1318" s="1" t="s">
        <v>7934</v>
      </c>
      <c r="E1318" s="1" t="s">
        <v>7935</v>
      </c>
      <c r="F1318" s="1" t="s">
        <v>7935</v>
      </c>
      <c r="G1318" s="1" t="s">
        <v>7936</v>
      </c>
      <c r="H1318" s="1" t="s">
        <v>7937</v>
      </c>
    </row>
    <row r="1319" spans="1:8" x14ac:dyDescent="0.3">
      <c r="A1319" s="2">
        <v>22520</v>
      </c>
      <c r="B1319" s="1" t="s">
        <v>7938</v>
      </c>
      <c r="C1319" s="1" t="s">
        <v>7939</v>
      </c>
      <c r="D1319" s="1" t="s">
        <v>7940</v>
      </c>
      <c r="E1319" s="1" t="s">
        <v>7938</v>
      </c>
      <c r="F1319" s="1" t="s">
        <v>7938</v>
      </c>
      <c r="G1319" s="1" t="s">
        <v>7941</v>
      </c>
      <c r="H1319" s="1" t="s">
        <v>7942</v>
      </c>
    </row>
    <row r="1320" spans="1:8" x14ac:dyDescent="0.3">
      <c r="A1320" s="2">
        <v>22521</v>
      </c>
      <c r="B1320" s="1" t="s">
        <v>7943</v>
      </c>
      <c r="C1320" s="1" t="s">
        <v>7944</v>
      </c>
      <c r="D1320" s="1" t="s">
        <v>7945</v>
      </c>
      <c r="E1320" s="1" t="s">
        <v>7946</v>
      </c>
      <c r="F1320" s="1" t="s">
        <v>7947</v>
      </c>
      <c r="G1320" s="1" t="s">
        <v>7948</v>
      </c>
      <c r="H1320" s="1" t="s">
        <v>7949</v>
      </c>
    </row>
    <row r="1321" spans="1:8" x14ac:dyDescent="0.3">
      <c r="A1321" s="2">
        <v>22522</v>
      </c>
      <c r="B1321" s="1" t="s">
        <v>7950</v>
      </c>
      <c r="C1321" s="1" t="s">
        <v>7951</v>
      </c>
      <c r="D1321" s="1" t="s">
        <v>7952</v>
      </c>
      <c r="E1321" s="1" t="s">
        <v>7953</v>
      </c>
      <c r="F1321" s="1" t="s">
        <v>7954</v>
      </c>
      <c r="G1321" s="1" t="s">
        <v>7955</v>
      </c>
      <c r="H1321" s="1" t="s">
        <v>7950</v>
      </c>
    </row>
    <row r="1322" spans="1:8" x14ac:dyDescent="0.3">
      <c r="A1322" s="2">
        <v>22523</v>
      </c>
      <c r="B1322" s="1" t="s">
        <v>7956</v>
      </c>
      <c r="C1322" s="1" t="s">
        <v>7957</v>
      </c>
      <c r="D1322" s="1" t="s">
        <v>7958</v>
      </c>
      <c r="E1322" s="1" t="s">
        <v>7959</v>
      </c>
      <c r="F1322" s="1" t="s">
        <v>7960</v>
      </c>
      <c r="G1322" s="1" t="s">
        <v>7961</v>
      </c>
      <c r="H1322" s="1" t="s">
        <v>7962</v>
      </c>
    </row>
    <row r="1323" spans="1:8" x14ac:dyDescent="0.3">
      <c r="A1323" s="2">
        <v>22524</v>
      </c>
      <c r="B1323" s="1" t="s">
        <v>7963</v>
      </c>
      <c r="C1323" s="1" t="s">
        <v>7964</v>
      </c>
      <c r="D1323" s="1" t="s">
        <v>7965</v>
      </c>
      <c r="E1323" s="1" t="s">
        <v>7966</v>
      </c>
      <c r="F1323" s="1" t="s">
        <v>7966</v>
      </c>
      <c r="G1323" s="1" t="s">
        <v>7967</v>
      </c>
      <c r="H1323" s="1" t="s">
        <v>7966</v>
      </c>
    </row>
    <row r="1324" spans="1:8" x14ac:dyDescent="0.3">
      <c r="A1324" s="2">
        <v>22525</v>
      </c>
      <c r="B1324" s="1" t="s">
        <v>7968</v>
      </c>
      <c r="C1324" s="1" t="s">
        <v>7969</v>
      </c>
      <c r="D1324" s="1" t="s">
        <v>7970</v>
      </c>
      <c r="E1324" s="1" t="s">
        <v>7971</v>
      </c>
      <c r="F1324" s="1" t="s">
        <v>7972</v>
      </c>
      <c r="G1324" s="1" t="s">
        <v>7973</v>
      </c>
      <c r="H1324" s="1" t="s">
        <v>7974</v>
      </c>
    </row>
    <row r="1325" spans="1:8" x14ac:dyDescent="0.3">
      <c r="A1325" s="2">
        <v>22526</v>
      </c>
      <c r="B1325" s="1" t="s">
        <v>7975</v>
      </c>
      <c r="C1325" s="1" t="s">
        <v>7976</v>
      </c>
      <c r="D1325" s="1" t="s">
        <v>7977</v>
      </c>
      <c r="E1325" s="1" t="s">
        <v>7978</v>
      </c>
      <c r="F1325" s="1" t="s">
        <v>7979</v>
      </c>
      <c r="G1325" s="1" t="s">
        <v>57</v>
      </c>
      <c r="H1325" s="1" t="s">
        <v>7980</v>
      </c>
    </row>
    <row r="1326" spans="1:8" x14ac:dyDescent="0.3">
      <c r="A1326" s="2">
        <v>22527</v>
      </c>
      <c r="B1326" s="1" t="s">
        <v>7981</v>
      </c>
      <c r="C1326" s="1" t="s">
        <v>7982</v>
      </c>
      <c r="D1326" s="1" t="s">
        <v>7981</v>
      </c>
      <c r="E1326" s="1" t="s">
        <v>7981</v>
      </c>
      <c r="F1326" s="1" t="s">
        <v>7981</v>
      </c>
      <c r="G1326" s="1" t="s">
        <v>7981</v>
      </c>
      <c r="H1326" s="1" t="s">
        <v>7981</v>
      </c>
    </row>
    <row r="1327" spans="1:8" x14ac:dyDescent="0.3">
      <c r="A1327" s="2">
        <v>22528</v>
      </c>
      <c r="B1327" s="1" t="s">
        <v>7983</v>
      </c>
      <c r="C1327" s="1" t="s">
        <v>7984</v>
      </c>
      <c r="D1327" s="1" t="s">
        <v>7985</v>
      </c>
      <c r="E1327" s="1" t="s">
        <v>7986</v>
      </c>
      <c r="F1327" s="1" t="s">
        <v>7987</v>
      </c>
      <c r="G1327" s="1" t="s">
        <v>7988</v>
      </c>
      <c r="H1327" s="1" t="s">
        <v>7989</v>
      </c>
    </row>
    <row r="1328" spans="1:8" x14ac:dyDescent="0.3">
      <c r="A1328" s="2">
        <v>22529</v>
      </c>
      <c r="B1328" s="1" t="s">
        <v>1796</v>
      </c>
      <c r="C1328" s="1" t="s">
        <v>7990</v>
      </c>
      <c r="D1328" s="1" t="s">
        <v>7991</v>
      </c>
      <c r="E1328" s="1" t="s">
        <v>7992</v>
      </c>
      <c r="F1328" s="1" t="s">
        <v>7993</v>
      </c>
      <c r="G1328" s="1" t="s">
        <v>7992</v>
      </c>
      <c r="H1328" s="1" t="s">
        <v>7994</v>
      </c>
    </row>
    <row r="1329" spans="1:8" x14ac:dyDescent="0.3">
      <c r="A1329" s="2">
        <v>22530</v>
      </c>
      <c r="B1329" s="1" t="s">
        <v>7995</v>
      </c>
      <c r="C1329" s="1" t="s">
        <v>7996</v>
      </c>
      <c r="D1329" s="1" t="s">
        <v>7997</v>
      </c>
      <c r="E1329" s="1" t="s">
        <v>7998</v>
      </c>
      <c r="F1329" s="1" t="s">
        <v>7999</v>
      </c>
      <c r="G1329" s="1" t="s">
        <v>8000</v>
      </c>
      <c r="H1329" s="1" t="s">
        <v>8001</v>
      </c>
    </row>
    <row r="1330" spans="1:8" x14ac:dyDescent="0.3">
      <c r="A1330" s="2">
        <v>22531</v>
      </c>
      <c r="B1330" s="1" t="s">
        <v>8002</v>
      </c>
      <c r="C1330" s="1" t="s">
        <v>8003</v>
      </c>
      <c r="D1330" s="1" t="s">
        <v>8004</v>
      </c>
      <c r="E1330" s="1" t="s">
        <v>8005</v>
      </c>
      <c r="F1330" s="1" t="s">
        <v>8006</v>
      </c>
      <c r="G1330" s="1" t="s">
        <v>8007</v>
      </c>
      <c r="H1330" s="1" t="s">
        <v>8008</v>
      </c>
    </row>
    <row r="1331" spans="1:8" x14ac:dyDescent="0.3">
      <c r="A1331" s="2">
        <v>22532</v>
      </c>
      <c r="B1331" s="1" t="s">
        <v>8009</v>
      </c>
      <c r="C1331" s="1" t="s">
        <v>8010</v>
      </c>
      <c r="E1331" s="1" t="s">
        <v>8011</v>
      </c>
      <c r="F1331" s="1" t="s">
        <v>8012</v>
      </c>
      <c r="G1331" s="1" t="s">
        <v>8011</v>
      </c>
      <c r="H1331" s="1" t="s">
        <v>8011</v>
      </c>
    </row>
    <row r="1332" spans="1:8" x14ac:dyDescent="0.3">
      <c r="A1332" s="2" t="s">
        <v>8013</v>
      </c>
      <c r="B1332" s="1" t="s">
        <v>8014</v>
      </c>
      <c r="C1332" s="1" t="s">
        <v>8015</v>
      </c>
      <c r="D1332" s="1" t="s">
        <v>8014</v>
      </c>
      <c r="E1332" s="1" t="s">
        <v>8016</v>
      </c>
      <c r="F1332" s="1" t="s">
        <v>8017</v>
      </c>
      <c r="G1332" s="1" t="s">
        <v>8016</v>
      </c>
      <c r="H1332" s="1" t="s">
        <v>8018</v>
      </c>
    </row>
    <row r="1333" spans="1:8" x14ac:dyDescent="0.3">
      <c r="A1333" s="2" t="s">
        <v>8019</v>
      </c>
      <c r="B1333" s="1" t="s">
        <v>8020</v>
      </c>
      <c r="C1333" s="1" t="s">
        <v>8021</v>
      </c>
      <c r="D1333" s="1" t="s">
        <v>8020</v>
      </c>
      <c r="E1333" s="1" t="s">
        <v>8020</v>
      </c>
      <c r="F1333" s="1" t="s">
        <v>8022</v>
      </c>
      <c r="G1333" s="1" t="s">
        <v>8020</v>
      </c>
      <c r="H1333" s="1" t="s">
        <v>8020</v>
      </c>
    </row>
    <row r="1334" spans="1:8" x14ac:dyDescent="0.3">
      <c r="A1334" s="2">
        <v>22533</v>
      </c>
      <c r="B1334" s="1" t="s">
        <v>8023</v>
      </c>
      <c r="C1334" s="1" t="s">
        <v>8024</v>
      </c>
      <c r="D1334" s="1" t="s">
        <v>8025</v>
      </c>
      <c r="E1334" s="1" t="s">
        <v>8026</v>
      </c>
      <c r="F1334" s="1" t="s">
        <v>8027</v>
      </c>
      <c r="G1334" s="1" t="s">
        <v>8028</v>
      </c>
      <c r="H1334" s="1" t="s">
        <v>8029</v>
      </c>
    </row>
    <row r="1335" spans="1:8" x14ac:dyDescent="0.3">
      <c r="A1335" s="2">
        <v>22534</v>
      </c>
      <c r="B1335" s="1" t="s">
        <v>8030</v>
      </c>
      <c r="C1335" s="1" t="s">
        <v>8031</v>
      </c>
      <c r="D1335" s="1" t="s">
        <v>8032</v>
      </c>
      <c r="E1335" s="1" t="s">
        <v>8033</v>
      </c>
      <c r="F1335" s="1" t="s">
        <v>8032</v>
      </c>
      <c r="G1335" s="1" t="s">
        <v>8030</v>
      </c>
      <c r="H1335" s="1" t="s">
        <v>8032</v>
      </c>
    </row>
    <row r="1336" spans="1:8" x14ac:dyDescent="0.3">
      <c r="A1336" s="2">
        <v>22535</v>
      </c>
      <c r="B1336" s="1" t="s">
        <v>8034</v>
      </c>
      <c r="C1336" s="1" t="s">
        <v>8035</v>
      </c>
      <c r="D1336" s="1" t="s">
        <v>8036</v>
      </c>
      <c r="E1336" s="1" t="s">
        <v>8037</v>
      </c>
      <c r="F1336" s="1" t="s">
        <v>8038</v>
      </c>
      <c r="G1336" s="1" t="s">
        <v>8037</v>
      </c>
      <c r="H1336" s="1" t="s">
        <v>8039</v>
      </c>
    </row>
    <row r="1337" spans="1:8" x14ac:dyDescent="0.3">
      <c r="A1337" s="2">
        <v>22536</v>
      </c>
      <c r="B1337" s="1" t="s">
        <v>8040</v>
      </c>
      <c r="C1337" s="1" t="s">
        <v>8041</v>
      </c>
      <c r="D1337" s="1" t="s">
        <v>8042</v>
      </c>
      <c r="E1337" s="1" t="s">
        <v>8040</v>
      </c>
      <c r="F1337" s="1" t="s">
        <v>8043</v>
      </c>
      <c r="G1337" s="1" t="s">
        <v>8044</v>
      </c>
      <c r="H1337" s="1" t="s">
        <v>996</v>
      </c>
    </row>
    <row r="1338" spans="1:8" x14ac:dyDescent="0.3">
      <c r="A1338" s="2">
        <v>22537</v>
      </c>
      <c r="B1338" s="1" t="s">
        <v>8045</v>
      </c>
      <c r="C1338" s="1" t="s">
        <v>8046</v>
      </c>
      <c r="D1338" s="1" t="s">
        <v>8047</v>
      </c>
      <c r="E1338" s="1" t="s">
        <v>8045</v>
      </c>
      <c r="F1338" s="1" t="s">
        <v>8048</v>
      </c>
      <c r="G1338" s="1" t="s">
        <v>8049</v>
      </c>
      <c r="H1338" s="1" t="s">
        <v>8050</v>
      </c>
    </row>
    <row r="1339" spans="1:8" x14ac:dyDescent="0.3">
      <c r="A1339" s="2">
        <v>22538</v>
      </c>
      <c r="B1339" s="1" t="s">
        <v>8051</v>
      </c>
      <c r="C1339" s="1" t="s">
        <v>8052</v>
      </c>
      <c r="D1339" s="1" t="s">
        <v>8053</v>
      </c>
      <c r="E1339" s="1" t="s">
        <v>8054</v>
      </c>
      <c r="F1339" s="1" t="s">
        <v>8055</v>
      </c>
      <c r="G1339" s="1" t="s">
        <v>8056</v>
      </c>
      <c r="H1339" s="1" t="s">
        <v>8057</v>
      </c>
    </row>
    <row r="1340" spans="1:8" x14ac:dyDescent="0.3">
      <c r="A1340" s="2">
        <v>22539</v>
      </c>
      <c r="B1340" s="1" t="s">
        <v>8058</v>
      </c>
      <c r="C1340" s="1" t="s">
        <v>8059</v>
      </c>
      <c r="D1340" s="1" t="s">
        <v>8060</v>
      </c>
      <c r="E1340" s="1" t="s">
        <v>8061</v>
      </c>
      <c r="F1340" s="1" t="s">
        <v>8062</v>
      </c>
      <c r="G1340" s="1" t="s">
        <v>8063</v>
      </c>
      <c r="H1340" s="1" t="s">
        <v>8064</v>
      </c>
    </row>
    <row r="1341" spans="1:8" x14ac:dyDescent="0.3">
      <c r="A1341" s="2">
        <v>22540</v>
      </c>
      <c r="B1341" s="1" t="s">
        <v>8065</v>
      </c>
      <c r="C1341" s="1" t="s">
        <v>8066</v>
      </c>
      <c r="D1341" s="1" t="s">
        <v>8067</v>
      </c>
      <c r="F1341" s="1" t="s">
        <v>8068</v>
      </c>
      <c r="G1341" s="1" t="s">
        <v>57</v>
      </c>
      <c r="H1341" s="1" t="s">
        <v>8069</v>
      </c>
    </row>
    <row r="1342" spans="1:8" x14ac:dyDescent="0.3">
      <c r="A1342" s="2">
        <v>22541</v>
      </c>
      <c r="B1342" s="1" t="s">
        <v>8070</v>
      </c>
      <c r="C1342" s="1" t="s">
        <v>8071</v>
      </c>
      <c r="D1342" s="1" t="s">
        <v>8072</v>
      </c>
      <c r="E1342" s="1" t="s">
        <v>8073</v>
      </c>
      <c r="F1342" s="1" t="s">
        <v>8072</v>
      </c>
      <c r="G1342" s="1" t="s">
        <v>8074</v>
      </c>
      <c r="H1342" s="1" t="s">
        <v>8072</v>
      </c>
    </row>
    <row r="1343" spans="1:8" x14ac:dyDescent="0.3">
      <c r="A1343" s="2">
        <v>22601</v>
      </c>
      <c r="B1343" s="1" t="s">
        <v>8075</v>
      </c>
      <c r="C1343" s="1" t="s">
        <v>8076</v>
      </c>
      <c r="D1343" s="1" t="s">
        <v>8077</v>
      </c>
      <c r="E1343" s="1" t="s">
        <v>8078</v>
      </c>
      <c r="F1343" s="1" t="s">
        <v>8079</v>
      </c>
      <c r="G1343" s="1" t="s">
        <v>8075</v>
      </c>
      <c r="H1343" s="1" t="s">
        <v>8080</v>
      </c>
    </row>
    <row r="1344" spans="1:8" x14ac:dyDescent="0.3">
      <c r="A1344" s="2">
        <v>22602</v>
      </c>
      <c r="B1344" s="1" t="s">
        <v>8081</v>
      </c>
      <c r="C1344" s="1" t="s">
        <v>8082</v>
      </c>
      <c r="D1344" s="1" t="s">
        <v>8083</v>
      </c>
      <c r="E1344" s="1" t="s">
        <v>8081</v>
      </c>
      <c r="F1344" s="1" t="s">
        <v>8081</v>
      </c>
      <c r="G1344" s="1" t="s">
        <v>8084</v>
      </c>
      <c r="H1344" s="1" t="s">
        <v>8081</v>
      </c>
    </row>
    <row r="1345" spans="1:8" x14ac:dyDescent="0.3">
      <c r="A1345" s="2">
        <v>22603</v>
      </c>
      <c r="B1345" s="1" t="s">
        <v>8085</v>
      </c>
      <c r="C1345" s="1" t="s">
        <v>8086</v>
      </c>
      <c r="D1345" s="1" t="s">
        <v>8085</v>
      </c>
      <c r="E1345" s="1" t="s">
        <v>8087</v>
      </c>
      <c r="F1345" s="1" t="s">
        <v>8085</v>
      </c>
      <c r="G1345" s="1" t="s">
        <v>8088</v>
      </c>
      <c r="H1345" s="1" t="s">
        <v>8089</v>
      </c>
    </row>
    <row r="1346" spans="1:8" x14ac:dyDescent="0.3">
      <c r="A1346" s="2">
        <v>22604</v>
      </c>
      <c r="B1346" s="1" t="s">
        <v>8090</v>
      </c>
      <c r="C1346" s="1" t="s">
        <v>8091</v>
      </c>
      <c r="D1346" s="1" t="s">
        <v>8092</v>
      </c>
      <c r="E1346" s="1" t="s">
        <v>8093</v>
      </c>
      <c r="F1346" s="1" t="s">
        <v>8094</v>
      </c>
      <c r="G1346" s="1" t="s">
        <v>8095</v>
      </c>
      <c r="H1346" s="1" t="s">
        <v>8096</v>
      </c>
    </row>
    <row r="1347" spans="1:8" x14ac:dyDescent="0.3">
      <c r="A1347" s="2">
        <v>22605</v>
      </c>
      <c r="B1347" s="1" t="s">
        <v>8097</v>
      </c>
      <c r="C1347" s="1" t="s">
        <v>8098</v>
      </c>
      <c r="D1347" s="1" t="s">
        <v>8099</v>
      </c>
      <c r="E1347" s="1" t="s">
        <v>8100</v>
      </c>
      <c r="F1347" s="1" t="s">
        <v>8101</v>
      </c>
      <c r="G1347" s="1" t="s">
        <v>8102</v>
      </c>
      <c r="H1347" s="1" t="s">
        <v>8103</v>
      </c>
    </row>
    <row r="1348" spans="1:8" x14ac:dyDescent="0.3">
      <c r="A1348" s="2">
        <v>22606</v>
      </c>
      <c r="B1348" s="1" t="s">
        <v>8104</v>
      </c>
      <c r="C1348" s="1" t="s">
        <v>8105</v>
      </c>
      <c r="D1348" s="1" t="s">
        <v>8106</v>
      </c>
      <c r="E1348" s="1" t="s">
        <v>8107</v>
      </c>
      <c r="F1348" s="1" t="s">
        <v>8108</v>
      </c>
      <c r="G1348" s="1" t="s">
        <v>8109</v>
      </c>
      <c r="H1348" s="1" t="s">
        <v>8110</v>
      </c>
    </row>
    <row r="1349" spans="1:8" x14ac:dyDescent="0.3">
      <c r="A1349" s="2" t="s">
        <v>8111</v>
      </c>
      <c r="B1349" s="1" t="s">
        <v>8112</v>
      </c>
      <c r="C1349" s="1" t="s">
        <v>8113</v>
      </c>
      <c r="D1349" s="1" t="s">
        <v>8114</v>
      </c>
      <c r="E1349" s="1" t="s">
        <v>8115</v>
      </c>
      <c r="F1349" s="1" t="s">
        <v>8116</v>
      </c>
      <c r="G1349" s="1" t="s">
        <v>8117</v>
      </c>
      <c r="H1349" s="1" t="s">
        <v>8118</v>
      </c>
    </row>
    <row r="1350" spans="1:8" x14ac:dyDescent="0.3">
      <c r="A1350" s="2" t="s">
        <v>8119</v>
      </c>
      <c r="B1350" s="1" t="s">
        <v>8120</v>
      </c>
      <c r="C1350" s="1" t="s">
        <v>8121</v>
      </c>
      <c r="D1350" s="1" t="s">
        <v>8122</v>
      </c>
      <c r="E1350" s="1" t="s">
        <v>8123</v>
      </c>
      <c r="F1350" s="1" t="s">
        <v>8124</v>
      </c>
      <c r="G1350" s="1" t="s">
        <v>8125</v>
      </c>
      <c r="H1350" s="1" t="s">
        <v>8126</v>
      </c>
    </row>
    <row r="1351" spans="1:8" x14ac:dyDescent="0.3">
      <c r="A1351" s="2" t="s">
        <v>8127</v>
      </c>
      <c r="B1351" s="1" t="s">
        <v>8128</v>
      </c>
      <c r="C1351" s="1" t="s">
        <v>8129</v>
      </c>
      <c r="D1351" s="1" t="s">
        <v>8130</v>
      </c>
      <c r="E1351" s="1" t="s">
        <v>8131</v>
      </c>
      <c r="F1351" s="1" t="s">
        <v>8132</v>
      </c>
      <c r="G1351" s="1" t="s">
        <v>8133</v>
      </c>
      <c r="H1351" s="1" t="s">
        <v>8134</v>
      </c>
    </row>
    <row r="1352" spans="1:8" x14ac:dyDescent="0.3">
      <c r="A1352" s="2" t="s">
        <v>8135</v>
      </c>
      <c r="B1352" s="1" t="s">
        <v>8136</v>
      </c>
      <c r="C1352" s="1" t="s">
        <v>8137</v>
      </c>
      <c r="D1352" s="1" t="s">
        <v>8138</v>
      </c>
      <c r="E1352" s="1" t="s">
        <v>8139</v>
      </c>
      <c r="F1352" s="1" t="s">
        <v>8132</v>
      </c>
      <c r="G1352" s="1" t="s">
        <v>8140</v>
      </c>
      <c r="H1352" s="1" t="s">
        <v>8141</v>
      </c>
    </row>
    <row r="1353" spans="1:8" x14ac:dyDescent="0.3">
      <c r="A1353" s="2" t="s">
        <v>8142</v>
      </c>
      <c r="B1353" s="1" t="s">
        <v>8143</v>
      </c>
      <c r="C1353" s="1" t="s">
        <v>8144</v>
      </c>
      <c r="D1353" s="1" t="s">
        <v>8145</v>
      </c>
      <c r="E1353" s="1" t="s">
        <v>8146</v>
      </c>
      <c r="F1353" s="1" t="s">
        <v>8147</v>
      </c>
      <c r="G1353" s="1" t="s">
        <v>8148</v>
      </c>
      <c r="H1353" s="1" t="s">
        <v>8149</v>
      </c>
    </row>
    <row r="1354" spans="1:8" x14ac:dyDescent="0.3">
      <c r="A1354" s="2">
        <v>22607</v>
      </c>
      <c r="B1354" s="1" t="s">
        <v>8150</v>
      </c>
      <c r="C1354" s="1" t="s">
        <v>8151</v>
      </c>
      <c r="D1354" s="1" t="s">
        <v>8152</v>
      </c>
      <c r="E1354" s="1" t="s">
        <v>8153</v>
      </c>
      <c r="F1354" s="1" t="s">
        <v>8154</v>
      </c>
      <c r="G1354" s="1" t="s">
        <v>8150</v>
      </c>
      <c r="H1354" s="1" t="s">
        <v>8155</v>
      </c>
    </row>
    <row r="1355" spans="1:8" x14ac:dyDescent="0.3">
      <c r="A1355" s="2">
        <v>22608</v>
      </c>
      <c r="B1355" s="1" t="s">
        <v>8156</v>
      </c>
      <c r="C1355" s="1" t="s">
        <v>8157</v>
      </c>
      <c r="E1355" s="1" t="s">
        <v>8158</v>
      </c>
      <c r="F1355" s="1" t="s">
        <v>8159</v>
      </c>
      <c r="G1355" s="1" t="s">
        <v>8160</v>
      </c>
      <c r="H1355" s="1" t="s">
        <v>8161</v>
      </c>
    </row>
    <row r="1356" spans="1:8" x14ac:dyDescent="0.3">
      <c r="A1356" s="2">
        <v>22609</v>
      </c>
      <c r="B1356" s="1" t="s">
        <v>8162</v>
      </c>
      <c r="C1356" s="1" t="s">
        <v>8163</v>
      </c>
      <c r="D1356" s="1" t="s">
        <v>8164</v>
      </c>
      <c r="E1356" s="1" t="s">
        <v>8165</v>
      </c>
      <c r="F1356" s="1" t="s">
        <v>8166</v>
      </c>
      <c r="G1356" s="1" t="s">
        <v>8167</v>
      </c>
      <c r="H1356" s="1" t="s">
        <v>8168</v>
      </c>
    </row>
    <row r="1357" spans="1:8" x14ac:dyDescent="0.3">
      <c r="A1357" s="2">
        <v>22610</v>
      </c>
      <c r="B1357" s="1" t="s">
        <v>8169</v>
      </c>
      <c r="C1357" s="1" t="s">
        <v>8170</v>
      </c>
      <c r="D1357" s="1" t="s">
        <v>8171</v>
      </c>
      <c r="E1357" s="1" t="s">
        <v>8169</v>
      </c>
      <c r="F1357" s="1" t="s">
        <v>8172</v>
      </c>
      <c r="G1357" s="1" t="s">
        <v>8173</v>
      </c>
      <c r="H1357" s="1" t="s">
        <v>8174</v>
      </c>
    </row>
    <row r="1358" spans="1:8" x14ac:dyDescent="0.3">
      <c r="A1358" s="2">
        <v>22611</v>
      </c>
      <c r="B1358" s="1" t="s">
        <v>8175</v>
      </c>
      <c r="C1358" s="1" t="s">
        <v>8176</v>
      </c>
      <c r="D1358" s="1" t="s">
        <v>8175</v>
      </c>
      <c r="E1358" s="1" t="s">
        <v>8177</v>
      </c>
      <c r="F1358" s="1" t="s">
        <v>8178</v>
      </c>
      <c r="G1358" s="1" t="s">
        <v>8179</v>
      </c>
      <c r="H1358" s="1" t="s">
        <v>8175</v>
      </c>
    </row>
    <row r="1359" spans="1:8" x14ac:dyDescent="0.3">
      <c r="A1359" s="2">
        <v>22612</v>
      </c>
      <c r="B1359" s="1" t="s">
        <v>8180</v>
      </c>
      <c r="C1359" s="1" t="s">
        <v>8181</v>
      </c>
      <c r="D1359" s="1" t="s">
        <v>8182</v>
      </c>
      <c r="E1359" s="1" t="s">
        <v>8183</v>
      </c>
      <c r="F1359" s="1" t="s">
        <v>8183</v>
      </c>
      <c r="G1359" s="1" t="s">
        <v>8183</v>
      </c>
      <c r="H1359" s="1" t="s">
        <v>8180</v>
      </c>
    </row>
    <row r="1360" spans="1:8" x14ac:dyDescent="0.3">
      <c r="A1360" s="2">
        <v>22613</v>
      </c>
      <c r="B1360" s="1" t="s">
        <v>8184</v>
      </c>
      <c r="C1360" s="1" t="s">
        <v>57</v>
      </c>
      <c r="D1360" s="1" t="s">
        <v>8185</v>
      </c>
      <c r="E1360" s="1" t="s">
        <v>8186</v>
      </c>
      <c r="F1360" s="1" t="s">
        <v>8187</v>
      </c>
      <c r="G1360" s="1" t="s">
        <v>57</v>
      </c>
      <c r="H1360" s="1" t="s">
        <v>8188</v>
      </c>
    </row>
    <row r="1361" spans="1:8" x14ac:dyDescent="0.3">
      <c r="A1361" s="2">
        <v>22614</v>
      </c>
      <c r="B1361" s="1" t="s">
        <v>8189</v>
      </c>
      <c r="C1361" s="1" t="s">
        <v>8190</v>
      </c>
      <c r="D1361" s="1" t="s">
        <v>8191</v>
      </c>
      <c r="E1361" s="1" t="s">
        <v>8192</v>
      </c>
      <c r="F1361" s="1" t="s">
        <v>8193</v>
      </c>
      <c r="G1361" s="1" t="s">
        <v>8192</v>
      </c>
      <c r="H1361" s="1" t="s">
        <v>8192</v>
      </c>
    </row>
    <row r="1362" spans="1:8" x14ac:dyDescent="0.3">
      <c r="A1362" s="2" t="s">
        <v>8194</v>
      </c>
      <c r="B1362" s="1" t="s">
        <v>8195</v>
      </c>
      <c r="C1362" s="1" t="s">
        <v>8196</v>
      </c>
      <c r="D1362" s="1" t="s">
        <v>8197</v>
      </c>
      <c r="E1362" s="1" t="s">
        <v>8197</v>
      </c>
      <c r="F1362" s="1" t="s">
        <v>8197</v>
      </c>
      <c r="G1362" s="1" t="s">
        <v>8198</v>
      </c>
      <c r="H1362" s="1" t="s">
        <v>8199</v>
      </c>
    </row>
    <row r="1363" spans="1:8" x14ac:dyDescent="0.3">
      <c r="A1363" s="2">
        <v>22615</v>
      </c>
      <c r="B1363" s="1" t="s">
        <v>8200</v>
      </c>
      <c r="C1363" s="1" t="s">
        <v>8201</v>
      </c>
      <c r="D1363" s="1" t="s">
        <v>8202</v>
      </c>
      <c r="E1363" s="1" t="s">
        <v>8203</v>
      </c>
      <c r="F1363" s="1" t="s">
        <v>8204</v>
      </c>
      <c r="G1363" s="1" t="s">
        <v>8205</v>
      </c>
      <c r="H1363" s="1" t="s">
        <v>8206</v>
      </c>
    </row>
    <row r="1364" spans="1:8" x14ac:dyDescent="0.3">
      <c r="A1364" s="2">
        <v>22616</v>
      </c>
      <c r="B1364" s="1" t="s">
        <v>8207</v>
      </c>
      <c r="C1364" s="1" t="s">
        <v>8208</v>
      </c>
      <c r="D1364" s="1" t="s">
        <v>8209</v>
      </c>
      <c r="E1364" s="1" t="s">
        <v>8210</v>
      </c>
      <c r="F1364" s="1" t="s">
        <v>8211</v>
      </c>
      <c r="G1364" s="1" t="s">
        <v>8212</v>
      </c>
      <c r="H1364" s="1" t="s">
        <v>8213</v>
      </c>
    </row>
    <row r="1365" spans="1:8" x14ac:dyDescent="0.3">
      <c r="A1365" s="2">
        <v>22617</v>
      </c>
      <c r="B1365" s="1" t="s">
        <v>8214</v>
      </c>
      <c r="C1365" s="1" t="s">
        <v>8215</v>
      </c>
      <c r="D1365" s="1" t="s">
        <v>8216</v>
      </c>
      <c r="E1365" s="1" t="s">
        <v>8217</v>
      </c>
      <c r="F1365" s="1" t="s">
        <v>8218</v>
      </c>
      <c r="G1365" s="1" t="s">
        <v>8214</v>
      </c>
      <c r="H1365" s="1" t="s">
        <v>8216</v>
      </c>
    </row>
    <row r="1366" spans="1:8" x14ac:dyDescent="0.3">
      <c r="A1366" s="2" t="s">
        <v>8219</v>
      </c>
      <c r="B1366" s="1" t="s">
        <v>8220</v>
      </c>
      <c r="C1366" s="1" t="s">
        <v>8221</v>
      </c>
      <c r="D1366" s="1" t="s">
        <v>8222</v>
      </c>
      <c r="E1366" s="1" t="s">
        <v>8223</v>
      </c>
      <c r="F1366" s="1" t="s">
        <v>8224</v>
      </c>
      <c r="G1366" s="1" t="s">
        <v>8225</v>
      </c>
      <c r="H1366" s="1" t="s">
        <v>8226</v>
      </c>
    </row>
    <row r="1367" spans="1:8" x14ac:dyDescent="0.3">
      <c r="A1367" s="2">
        <v>22618</v>
      </c>
      <c r="B1367" s="1" t="s">
        <v>8227</v>
      </c>
      <c r="C1367" s="1" t="s">
        <v>8228</v>
      </c>
      <c r="D1367" s="1" t="s">
        <v>8229</v>
      </c>
      <c r="E1367" s="1" t="s">
        <v>4154</v>
      </c>
      <c r="F1367" s="1" t="s">
        <v>8230</v>
      </c>
      <c r="G1367" s="1" t="s">
        <v>8231</v>
      </c>
      <c r="H1367" s="1" t="s">
        <v>8232</v>
      </c>
    </row>
    <row r="1368" spans="1:8" x14ac:dyDescent="0.3">
      <c r="A1368" s="2" t="s">
        <v>8233</v>
      </c>
      <c r="B1368" s="1" t="s">
        <v>8234</v>
      </c>
      <c r="C1368" s="1" t="s">
        <v>8235</v>
      </c>
      <c r="D1368" s="1" t="s">
        <v>8236</v>
      </c>
      <c r="E1368" s="1" t="s">
        <v>8237</v>
      </c>
      <c r="F1368" s="1" t="s">
        <v>8234</v>
      </c>
      <c r="G1368" s="1" t="s">
        <v>8234</v>
      </c>
      <c r="H1368" s="1" t="s">
        <v>8234</v>
      </c>
    </row>
    <row r="1369" spans="1:8" x14ac:dyDescent="0.3">
      <c r="A1369" s="2" t="s">
        <v>8238</v>
      </c>
      <c r="B1369" s="1" t="s">
        <v>8239</v>
      </c>
      <c r="C1369" s="1" t="s">
        <v>8240</v>
      </c>
      <c r="D1369" s="1" t="s">
        <v>8241</v>
      </c>
      <c r="E1369" s="1" t="s">
        <v>8242</v>
      </c>
      <c r="F1369" s="1" t="s">
        <v>8243</v>
      </c>
      <c r="G1369" s="1" t="s">
        <v>8243</v>
      </c>
      <c r="H1369" s="1" t="s">
        <v>8243</v>
      </c>
    </row>
    <row r="1370" spans="1:8" x14ac:dyDescent="0.3">
      <c r="A1370" s="2">
        <v>22619</v>
      </c>
      <c r="B1370" s="1" t="s">
        <v>8244</v>
      </c>
      <c r="C1370" s="1" t="s">
        <v>8245</v>
      </c>
      <c r="D1370" s="1" t="s">
        <v>8244</v>
      </c>
      <c r="E1370" s="1" t="s">
        <v>8246</v>
      </c>
      <c r="F1370" s="1" t="s">
        <v>8244</v>
      </c>
      <c r="G1370" s="1" t="s">
        <v>8247</v>
      </c>
      <c r="H1370" s="1" t="s">
        <v>8244</v>
      </c>
    </row>
    <row r="1371" spans="1:8" x14ac:dyDescent="0.3">
      <c r="A1371" s="2">
        <v>22620</v>
      </c>
      <c r="B1371" s="1" t="s">
        <v>8248</v>
      </c>
      <c r="C1371" s="1" t="s">
        <v>8249</v>
      </c>
      <c r="D1371" s="1" t="s">
        <v>8250</v>
      </c>
      <c r="E1371" s="1" t="s">
        <v>8248</v>
      </c>
      <c r="F1371" s="1" t="s">
        <v>8251</v>
      </c>
      <c r="G1371" s="1" t="s">
        <v>8252</v>
      </c>
      <c r="H1371" s="1" t="s">
        <v>8253</v>
      </c>
    </row>
    <row r="1372" spans="1:8" x14ac:dyDescent="0.3">
      <c r="A1372" s="2">
        <v>22621</v>
      </c>
      <c r="B1372" s="1" t="s">
        <v>8254</v>
      </c>
      <c r="C1372" s="1" t="s">
        <v>8255</v>
      </c>
      <c r="D1372" s="1" t="s">
        <v>8256</v>
      </c>
      <c r="E1372" s="1" t="s">
        <v>8257</v>
      </c>
      <c r="F1372" s="1" t="s">
        <v>8258</v>
      </c>
      <c r="G1372" s="1" t="s">
        <v>8257</v>
      </c>
      <c r="H1372" s="1" t="s">
        <v>8259</v>
      </c>
    </row>
    <row r="1373" spans="1:8" x14ac:dyDescent="0.3">
      <c r="A1373" s="2" t="s">
        <v>8260</v>
      </c>
      <c r="B1373" s="1" t="s">
        <v>8261</v>
      </c>
      <c r="C1373" s="1" t="s">
        <v>8262</v>
      </c>
      <c r="D1373" s="1" t="s">
        <v>8263</v>
      </c>
      <c r="E1373" s="1" t="s">
        <v>8264</v>
      </c>
      <c r="F1373" s="1" t="s">
        <v>8264</v>
      </c>
      <c r="G1373" s="1" t="s">
        <v>8264</v>
      </c>
      <c r="H1373" s="1" t="s">
        <v>8265</v>
      </c>
    </row>
    <row r="1374" spans="1:8" x14ac:dyDescent="0.3">
      <c r="A1374" s="2" t="s">
        <v>8266</v>
      </c>
      <c r="B1374" s="1" t="s">
        <v>8267</v>
      </c>
      <c r="C1374" s="1" t="s">
        <v>8268</v>
      </c>
      <c r="D1374" s="1" t="s">
        <v>8269</v>
      </c>
      <c r="E1374" s="1" t="s">
        <v>8270</v>
      </c>
      <c r="F1374" s="1" t="s">
        <v>8271</v>
      </c>
      <c r="G1374" s="1" t="s">
        <v>8272</v>
      </c>
      <c r="H1374" s="1" t="s">
        <v>8273</v>
      </c>
    </row>
    <row r="1375" spans="1:8" x14ac:dyDescent="0.3">
      <c r="A1375" s="2">
        <v>22622</v>
      </c>
      <c r="B1375" s="1" t="s">
        <v>8274</v>
      </c>
      <c r="C1375" s="1" t="s">
        <v>8275</v>
      </c>
      <c r="D1375" s="1" t="s">
        <v>8276</v>
      </c>
      <c r="E1375" s="1" t="s">
        <v>8274</v>
      </c>
      <c r="F1375" s="1" t="s">
        <v>8277</v>
      </c>
      <c r="G1375" s="1" t="s">
        <v>8278</v>
      </c>
      <c r="H1375" s="1" t="s">
        <v>8279</v>
      </c>
    </row>
    <row r="1376" spans="1:8" x14ac:dyDescent="0.3">
      <c r="A1376" s="2">
        <v>22623</v>
      </c>
      <c r="B1376" s="1" t="s">
        <v>8280</v>
      </c>
      <c r="C1376" s="1" t="s">
        <v>8281</v>
      </c>
      <c r="D1376" s="1" t="s">
        <v>8282</v>
      </c>
      <c r="E1376" s="1" t="s">
        <v>8283</v>
      </c>
      <c r="F1376" s="1" t="s">
        <v>8284</v>
      </c>
      <c r="G1376" s="1" t="s">
        <v>8285</v>
      </c>
      <c r="H1376" s="1" t="s">
        <v>8286</v>
      </c>
    </row>
    <row r="1377" spans="1:8" x14ac:dyDescent="0.3">
      <c r="A1377" s="2">
        <v>22624</v>
      </c>
      <c r="B1377" s="1" t="s">
        <v>8287</v>
      </c>
      <c r="C1377" s="1" t="s">
        <v>8288</v>
      </c>
      <c r="D1377" s="1" t="s">
        <v>8289</v>
      </c>
      <c r="E1377" s="1" t="s">
        <v>8290</v>
      </c>
      <c r="F1377" s="1" t="s">
        <v>8291</v>
      </c>
      <c r="G1377" s="1" t="s">
        <v>8292</v>
      </c>
      <c r="H1377" s="1" t="s">
        <v>8293</v>
      </c>
    </row>
    <row r="1378" spans="1:8" x14ac:dyDescent="0.3">
      <c r="A1378" s="2">
        <v>22625</v>
      </c>
      <c r="B1378" s="1" t="s">
        <v>8294</v>
      </c>
      <c r="C1378" s="1" t="s">
        <v>8295</v>
      </c>
      <c r="D1378" s="1" t="s">
        <v>8296</v>
      </c>
      <c r="E1378" s="1" t="s">
        <v>8297</v>
      </c>
      <c r="F1378" s="1" t="s">
        <v>8294</v>
      </c>
      <c r="G1378" s="1" t="s">
        <v>8298</v>
      </c>
      <c r="H1378" s="1" t="s">
        <v>8294</v>
      </c>
    </row>
    <row r="1379" spans="1:8" x14ac:dyDescent="0.3">
      <c r="A1379" s="2">
        <v>22626</v>
      </c>
      <c r="B1379" s="1" t="s">
        <v>8299</v>
      </c>
      <c r="C1379" s="1" t="s">
        <v>8300</v>
      </c>
      <c r="D1379" s="1" t="s">
        <v>8301</v>
      </c>
      <c r="E1379" s="1" t="s">
        <v>8302</v>
      </c>
      <c r="F1379" s="1" t="s">
        <v>8303</v>
      </c>
      <c r="G1379" s="1" t="s">
        <v>8304</v>
      </c>
      <c r="H1379" s="1" t="s">
        <v>8305</v>
      </c>
    </row>
    <row r="1380" spans="1:8" x14ac:dyDescent="0.3">
      <c r="A1380" s="2">
        <v>22627</v>
      </c>
      <c r="B1380" s="1" t="s">
        <v>8306</v>
      </c>
      <c r="C1380" s="1" t="s">
        <v>8307</v>
      </c>
      <c r="D1380" s="1" t="s">
        <v>8308</v>
      </c>
      <c r="F1380" s="1" t="s">
        <v>8309</v>
      </c>
      <c r="G1380" s="1" t="s">
        <v>8310</v>
      </c>
      <c r="H1380" s="1" t="s">
        <v>8309</v>
      </c>
    </row>
    <row r="1381" spans="1:8" x14ac:dyDescent="0.3">
      <c r="A1381" s="2" t="s">
        <v>8311</v>
      </c>
      <c r="B1381" s="1" t="e">
        <f>-이</f>
        <v>#NAME?</v>
      </c>
      <c r="C1381" s="1" t="s">
        <v>8312</v>
      </c>
      <c r="D1381" s="1" t="s">
        <v>8313</v>
      </c>
      <c r="E1381" s="1" t="s">
        <v>8314</v>
      </c>
      <c r="F1381" s="1" t="s">
        <v>8315</v>
      </c>
      <c r="G1381" s="1" t="s">
        <v>8316</v>
      </c>
      <c r="H1381" s="1" t="s">
        <v>8317</v>
      </c>
    </row>
    <row r="1382" spans="1:8" x14ac:dyDescent="0.3">
      <c r="A1382" s="2">
        <v>22628</v>
      </c>
      <c r="B1382" s="1" t="s">
        <v>8318</v>
      </c>
      <c r="C1382" s="1" t="s">
        <v>8319</v>
      </c>
      <c r="D1382" s="1" t="s">
        <v>8320</v>
      </c>
      <c r="E1382" s="1" t="s">
        <v>8321</v>
      </c>
      <c r="F1382" s="1" t="s">
        <v>8322</v>
      </c>
      <c r="G1382" s="1" t="s">
        <v>8323</v>
      </c>
    </row>
    <row r="1383" spans="1:8" x14ac:dyDescent="0.3">
      <c r="A1383" s="2">
        <v>22629</v>
      </c>
      <c r="B1383" s="1" t="s">
        <v>8324</v>
      </c>
      <c r="C1383" s="1" t="s">
        <v>8325</v>
      </c>
      <c r="D1383" s="1" t="s">
        <v>8326</v>
      </c>
      <c r="E1383" s="1" t="s">
        <v>8327</v>
      </c>
      <c r="F1383" s="1" t="s">
        <v>8328</v>
      </c>
      <c r="G1383" s="1" t="s">
        <v>8329</v>
      </c>
      <c r="H1383" s="1" t="s">
        <v>8330</v>
      </c>
    </row>
    <row r="1384" spans="1:8" x14ac:dyDescent="0.3">
      <c r="A1384" s="2">
        <v>22630</v>
      </c>
      <c r="B1384" s="1" t="s">
        <v>8331</v>
      </c>
      <c r="C1384" s="1" t="s">
        <v>8332</v>
      </c>
      <c r="D1384" s="1" t="s">
        <v>8333</v>
      </c>
      <c r="E1384" s="1" t="s">
        <v>8334</v>
      </c>
      <c r="F1384" s="1" t="s">
        <v>8331</v>
      </c>
      <c r="G1384" s="1" t="s">
        <v>8335</v>
      </c>
      <c r="H1384" s="1" t="s">
        <v>8336</v>
      </c>
    </row>
    <row r="1385" spans="1:8" x14ac:dyDescent="0.3">
      <c r="A1385" s="2" t="s">
        <v>8337</v>
      </c>
      <c r="B1385" s="1" t="e">
        <f>-을</f>
        <v>#NAME?</v>
      </c>
      <c r="C1385" s="1" t="s">
        <v>8338</v>
      </c>
      <c r="E1385" s="1" t="s">
        <v>8339</v>
      </c>
      <c r="F1385" s="1" t="s">
        <v>8340</v>
      </c>
      <c r="G1385" s="1" t="s">
        <v>8341</v>
      </c>
      <c r="H1385" s="1" t="s">
        <v>8342</v>
      </c>
    </row>
    <row r="1386" spans="1:8" x14ac:dyDescent="0.3">
      <c r="A1386" s="2" t="s">
        <v>8343</v>
      </c>
      <c r="B1386" s="1" t="s">
        <v>8344</v>
      </c>
      <c r="C1386" s="1" t="s">
        <v>8345</v>
      </c>
      <c r="D1386" s="1" t="s">
        <v>8346</v>
      </c>
      <c r="E1386" s="1" t="s">
        <v>8347</v>
      </c>
      <c r="F1386" s="1" t="s">
        <v>8348</v>
      </c>
      <c r="G1386" s="1" t="s">
        <v>8349</v>
      </c>
      <c r="H1386" s="1" t="s">
        <v>8350</v>
      </c>
    </row>
    <row r="1387" spans="1:8" x14ac:dyDescent="0.3">
      <c r="A1387" s="2">
        <v>22631</v>
      </c>
      <c r="B1387" s="1" t="s">
        <v>8351</v>
      </c>
      <c r="C1387" s="1" t="s">
        <v>8352</v>
      </c>
      <c r="D1387" s="1" t="s">
        <v>8353</v>
      </c>
      <c r="E1387" s="1" t="s">
        <v>8354</v>
      </c>
      <c r="F1387" s="1" t="s">
        <v>8355</v>
      </c>
      <c r="G1387" s="1" t="s">
        <v>8356</v>
      </c>
      <c r="H1387" s="1" t="s">
        <v>8357</v>
      </c>
    </row>
    <row r="1388" spans="1:8" x14ac:dyDescent="0.3">
      <c r="A1388" s="2">
        <v>22632</v>
      </c>
      <c r="B1388" s="1" t="s">
        <v>8358</v>
      </c>
      <c r="C1388" s="1" t="s">
        <v>8359</v>
      </c>
      <c r="D1388" s="1" t="s">
        <v>8360</v>
      </c>
      <c r="E1388" s="1" t="s">
        <v>8361</v>
      </c>
      <c r="F1388" s="1" t="s">
        <v>8362</v>
      </c>
      <c r="G1388" s="1" t="s">
        <v>8361</v>
      </c>
      <c r="H1388" s="1" t="s">
        <v>8363</v>
      </c>
    </row>
    <row r="1389" spans="1:8" x14ac:dyDescent="0.3">
      <c r="A1389" s="2">
        <v>22633</v>
      </c>
      <c r="B1389" s="1" t="s">
        <v>8364</v>
      </c>
      <c r="C1389" s="1" t="s">
        <v>8365</v>
      </c>
      <c r="D1389" s="1" t="s">
        <v>8366</v>
      </c>
      <c r="E1389" s="1" t="s">
        <v>8367</v>
      </c>
      <c r="F1389" s="1" t="s">
        <v>8368</v>
      </c>
      <c r="G1389" s="1" t="s">
        <v>8367</v>
      </c>
    </row>
    <row r="1390" spans="1:8" x14ac:dyDescent="0.3">
      <c r="A1390" s="2">
        <v>22634</v>
      </c>
      <c r="B1390" s="1" t="s">
        <v>8369</v>
      </c>
      <c r="C1390" s="1" t="s">
        <v>8370</v>
      </c>
      <c r="D1390" s="1" t="s">
        <v>8371</v>
      </c>
      <c r="E1390" s="1" t="s">
        <v>8372</v>
      </c>
      <c r="F1390" s="1" t="s">
        <v>8373</v>
      </c>
      <c r="G1390" s="1" t="s">
        <v>8374</v>
      </c>
      <c r="H1390" s="1" t="s">
        <v>8375</v>
      </c>
    </row>
    <row r="1391" spans="1:8" x14ac:dyDescent="0.3">
      <c r="A1391" s="2">
        <v>22635</v>
      </c>
      <c r="B1391" s="1" t="s">
        <v>8376</v>
      </c>
      <c r="C1391" s="1" t="s">
        <v>8377</v>
      </c>
      <c r="D1391" s="1" t="s">
        <v>8378</v>
      </c>
      <c r="E1391" s="1" t="s">
        <v>8379</v>
      </c>
      <c r="F1391" s="1" t="s">
        <v>8380</v>
      </c>
      <c r="G1391" s="1" t="s">
        <v>8381</v>
      </c>
      <c r="H1391" s="1" t="s">
        <v>8382</v>
      </c>
    </row>
    <row r="1392" spans="1:8" x14ac:dyDescent="0.3">
      <c r="A1392" s="2">
        <v>22636</v>
      </c>
      <c r="B1392" s="1" t="s">
        <v>8383</v>
      </c>
      <c r="C1392" s="1" t="s">
        <v>8384</v>
      </c>
      <c r="D1392" s="1" t="s">
        <v>8383</v>
      </c>
      <c r="E1392" s="1" t="s">
        <v>8383</v>
      </c>
      <c r="F1392" s="1" t="s">
        <v>8385</v>
      </c>
      <c r="G1392" s="1" t="s">
        <v>8386</v>
      </c>
      <c r="H1392" s="1" t="s">
        <v>8383</v>
      </c>
    </row>
    <row r="1393" spans="1:8" x14ac:dyDescent="0.3">
      <c r="A1393" s="2">
        <v>22637</v>
      </c>
      <c r="B1393" s="1" t="s">
        <v>8387</v>
      </c>
      <c r="C1393" s="1" t="s">
        <v>8388</v>
      </c>
      <c r="D1393" s="1" t="s">
        <v>8389</v>
      </c>
      <c r="E1393" s="1" t="s">
        <v>8390</v>
      </c>
      <c r="F1393" s="1" t="s">
        <v>8391</v>
      </c>
      <c r="G1393" s="1" t="s">
        <v>8392</v>
      </c>
      <c r="H1393" s="1" t="s">
        <v>8174</v>
      </c>
    </row>
    <row r="1394" spans="1:8" x14ac:dyDescent="0.3">
      <c r="A1394" s="2" t="s">
        <v>8393</v>
      </c>
      <c r="B1394" s="1" t="e">
        <f>-을</f>
        <v>#NAME?</v>
      </c>
      <c r="C1394" s="1" t="s">
        <v>8394</v>
      </c>
      <c r="E1394" s="1" t="s">
        <v>8395</v>
      </c>
      <c r="F1394" s="1" t="s">
        <v>8396</v>
      </c>
      <c r="G1394" s="1" t="s">
        <v>8397</v>
      </c>
      <c r="H1394" s="1" t="s">
        <v>8398</v>
      </c>
    </row>
    <row r="1395" spans="1:8" x14ac:dyDescent="0.3">
      <c r="A1395" s="2">
        <v>22701</v>
      </c>
      <c r="B1395" s="1" t="s">
        <v>8399</v>
      </c>
      <c r="C1395" s="1" t="s">
        <v>8400</v>
      </c>
      <c r="D1395" s="1" t="s">
        <v>8401</v>
      </c>
      <c r="E1395" s="1" t="s">
        <v>8402</v>
      </c>
      <c r="F1395" s="1" t="s">
        <v>8403</v>
      </c>
      <c r="G1395" s="1" t="s">
        <v>8404</v>
      </c>
      <c r="H1395" s="1" t="s">
        <v>8405</v>
      </c>
    </row>
    <row r="1396" spans="1:8" x14ac:dyDescent="0.3">
      <c r="A1396" s="2">
        <v>22702</v>
      </c>
      <c r="B1396" s="1" t="s">
        <v>8406</v>
      </c>
      <c r="C1396" s="1" t="s">
        <v>8407</v>
      </c>
      <c r="D1396" s="1" t="s">
        <v>8408</v>
      </c>
      <c r="E1396" s="1" t="s">
        <v>8409</v>
      </c>
      <c r="F1396" s="1" t="s">
        <v>8410</v>
      </c>
      <c r="G1396" s="1" t="s">
        <v>8411</v>
      </c>
      <c r="H1396" s="1" t="s">
        <v>8411</v>
      </c>
    </row>
    <row r="1397" spans="1:8" x14ac:dyDescent="0.3">
      <c r="A1397" s="2">
        <v>22703</v>
      </c>
      <c r="B1397" s="1" t="s">
        <v>8412</v>
      </c>
      <c r="C1397" s="1" t="s">
        <v>8413</v>
      </c>
      <c r="D1397" s="1" t="s">
        <v>8414</v>
      </c>
      <c r="E1397" s="1" t="s">
        <v>8415</v>
      </c>
      <c r="F1397" s="1" t="s">
        <v>8416</v>
      </c>
      <c r="G1397" s="1" t="s">
        <v>8417</v>
      </c>
      <c r="H1397" s="1" t="s">
        <v>8418</v>
      </c>
    </row>
    <row r="1398" spans="1:8" x14ac:dyDescent="0.3">
      <c r="A1398" s="2">
        <v>22704</v>
      </c>
      <c r="B1398" s="1" t="s">
        <v>8419</v>
      </c>
      <c r="C1398" s="1" t="s">
        <v>8420</v>
      </c>
      <c r="D1398" s="1" t="s">
        <v>8421</v>
      </c>
      <c r="E1398" s="1" t="s">
        <v>8422</v>
      </c>
      <c r="F1398" s="1" t="s">
        <v>8423</v>
      </c>
      <c r="G1398" s="1" t="s">
        <v>8424</v>
      </c>
      <c r="H1398" s="1" t="s">
        <v>8425</v>
      </c>
    </row>
    <row r="1399" spans="1:8" x14ac:dyDescent="0.3">
      <c r="A1399" s="2">
        <v>22705</v>
      </c>
      <c r="B1399" s="1" t="s">
        <v>8426</v>
      </c>
      <c r="C1399" s="1" t="s">
        <v>8427</v>
      </c>
      <c r="D1399" s="1" t="s">
        <v>8428</v>
      </c>
      <c r="E1399" s="1" t="s">
        <v>8429</v>
      </c>
      <c r="F1399" s="1" t="s">
        <v>8430</v>
      </c>
      <c r="G1399" s="1" t="s">
        <v>8431</v>
      </c>
      <c r="H1399" s="1" t="s">
        <v>8426</v>
      </c>
    </row>
    <row r="1400" spans="1:8" x14ac:dyDescent="0.3">
      <c r="A1400" s="2">
        <v>22706</v>
      </c>
      <c r="B1400" s="1" t="s">
        <v>8432</v>
      </c>
      <c r="C1400" s="1" t="s">
        <v>8433</v>
      </c>
      <c r="D1400" s="1" t="s">
        <v>8434</v>
      </c>
      <c r="E1400" s="1" t="s">
        <v>8435</v>
      </c>
      <c r="F1400" s="1" t="s">
        <v>8436</v>
      </c>
      <c r="G1400" s="1" t="s">
        <v>8437</v>
      </c>
      <c r="H1400" s="1" t="s">
        <v>8438</v>
      </c>
    </row>
    <row r="1401" spans="1:8" x14ac:dyDescent="0.3">
      <c r="A1401" s="2" t="s">
        <v>8439</v>
      </c>
      <c r="B1401" s="1" t="e">
        <f>-이</f>
        <v>#NAME?</v>
      </c>
      <c r="C1401" s="1" t="s">
        <v>8440</v>
      </c>
      <c r="E1401" s="1" t="s">
        <v>8441</v>
      </c>
      <c r="F1401" s="1" t="s">
        <v>8442</v>
      </c>
      <c r="G1401" s="1" t="s">
        <v>8443</v>
      </c>
      <c r="H1401" s="1" t="s">
        <v>8444</v>
      </c>
    </row>
    <row r="1402" spans="1:8" x14ac:dyDescent="0.3">
      <c r="A1402" s="2" t="s">
        <v>8445</v>
      </c>
      <c r="B1402" s="1" t="e">
        <f>-을</f>
        <v>#NAME?</v>
      </c>
      <c r="C1402" s="1" t="s">
        <v>8446</v>
      </c>
      <c r="E1402" s="1" t="s">
        <v>8447</v>
      </c>
      <c r="F1402" s="1" t="s">
        <v>8448</v>
      </c>
      <c r="G1402" s="1" t="s">
        <v>8449</v>
      </c>
      <c r="H1402" s="1" t="s">
        <v>8450</v>
      </c>
    </row>
    <row r="1403" spans="1:8" x14ac:dyDescent="0.3">
      <c r="A1403" s="2">
        <v>22707</v>
      </c>
      <c r="B1403" s="1" t="s">
        <v>8451</v>
      </c>
      <c r="C1403" s="1" t="s">
        <v>8452</v>
      </c>
      <c r="D1403" s="1" t="s">
        <v>8453</v>
      </c>
      <c r="E1403" s="1" t="s">
        <v>8451</v>
      </c>
      <c r="F1403" s="1" t="s">
        <v>8454</v>
      </c>
      <c r="G1403" s="1" t="s">
        <v>8455</v>
      </c>
      <c r="H1403" s="1" t="s">
        <v>8456</v>
      </c>
    </row>
    <row r="1404" spans="1:8" x14ac:dyDescent="0.3">
      <c r="A1404" s="2">
        <v>22708</v>
      </c>
      <c r="B1404" s="1" t="s">
        <v>8457</v>
      </c>
      <c r="C1404" s="1" t="s">
        <v>8458</v>
      </c>
      <c r="D1404" s="1" t="s">
        <v>8457</v>
      </c>
      <c r="E1404" s="1" t="s">
        <v>8457</v>
      </c>
      <c r="F1404" s="1" t="s">
        <v>8459</v>
      </c>
      <c r="G1404" s="1" t="s">
        <v>8460</v>
      </c>
      <c r="H1404" s="1" t="s">
        <v>8461</v>
      </c>
    </row>
    <row r="1405" spans="1:8" x14ac:dyDescent="0.3">
      <c r="A1405" s="2">
        <v>22709</v>
      </c>
      <c r="B1405" s="1" t="s">
        <v>8462</v>
      </c>
      <c r="C1405" s="1" t="s">
        <v>8463</v>
      </c>
      <c r="D1405" s="1" t="s">
        <v>8464</v>
      </c>
      <c r="E1405" s="1" t="s">
        <v>8465</v>
      </c>
      <c r="F1405" s="1" t="s">
        <v>8466</v>
      </c>
      <c r="G1405" s="1" t="s">
        <v>8467</v>
      </c>
      <c r="H1405" s="1" t="s">
        <v>8468</v>
      </c>
    </row>
    <row r="1406" spans="1:8" x14ac:dyDescent="0.3">
      <c r="A1406" s="2">
        <v>22710</v>
      </c>
      <c r="B1406" s="1" t="s">
        <v>8469</v>
      </c>
      <c r="C1406" s="1" t="s">
        <v>8470</v>
      </c>
      <c r="D1406" s="1" t="s">
        <v>8471</v>
      </c>
      <c r="E1406" s="1" t="s">
        <v>8472</v>
      </c>
      <c r="F1406" s="1" t="s">
        <v>8473</v>
      </c>
      <c r="G1406" s="1" t="s">
        <v>8474</v>
      </c>
      <c r="H1406" s="1" t="s">
        <v>8475</v>
      </c>
    </row>
    <row r="1407" spans="1:8" x14ac:dyDescent="0.3">
      <c r="A1407" s="2">
        <v>22711</v>
      </c>
      <c r="B1407" s="1" t="s">
        <v>8476</v>
      </c>
      <c r="C1407" s="1" t="s">
        <v>8477</v>
      </c>
      <c r="D1407" s="1" t="s">
        <v>8478</v>
      </c>
      <c r="E1407" s="1" t="s">
        <v>8479</v>
      </c>
      <c r="F1407" s="1" t="s">
        <v>8480</v>
      </c>
      <c r="G1407" s="1" t="s">
        <v>8481</v>
      </c>
    </row>
    <row r="1408" spans="1:8" x14ac:dyDescent="0.3">
      <c r="A1408" s="2">
        <v>22712</v>
      </c>
      <c r="B1408" s="1" t="s">
        <v>8482</v>
      </c>
      <c r="C1408" s="1" t="s">
        <v>8483</v>
      </c>
      <c r="D1408" s="1" t="s">
        <v>8484</v>
      </c>
      <c r="E1408" s="1" t="s">
        <v>8485</v>
      </c>
      <c r="F1408" s="1" t="s">
        <v>8486</v>
      </c>
      <c r="G1408" s="1" t="s">
        <v>8487</v>
      </c>
      <c r="H1408" s="1" t="s">
        <v>8488</v>
      </c>
    </row>
    <row r="1409" spans="1:8" x14ac:dyDescent="0.3">
      <c r="A1409" s="2">
        <v>22713</v>
      </c>
      <c r="B1409" s="1" t="s">
        <v>8489</v>
      </c>
      <c r="C1409" s="1" t="s">
        <v>8490</v>
      </c>
      <c r="D1409" s="1" t="s">
        <v>8491</v>
      </c>
      <c r="E1409" s="1" t="s">
        <v>8492</v>
      </c>
      <c r="F1409" s="1" t="s">
        <v>8493</v>
      </c>
      <c r="G1409" s="1" t="s">
        <v>8492</v>
      </c>
      <c r="H1409" s="1" t="s">
        <v>8489</v>
      </c>
    </row>
    <row r="1410" spans="1:8" x14ac:dyDescent="0.3">
      <c r="A1410" s="2">
        <v>22714</v>
      </c>
      <c r="B1410" s="1" t="s">
        <v>8494</v>
      </c>
      <c r="C1410" s="1" t="s">
        <v>8495</v>
      </c>
      <c r="D1410" s="1" t="s">
        <v>8496</v>
      </c>
      <c r="E1410" s="1" t="s">
        <v>8497</v>
      </c>
      <c r="F1410" s="1" t="s">
        <v>8498</v>
      </c>
      <c r="G1410" s="1" t="s">
        <v>8499</v>
      </c>
      <c r="H1410" s="1" t="s">
        <v>8499</v>
      </c>
    </row>
    <row r="1411" spans="1:8" x14ac:dyDescent="0.3">
      <c r="A1411" s="2">
        <v>22715</v>
      </c>
      <c r="B1411" s="1" t="s">
        <v>8500</v>
      </c>
      <c r="C1411" s="1" t="s">
        <v>8501</v>
      </c>
      <c r="D1411" s="1" t="s">
        <v>8502</v>
      </c>
      <c r="E1411" s="1" t="s">
        <v>8503</v>
      </c>
      <c r="F1411" s="1" t="s">
        <v>8504</v>
      </c>
      <c r="G1411" s="1" t="s">
        <v>8505</v>
      </c>
      <c r="H1411" s="1" t="s">
        <v>8506</v>
      </c>
    </row>
    <row r="1412" spans="1:8" x14ac:dyDescent="0.3">
      <c r="A1412" s="2">
        <v>22716</v>
      </c>
      <c r="B1412" s="1" t="s">
        <v>8507</v>
      </c>
      <c r="C1412" s="1" t="s">
        <v>8508</v>
      </c>
      <c r="D1412" s="1" t="s">
        <v>8509</v>
      </c>
      <c r="E1412" s="1" t="s">
        <v>8510</v>
      </c>
      <c r="F1412" s="1" t="s">
        <v>8511</v>
      </c>
      <c r="G1412" s="1" t="s">
        <v>8512</v>
      </c>
      <c r="H1412" s="1" t="s">
        <v>8513</v>
      </c>
    </row>
    <row r="1413" spans="1:8" x14ac:dyDescent="0.3">
      <c r="A1413" s="2">
        <v>22717</v>
      </c>
      <c r="B1413" s="1" t="s">
        <v>8514</v>
      </c>
      <c r="C1413" s="1" t="s">
        <v>8515</v>
      </c>
      <c r="D1413" s="1" t="s">
        <v>8516</v>
      </c>
      <c r="E1413" s="1" t="s">
        <v>8517</v>
      </c>
      <c r="F1413" s="1" t="s">
        <v>8514</v>
      </c>
      <c r="G1413" s="1" t="s">
        <v>8518</v>
      </c>
      <c r="H1413" s="1" t="s">
        <v>8519</v>
      </c>
    </row>
    <row r="1414" spans="1:8" x14ac:dyDescent="0.3">
      <c r="A1414" s="2">
        <v>22718</v>
      </c>
      <c r="B1414" s="1" t="s">
        <v>8520</v>
      </c>
      <c r="C1414" s="1" t="s">
        <v>8521</v>
      </c>
      <c r="D1414" s="1" t="s">
        <v>8522</v>
      </c>
      <c r="E1414" s="1" t="s">
        <v>8523</v>
      </c>
      <c r="F1414" s="1" t="s">
        <v>8524</v>
      </c>
      <c r="G1414" s="1" t="s">
        <v>8525</v>
      </c>
      <c r="H1414" s="1" t="s">
        <v>8526</v>
      </c>
    </row>
    <row r="1415" spans="1:8" x14ac:dyDescent="0.3">
      <c r="A1415" s="2">
        <v>22719</v>
      </c>
      <c r="B1415" s="1" t="s">
        <v>8174</v>
      </c>
      <c r="C1415" s="1" t="s">
        <v>8527</v>
      </c>
      <c r="D1415" s="1" t="s">
        <v>8528</v>
      </c>
      <c r="E1415" s="1" t="s">
        <v>8529</v>
      </c>
      <c r="F1415" s="1" t="s">
        <v>8530</v>
      </c>
      <c r="G1415" s="1" t="s">
        <v>8531</v>
      </c>
      <c r="H1415" s="1" t="s">
        <v>8532</v>
      </c>
    </row>
    <row r="1416" spans="1:8" x14ac:dyDescent="0.3">
      <c r="A1416" s="2">
        <v>22720</v>
      </c>
      <c r="B1416" s="1" t="s">
        <v>8533</v>
      </c>
      <c r="C1416" s="1" t="s">
        <v>8534</v>
      </c>
      <c r="D1416" s="1" t="s">
        <v>8535</v>
      </c>
      <c r="E1416" s="1" t="s">
        <v>8536</v>
      </c>
      <c r="F1416" s="1" t="s">
        <v>8537</v>
      </c>
      <c r="G1416" s="1" t="s">
        <v>8538</v>
      </c>
      <c r="H1416" s="1" t="s">
        <v>8539</v>
      </c>
    </row>
    <row r="1417" spans="1:8" x14ac:dyDescent="0.3">
      <c r="A1417" s="2">
        <v>22721</v>
      </c>
      <c r="B1417" s="1" t="s">
        <v>8540</v>
      </c>
      <c r="C1417" s="1" t="s">
        <v>8541</v>
      </c>
      <c r="D1417" s="1" t="s">
        <v>8542</v>
      </c>
      <c r="E1417" s="1" t="s">
        <v>8543</v>
      </c>
      <c r="F1417" s="1" t="s">
        <v>8544</v>
      </c>
      <c r="G1417" s="1" t="s">
        <v>8545</v>
      </c>
      <c r="H1417" s="1" t="s">
        <v>8543</v>
      </c>
    </row>
    <row r="1418" spans="1:8" x14ac:dyDescent="0.3">
      <c r="A1418" s="2">
        <v>22722</v>
      </c>
      <c r="B1418" s="1" t="s">
        <v>8546</v>
      </c>
      <c r="C1418" s="1" t="s">
        <v>8547</v>
      </c>
      <c r="D1418" s="1" t="s">
        <v>8548</v>
      </c>
      <c r="E1418" s="1" t="s">
        <v>8549</v>
      </c>
      <c r="F1418" s="1" t="s">
        <v>8550</v>
      </c>
      <c r="G1418" s="1" t="s">
        <v>8551</v>
      </c>
      <c r="H1418" s="1" t="s">
        <v>8549</v>
      </c>
    </row>
    <row r="1419" spans="1:8" x14ac:dyDescent="0.3">
      <c r="A1419" s="2">
        <v>22723</v>
      </c>
      <c r="B1419" s="1" t="s">
        <v>8552</v>
      </c>
      <c r="C1419" s="1" t="s">
        <v>8553</v>
      </c>
      <c r="D1419" s="1" t="s">
        <v>8552</v>
      </c>
      <c r="E1419" s="1" t="s">
        <v>8554</v>
      </c>
      <c r="F1419" s="1" t="s">
        <v>8555</v>
      </c>
      <c r="G1419" s="1" t="s">
        <v>8556</v>
      </c>
      <c r="H1419" s="1" t="s">
        <v>8556</v>
      </c>
    </row>
    <row r="1420" spans="1:8" x14ac:dyDescent="0.3">
      <c r="A1420" s="2">
        <v>22724</v>
      </c>
      <c r="B1420" s="1" t="s">
        <v>8557</v>
      </c>
      <c r="C1420" s="1" t="s">
        <v>8558</v>
      </c>
      <c r="D1420" s="1" t="s">
        <v>8559</v>
      </c>
      <c r="E1420" s="1" t="s">
        <v>8559</v>
      </c>
      <c r="F1420" s="1" t="s">
        <v>8560</v>
      </c>
      <c r="G1420" s="1" t="s">
        <v>8561</v>
      </c>
      <c r="H1420" s="1" t="s">
        <v>8562</v>
      </c>
    </row>
    <row r="1421" spans="1:8" x14ac:dyDescent="0.3">
      <c r="A1421" s="2">
        <v>22725</v>
      </c>
      <c r="B1421" s="1" t="s">
        <v>8563</v>
      </c>
      <c r="C1421" s="1" t="s">
        <v>8564</v>
      </c>
      <c r="D1421" s="1" t="s">
        <v>8565</v>
      </c>
      <c r="E1421" s="1" t="s">
        <v>8563</v>
      </c>
      <c r="F1421" s="1" t="s">
        <v>8566</v>
      </c>
      <c r="G1421" s="1" t="s">
        <v>8567</v>
      </c>
      <c r="H1421" s="1" t="s">
        <v>8568</v>
      </c>
    </row>
    <row r="1422" spans="1:8" x14ac:dyDescent="0.3">
      <c r="A1422" s="2">
        <v>22726</v>
      </c>
      <c r="B1422" s="1" t="s">
        <v>8569</v>
      </c>
      <c r="C1422" s="1" t="s">
        <v>8570</v>
      </c>
      <c r="D1422" s="1" t="s">
        <v>8571</v>
      </c>
      <c r="E1422" s="1" t="s">
        <v>8572</v>
      </c>
      <c r="F1422" s="1" t="s">
        <v>8571</v>
      </c>
      <c r="G1422" s="1" t="s">
        <v>8571</v>
      </c>
      <c r="H1422" s="1" t="s">
        <v>8571</v>
      </c>
    </row>
    <row r="1423" spans="1:8" x14ac:dyDescent="0.3">
      <c r="A1423" s="2">
        <v>22727</v>
      </c>
      <c r="B1423" s="1" t="s">
        <v>8573</v>
      </c>
      <c r="C1423" s="1" t="s">
        <v>8574</v>
      </c>
      <c r="D1423" s="1" t="s">
        <v>8575</v>
      </c>
      <c r="E1423" s="1" t="s">
        <v>8573</v>
      </c>
      <c r="F1423" s="1" t="s">
        <v>8573</v>
      </c>
      <c r="G1423" s="1" t="s">
        <v>8576</v>
      </c>
      <c r="H1423" s="1" t="s">
        <v>8577</v>
      </c>
    </row>
    <row r="1424" spans="1:8" x14ac:dyDescent="0.3">
      <c r="A1424" s="2" t="s">
        <v>8578</v>
      </c>
      <c r="B1424" s="1" t="s">
        <v>8579</v>
      </c>
      <c r="C1424" s="1" t="s">
        <v>8580</v>
      </c>
      <c r="D1424" s="1" t="s">
        <v>8581</v>
      </c>
      <c r="E1424" s="1" t="s">
        <v>8582</v>
      </c>
      <c r="F1424" s="1" t="s">
        <v>8583</v>
      </c>
      <c r="G1424" s="1" t="s">
        <v>8584</v>
      </c>
      <c r="H1424" s="1" t="s">
        <v>8585</v>
      </c>
    </row>
    <row r="1425" spans="1:8" x14ac:dyDescent="0.3">
      <c r="A1425" s="2">
        <v>22728</v>
      </c>
      <c r="B1425" s="1" t="s">
        <v>8586</v>
      </c>
      <c r="C1425" s="1" t="s">
        <v>8587</v>
      </c>
      <c r="D1425" s="1" t="s">
        <v>8588</v>
      </c>
      <c r="E1425" s="1" t="s">
        <v>8589</v>
      </c>
      <c r="F1425" s="1" t="s">
        <v>8590</v>
      </c>
      <c r="G1425" s="1" t="s">
        <v>8590</v>
      </c>
      <c r="H1425" s="1" t="s">
        <v>8591</v>
      </c>
    </row>
    <row r="1426" spans="1:8" x14ac:dyDescent="0.3">
      <c r="A1426" s="2">
        <v>22729</v>
      </c>
      <c r="B1426" s="1" t="s">
        <v>8592</v>
      </c>
      <c r="C1426" s="1" t="s">
        <v>8593</v>
      </c>
      <c r="D1426" s="1" t="s">
        <v>8592</v>
      </c>
      <c r="E1426" s="1" t="s">
        <v>8594</v>
      </c>
      <c r="F1426" s="1" t="s">
        <v>8595</v>
      </c>
      <c r="G1426" s="1" t="s">
        <v>8596</v>
      </c>
      <c r="H1426" s="1" t="s">
        <v>8597</v>
      </c>
    </row>
    <row r="1427" spans="1:8" x14ac:dyDescent="0.3">
      <c r="A1427" s="2">
        <v>22730</v>
      </c>
      <c r="B1427" s="1" t="s">
        <v>8598</v>
      </c>
      <c r="C1427" s="1" t="s">
        <v>8599</v>
      </c>
      <c r="D1427" s="1" t="s">
        <v>8600</v>
      </c>
      <c r="E1427" s="1" t="s">
        <v>8598</v>
      </c>
      <c r="F1427" s="1" t="s">
        <v>8601</v>
      </c>
      <c r="G1427" s="1" t="s">
        <v>8602</v>
      </c>
      <c r="H1427" s="1" t="s">
        <v>8598</v>
      </c>
    </row>
    <row r="1428" spans="1:8" x14ac:dyDescent="0.3">
      <c r="A1428" s="2">
        <v>22731</v>
      </c>
      <c r="B1428" s="1" t="s">
        <v>8603</v>
      </c>
      <c r="C1428" s="1" t="s">
        <v>57</v>
      </c>
      <c r="D1428" s="1" t="s">
        <v>8604</v>
      </c>
      <c r="E1428" s="1" t="s">
        <v>8605</v>
      </c>
      <c r="F1428" s="1" t="s">
        <v>8606</v>
      </c>
      <c r="G1428" s="1" t="s">
        <v>8607</v>
      </c>
      <c r="H1428" s="1" t="s">
        <v>8603</v>
      </c>
    </row>
    <row r="1429" spans="1:8" x14ac:dyDescent="0.3">
      <c r="A1429" s="2">
        <v>22732</v>
      </c>
      <c r="B1429" s="1" t="s">
        <v>8608</v>
      </c>
      <c r="C1429" s="1" t="s">
        <v>8609</v>
      </c>
      <c r="D1429" s="1" t="s">
        <v>8610</v>
      </c>
      <c r="E1429" s="1" t="s">
        <v>8611</v>
      </c>
      <c r="F1429" s="1" t="s">
        <v>8612</v>
      </c>
      <c r="G1429" s="1" t="s">
        <v>8613</v>
      </c>
      <c r="H1429" s="1" t="s">
        <v>8614</v>
      </c>
    </row>
    <row r="1430" spans="1:8" x14ac:dyDescent="0.3">
      <c r="A1430" s="2">
        <v>22733</v>
      </c>
      <c r="B1430" s="1" t="s">
        <v>8615</v>
      </c>
      <c r="C1430" s="1" t="s">
        <v>8616</v>
      </c>
      <c r="D1430" s="1" t="s">
        <v>8617</v>
      </c>
      <c r="E1430" s="1" t="s">
        <v>8618</v>
      </c>
      <c r="F1430" s="1" t="s">
        <v>8619</v>
      </c>
      <c r="G1430" s="1" t="s">
        <v>8620</v>
      </c>
      <c r="H1430" s="1" t="s">
        <v>8620</v>
      </c>
    </row>
    <row r="1431" spans="1:8" x14ac:dyDescent="0.3">
      <c r="A1431" s="2">
        <v>22734</v>
      </c>
      <c r="B1431" s="1" t="s">
        <v>8621</v>
      </c>
      <c r="C1431" s="1" t="s">
        <v>8622</v>
      </c>
      <c r="D1431" s="1" t="s">
        <v>8623</v>
      </c>
      <c r="E1431" s="1" t="s">
        <v>8621</v>
      </c>
      <c r="F1431" s="1" t="s">
        <v>8624</v>
      </c>
      <c r="G1431" s="1" t="s">
        <v>8625</v>
      </c>
      <c r="H1431" s="1" t="s">
        <v>8626</v>
      </c>
    </row>
    <row r="1432" spans="1:8" x14ac:dyDescent="0.3">
      <c r="A1432" s="2">
        <v>22735</v>
      </c>
      <c r="B1432" s="1" t="s">
        <v>8627</v>
      </c>
      <c r="C1432" s="1" t="s">
        <v>8628</v>
      </c>
      <c r="D1432" s="1" t="s">
        <v>8629</v>
      </c>
      <c r="E1432" s="1" t="s">
        <v>8630</v>
      </c>
      <c r="F1432" s="1" t="s">
        <v>8631</v>
      </c>
      <c r="G1432" s="1" t="s">
        <v>8632</v>
      </c>
      <c r="H1432" s="1" t="s">
        <v>8633</v>
      </c>
    </row>
    <row r="1433" spans="1:8" x14ac:dyDescent="0.3">
      <c r="A1433" s="2" t="s">
        <v>8634</v>
      </c>
      <c r="B1433" s="1" t="e">
        <f>-을</f>
        <v>#NAME?</v>
      </c>
      <c r="C1433" s="1" t="s">
        <v>8635</v>
      </c>
      <c r="E1433" s="1" t="s">
        <v>8636</v>
      </c>
      <c r="F1433" s="1" t="s">
        <v>8637</v>
      </c>
      <c r="G1433" s="1" t="s">
        <v>8638</v>
      </c>
      <c r="H1433" s="1" t="s">
        <v>8639</v>
      </c>
    </row>
    <row r="1434" spans="1:8" x14ac:dyDescent="0.3">
      <c r="A1434" s="2">
        <v>22736</v>
      </c>
      <c r="B1434" s="1" t="s">
        <v>8640</v>
      </c>
      <c r="C1434" s="1" t="s">
        <v>8641</v>
      </c>
      <c r="D1434" s="1" t="s">
        <v>8642</v>
      </c>
      <c r="E1434" s="1" t="s">
        <v>8643</v>
      </c>
      <c r="F1434" s="1" t="s">
        <v>8644</v>
      </c>
      <c r="G1434" s="1" t="s">
        <v>8645</v>
      </c>
      <c r="H1434" s="1" t="s">
        <v>8646</v>
      </c>
    </row>
    <row r="1435" spans="1:8" x14ac:dyDescent="0.3">
      <c r="A1435" s="2">
        <v>22801</v>
      </c>
      <c r="B1435" s="1" t="s">
        <v>8647</v>
      </c>
      <c r="C1435" s="1" t="s">
        <v>8648</v>
      </c>
      <c r="D1435" s="1" t="s">
        <v>8649</v>
      </c>
      <c r="E1435" s="1" t="s">
        <v>8650</v>
      </c>
      <c r="F1435" s="1" t="s">
        <v>8651</v>
      </c>
      <c r="G1435" s="1" t="s">
        <v>8652</v>
      </c>
      <c r="H1435" s="1" t="s">
        <v>8653</v>
      </c>
    </row>
    <row r="1436" spans="1:8" x14ac:dyDescent="0.3">
      <c r="A1436" s="2">
        <v>22802</v>
      </c>
      <c r="B1436" s="1" t="s">
        <v>8654</v>
      </c>
      <c r="C1436" s="1" t="s">
        <v>8655</v>
      </c>
      <c r="D1436" s="1" t="s">
        <v>8656</v>
      </c>
      <c r="E1436" s="1" t="s">
        <v>8657</v>
      </c>
      <c r="F1436" s="1" t="s">
        <v>8658</v>
      </c>
      <c r="G1436" s="1" t="s">
        <v>8659</v>
      </c>
      <c r="H1436" s="1" t="s">
        <v>8660</v>
      </c>
    </row>
    <row r="1437" spans="1:8" x14ac:dyDescent="0.3">
      <c r="A1437" s="2">
        <v>22803</v>
      </c>
      <c r="B1437" s="1" t="s">
        <v>8661</v>
      </c>
      <c r="C1437" s="1" t="s">
        <v>8662</v>
      </c>
      <c r="D1437" s="1" t="s">
        <v>8663</v>
      </c>
      <c r="E1437" s="1" t="s">
        <v>8664</v>
      </c>
      <c r="F1437" s="1" t="s">
        <v>8665</v>
      </c>
      <c r="G1437" s="1" t="s">
        <v>8666</v>
      </c>
      <c r="H1437" s="1" t="s">
        <v>8661</v>
      </c>
    </row>
    <row r="1438" spans="1:8" x14ac:dyDescent="0.3">
      <c r="A1438" s="2">
        <v>22804</v>
      </c>
      <c r="B1438" s="1" t="s">
        <v>8667</v>
      </c>
      <c r="C1438" s="1" t="s">
        <v>8668</v>
      </c>
      <c r="D1438" s="1" t="s">
        <v>8669</v>
      </c>
      <c r="E1438" s="1" t="s">
        <v>8669</v>
      </c>
      <c r="F1438" s="1" t="s">
        <v>8670</v>
      </c>
      <c r="G1438" s="1" t="s">
        <v>8671</v>
      </c>
      <c r="H1438" s="1" t="s">
        <v>8672</v>
      </c>
    </row>
    <row r="1439" spans="1:8" x14ac:dyDescent="0.3">
      <c r="A1439" s="2">
        <v>22805</v>
      </c>
      <c r="B1439" s="1" t="s">
        <v>8673</v>
      </c>
      <c r="C1439" s="1" t="s">
        <v>8674</v>
      </c>
      <c r="D1439" s="1" t="s">
        <v>8675</v>
      </c>
      <c r="E1439" s="1" t="s">
        <v>8676</v>
      </c>
      <c r="F1439" s="1" t="s">
        <v>8677</v>
      </c>
      <c r="G1439" s="1" t="s">
        <v>8678</v>
      </c>
      <c r="H1439" s="1" t="s">
        <v>8679</v>
      </c>
    </row>
    <row r="1440" spans="1:8" x14ac:dyDescent="0.3">
      <c r="A1440" s="2">
        <v>22806</v>
      </c>
      <c r="B1440" s="1" t="s">
        <v>8680</v>
      </c>
      <c r="C1440" s="1" t="s">
        <v>8681</v>
      </c>
      <c r="D1440" s="1" t="s">
        <v>8682</v>
      </c>
      <c r="E1440" s="1" t="s">
        <v>8683</v>
      </c>
      <c r="F1440" s="1" t="s">
        <v>8684</v>
      </c>
      <c r="G1440" s="1" t="s">
        <v>8685</v>
      </c>
      <c r="H1440" s="1" t="s">
        <v>8684</v>
      </c>
    </row>
    <row r="1441" spans="1:8" x14ac:dyDescent="0.3">
      <c r="A1441" s="2">
        <v>22807</v>
      </c>
      <c r="B1441" s="1" t="s">
        <v>8686</v>
      </c>
      <c r="C1441" s="1" t="s">
        <v>8687</v>
      </c>
      <c r="D1441" s="1" t="s">
        <v>8688</v>
      </c>
      <c r="E1441" s="1" t="s">
        <v>8686</v>
      </c>
      <c r="F1441" s="1" t="s">
        <v>8689</v>
      </c>
      <c r="G1441" s="1" t="s">
        <v>8690</v>
      </c>
      <c r="H1441" s="1" t="s">
        <v>8690</v>
      </c>
    </row>
    <row r="1442" spans="1:8" x14ac:dyDescent="0.3">
      <c r="A1442" s="2">
        <v>22808</v>
      </c>
      <c r="B1442" s="1" t="s">
        <v>8691</v>
      </c>
      <c r="C1442" s="1" t="s">
        <v>8692</v>
      </c>
      <c r="D1442" s="1" t="s">
        <v>8693</v>
      </c>
      <c r="E1442" s="1" t="s">
        <v>8694</v>
      </c>
      <c r="F1442" s="1" t="s">
        <v>8695</v>
      </c>
      <c r="G1442" s="1" t="s">
        <v>8696</v>
      </c>
      <c r="H1442" s="1" t="s">
        <v>8697</v>
      </c>
    </row>
    <row r="1443" spans="1:8" x14ac:dyDescent="0.3">
      <c r="A1443" s="2">
        <v>22809</v>
      </c>
      <c r="B1443" s="1" t="s">
        <v>8698</v>
      </c>
      <c r="C1443" s="1" t="s">
        <v>8699</v>
      </c>
      <c r="D1443" s="1" t="s">
        <v>8700</v>
      </c>
      <c r="E1443" s="1" t="s">
        <v>8701</v>
      </c>
      <c r="F1443" s="1" t="s">
        <v>8702</v>
      </c>
      <c r="G1443" s="1" t="s">
        <v>8703</v>
      </c>
      <c r="H1443" s="1" t="s">
        <v>8704</v>
      </c>
    </row>
    <row r="1444" spans="1:8" x14ac:dyDescent="0.3">
      <c r="A1444" s="2">
        <v>22810</v>
      </c>
      <c r="B1444" s="1" t="s">
        <v>8705</v>
      </c>
      <c r="C1444" s="1" t="s">
        <v>8706</v>
      </c>
      <c r="D1444" s="1" t="s">
        <v>8707</v>
      </c>
      <c r="E1444" s="1" t="s">
        <v>8708</v>
      </c>
      <c r="F1444" s="1" t="s">
        <v>8709</v>
      </c>
      <c r="G1444" s="1" t="s">
        <v>8710</v>
      </c>
      <c r="H1444" s="1" t="s">
        <v>8711</v>
      </c>
    </row>
    <row r="1445" spans="1:8" x14ac:dyDescent="0.3">
      <c r="A1445" s="2" t="s">
        <v>8712</v>
      </c>
      <c r="B1445" s="1" t="s">
        <v>8713</v>
      </c>
      <c r="C1445" s="1" t="s">
        <v>8714</v>
      </c>
      <c r="E1445" s="1" t="s">
        <v>8708</v>
      </c>
      <c r="F1445" s="1" t="s">
        <v>8715</v>
      </c>
      <c r="G1445" s="1" t="s">
        <v>8710</v>
      </c>
      <c r="H1445" s="1" t="s">
        <v>8716</v>
      </c>
    </row>
    <row r="1446" spans="1:8" x14ac:dyDescent="0.3">
      <c r="A1446" s="2" t="s">
        <v>8717</v>
      </c>
      <c r="B1446" s="1" t="s">
        <v>8718</v>
      </c>
      <c r="C1446" s="1" t="s">
        <v>8714</v>
      </c>
      <c r="E1446" s="1" t="s">
        <v>8708</v>
      </c>
      <c r="F1446" s="1" t="s">
        <v>8715</v>
      </c>
      <c r="G1446" s="1" t="s">
        <v>8719</v>
      </c>
      <c r="H1446" s="1" t="s">
        <v>8720</v>
      </c>
    </row>
    <row r="1447" spans="1:8" x14ac:dyDescent="0.3">
      <c r="A1447" s="2">
        <v>22811</v>
      </c>
      <c r="B1447" s="1" t="s">
        <v>8721</v>
      </c>
      <c r="C1447" s="1" t="s">
        <v>57</v>
      </c>
      <c r="D1447" s="1" t="s">
        <v>8722</v>
      </c>
      <c r="E1447" s="1" t="s">
        <v>57</v>
      </c>
      <c r="F1447" s="1" t="s">
        <v>57</v>
      </c>
      <c r="G1447" s="1" t="s">
        <v>57</v>
      </c>
      <c r="H1447" s="1" t="s">
        <v>8723</v>
      </c>
    </row>
    <row r="1448" spans="1:8" x14ac:dyDescent="0.3">
      <c r="A1448" s="2">
        <v>22812</v>
      </c>
      <c r="B1448" s="1" t="s">
        <v>5425</v>
      </c>
      <c r="C1448" s="1" t="s">
        <v>8724</v>
      </c>
      <c r="D1448" s="1" t="s">
        <v>8725</v>
      </c>
      <c r="E1448" s="1" t="s">
        <v>8726</v>
      </c>
      <c r="F1448" s="1" t="s">
        <v>8727</v>
      </c>
      <c r="G1448" s="1" t="s">
        <v>8728</v>
      </c>
      <c r="H1448" s="1" t="s">
        <v>8729</v>
      </c>
    </row>
    <row r="1449" spans="1:8" x14ac:dyDescent="0.3">
      <c r="A1449" s="2">
        <v>22813</v>
      </c>
      <c r="B1449" s="1" t="s">
        <v>8730</v>
      </c>
      <c r="C1449" s="1" t="s">
        <v>8731</v>
      </c>
      <c r="D1449" s="1" t="s">
        <v>8732</v>
      </c>
      <c r="E1449" s="1" t="s">
        <v>8733</v>
      </c>
      <c r="F1449" s="1" t="s">
        <v>8734</v>
      </c>
      <c r="G1449" s="1" t="s">
        <v>8735</v>
      </c>
      <c r="H1449" s="1" t="s">
        <v>57</v>
      </c>
    </row>
    <row r="1450" spans="1:8" x14ac:dyDescent="0.3">
      <c r="A1450" s="2">
        <v>22814</v>
      </c>
      <c r="B1450" s="1" t="s">
        <v>8736</v>
      </c>
      <c r="C1450" s="1" t="s">
        <v>8737</v>
      </c>
      <c r="D1450" s="1" t="s">
        <v>8738</v>
      </c>
      <c r="E1450" s="1" t="s">
        <v>8739</v>
      </c>
      <c r="F1450" s="1" t="s">
        <v>8740</v>
      </c>
      <c r="G1450" s="1" t="s">
        <v>8741</v>
      </c>
      <c r="H1450" s="1" t="s">
        <v>8742</v>
      </c>
    </row>
    <row r="1451" spans="1:8" x14ac:dyDescent="0.3">
      <c r="A1451" s="2">
        <v>22815</v>
      </c>
      <c r="B1451" s="1" t="s">
        <v>8743</v>
      </c>
      <c r="C1451" s="1" t="s">
        <v>8744</v>
      </c>
      <c r="D1451" s="1" t="s">
        <v>8745</v>
      </c>
      <c r="E1451" s="1" t="s">
        <v>8746</v>
      </c>
      <c r="F1451" s="1" t="s">
        <v>8747</v>
      </c>
      <c r="G1451" s="1" t="s">
        <v>8748</v>
      </c>
      <c r="H1451" s="1" t="s">
        <v>8749</v>
      </c>
    </row>
    <row r="1452" spans="1:8" x14ac:dyDescent="0.3">
      <c r="A1452" s="2" t="s">
        <v>8750</v>
      </c>
      <c r="B1452" s="1" t="s">
        <v>8751</v>
      </c>
      <c r="C1452" s="1" t="s">
        <v>8752</v>
      </c>
      <c r="G1452" s="1" t="s">
        <v>8753</v>
      </c>
      <c r="H1452" s="1" t="s">
        <v>8754</v>
      </c>
    </row>
    <row r="1453" spans="1:8" x14ac:dyDescent="0.3">
      <c r="A1453" s="2" t="s">
        <v>8755</v>
      </c>
      <c r="B1453" s="1" t="s">
        <v>8756</v>
      </c>
      <c r="C1453" s="1" t="s">
        <v>8757</v>
      </c>
      <c r="D1453" s="1" t="s">
        <v>8758</v>
      </c>
      <c r="G1453" s="1" t="s">
        <v>8759</v>
      </c>
      <c r="H1453" s="1" t="s">
        <v>8760</v>
      </c>
    </row>
    <row r="1454" spans="1:8" x14ac:dyDescent="0.3">
      <c r="A1454" s="2">
        <v>22816</v>
      </c>
      <c r="B1454" s="1" t="s">
        <v>8761</v>
      </c>
      <c r="C1454" s="1" t="s">
        <v>8762</v>
      </c>
      <c r="D1454" s="1" t="s">
        <v>8763</v>
      </c>
      <c r="E1454" s="1" t="s">
        <v>8764</v>
      </c>
      <c r="F1454" s="1" t="s">
        <v>8761</v>
      </c>
      <c r="G1454" s="1" t="s">
        <v>8765</v>
      </c>
      <c r="H1454" s="1" t="s">
        <v>8761</v>
      </c>
    </row>
    <row r="1455" spans="1:8" x14ac:dyDescent="0.3">
      <c r="A1455" s="2">
        <v>22817</v>
      </c>
      <c r="B1455" s="1" t="s">
        <v>8766</v>
      </c>
      <c r="C1455" s="1" t="s">
        <v>8767</v>
      </c>
      <c r="D1455" s="1" t="s">
        <v>8768</v>
      </c>
      <c r="E1455" s="1" t="s">
        <v>8769</v>
      </c>
      <c r="F1455" s="1" t="s">
        <v>8770</v>
      </c>
      <c r="G1455" s="1" t="s">
        <v>8768</v>
      </c>
      <c r="H1455" s="1" t="s">
        <v>8766</v>
      </c>
    </row>
    <row r="1456" spans="1:8" x14ac:dyDescent="0.3">
      <c r="A1456" s="2">
        <v>22818</v>
      </c>
      <c r="B1456" s="1" t="s">
        <v>8771</v>
      </c>
      <c r="C1456" s="1" t="s">
        <v>8772</v>
      </c>
      <c r="D1456" s="1" t="s">
        <v>8773</v>
      </c>
      <c r="E1456" s="1" t="s">
        <v>8774</v>
      </c>
      <c r="F1456" s="1" t="s">
        <v>8775</v>
      </c>
      <c r="G1456" s="1" t="s">
        <v>8776</v>
      </c>
      <c r="H1456" s="1" t="s">
        <v>8777</v>
      </c>
    </row>
    <row r="1457" spans="1:8" x14ac:dyDescent="0.3">
      <c r="A1457" s="2">
        <v>22819</v>
      </c>
      <c r="B1457" s="1" t="s">
        <v>8778</v>
      </c>
      <c r="C1457" s="1" t="s">
        <v>8779</v>
      </c>
      <c r="D1457" s="1" t="s">
        <v>8780</v>
      </c>
      <c r="E1457" s="1" t="s">
        <v>8781</v>
      </c>
      <c r="F1457" s="1" t="s">
        <v>8782</v>
      </c>
      <c r="G1457" s="1" t="s">
        <v>57</v>
      </c>
      <c r="H1457" s="1" t="s">
        <v>8783</v>
      </c>
    </row>
    <row r="1458" spans="1:8" x14ac:dyDescent="0.3">
      <c r="A1458" s="2">
        <v>22820</v>
      </c>
      <c r="B1458" s="1" t="s">
        <v>8784</v>
      </c>
      <c r="C1458" s="1" t="s">
        <v>8785</v>
      </c>
      <c r="D1458" s="1" t="s">
        <v>8786</v>
      </c>
      <c r="E1458" s="1" t="s">
        <v>8787</v>
      </c>
      <c r="F1458" s="1" t="s">
        <v>8788</v>
      </c>
      <c r="G1458" s="1" t="s">
        <v>8789</v>
      </c>
      <c r="H1458" s="1" t="s">
        <v>8790</v>
      </c>
    </row>
    <row r="1459" spans="1:8" x14ac:dyDescent="0.3">
      <c r="A1459" s="2">
        <v>22821</v>
      </c>
      <c r="B1459" s="1" t="s">
        <v>8791</v>
      </c>
      <c r="C1459" s="1" t="s">
        <v>8792</v>
      </c>
      <c r="D1459" s="1" t="s">
        <v>8793</v>
      </c>
      <c r="E1459" s="1" t="s">
        <v>8794</v>
      </c>
      <c r="F1459" s="1" t="s">
        <v>8795</v>
      </c>
      <c r="G1459" s="1" t="s">
        <v>8796</v>
      </c>
      <c r="H1459" s="1" t="s">
        <v>8797</v>
      </c>
    </row>
    <row r="1460" spans="1:8" x14ac:dyDescent="0.3">
      <c r="A1460" s="2">
        <v>22822</v>
      </c>
      <c r="B1460" s="1" t="s">
        <v>8798</v>
      </c>
      <c r="C1460" s="1" t="s">
        <v>8799</v>
      </c>
      <c r="D1460" s="1" t="s">
        <v>8800</v>
      </c>
      <c r="E1460" s="1" t="s">
        <v>8801</v>
      </c>
      <c r="F1460" s="1" t="s">
        <v>8802</v>
      </c>
      <c r="G1460" s="1" t="s">
        <v>8803</v>
      </c>
      <c r="H1460" s="1" t="s">
        <v>8804</v>
      </c>
    </row>
    <row r="1461" spans="1:8" x14ac:dyDescent="0.3">
      <c r="A1461" s="2">
        <v>22823</v>
      </c>
      <c r="B1461" s="1" t="s">
        <v>8805</v>
      </c>
      <c r="C1461" s="1" t="s">
        <v>8806</v>
      </c>
      <c r="D1461" s="1" t="s">
        <v>8805</v>
      </c>
      <c r="E1461" s="1" t="s">
        <v>8807</v>
      </c>
      <c r="F1461" s="1" t="s">
        <v>8808</v>
      </c>
      <c r="G1461" s="1" t="s">
        <v>8807</v>
      </c>
      <c r="H1461" s="1" t="s">
        <v>8809</v>
      </c>
    </row>
    <row r="1462" spans="1:8" x14ac:dyDescent="0.3">
      <c r="A1462" s="2">
        <v>22824</v>
      </c>
      <c r="B1462" s="1" t="s">
        <v>8810</v>
      </c>
      <c r="C1462" s="1" t="s">
        <v>8811</v>
      </c>
      <c r="D1462" s="1" t="s">
        <v>8812</v>
      </c>
      <c r="E1462" s="1" t="s">
        <v>8813</v>
      </c>
      <c r="F1462" s="1" t="s">
        <v>8814</v>
      </c>
      <c r="G1462" s="1" t="s">
        <v>57</v>
      </c>
      <c r="H1462" s="1" t="s">
        <v>8815</v>
      </c>
    </row>
    <row r="1463" spans="1:8" x14ac:dyDescent="0.3">
      <c r="A1463" s="2">
        <v>22825</v>
      </c>
      <c r="B1463" s="1" t="s">
        <v>8816</v>
      </c>
      <c r="C1463" s="1" t="s">
        <v>8817</v>
      </c>
      <c r="D1463" s="1" t="s">
        <v>8818</v>
      </c>
      <c r="E1463" s="1" t="s">
        <v>8819</v>
      </c>
      <c r="F1463" s="1" t="s">
        <v>8816</v>
      </c>
      <c r="G1463" s="1" t="s">
        <v>8820</v>
      </c>
      <c r="H1463" s="1" t="s">
        <v>8816</v>
      </c>
    </row>
    <row r="1464" spans="1:8" x14ac:dyDescent="0.3">
      <c r="A1464" s="2">
        <v>22826</v>
      </c>
      <c r="B1464" s="1" t="s">
        <v>8821</v>
      </c>
      <c r="C1464" s="1" t="s">
        <v>8822</v>
      </c>
      <c r="D1464" s="1" t="s">
        <v>8823</v>
      </c>
      <c r="E1464" s="1" t="s">
        <v>8824</v>
      </c>
      <c r="F1464" s="1" t="s">
        <v>8825</v>
      </c>
      <c r="G1464" s="1" t="s">
        <v>8826</v>
      </c>
      <c r="H1464" s="1" t="s">
        <v>57</v>
      </c>
    </row>
    <row r="1465" spans="1:8" x14ac:dyDescent="0.3">
      <c r="A1465" s="2">
        <v>22827</v>
      </c>
      <c r="B1465" s="1" t="s">
        <v>8827</v>
      </c>
      <c r="C1465" s="1" t="s">
        <v>8828</v>
      </c>
      <c r="D1465" s="1" t="s">
        <v>8829</v>
      </c>
      <c r="E1465" s="1" t="s">
        <v>8830</v>
      </c>
      <c r="F1465" s="1" t="s">
        <v>8827</v>
      </c>
      <c r="G1465" s="1" t="s">
        <v>8831</v>
      </c>
      <c r="H1465" s="1" t="s">
        <v>8832</v>
      </c>
    </row>
    <row r="1466" spans="1:8" x14ac:dyDescent="0.3">
      <c r="A1466" s="2" t="s">
        <v>8833</v>
      </c>
      <c r="B1466" s="1" t="s">
        <v>8834</v>
      </c>
      <c r="C1466" s="1" t="s">
        <v>8835</v>
      </c>
      <c r="D1466" s="1" t="s">
        <v>8836</v>
      </c>
      <c r="E1466" s="1" t="s">
        <v>8837</v>
      </c>
      <c r="F1466" s="1" t="s">
        <v>8838</v>
      </c>
      <c r="G1466" s="1" t="s">
        <v>8839</v>
      </c>
      <c r="H1466" s="1" t="s">
        <v>8840</v>
      </c>
    </row>
    <row r="1467" spans="1:8" x14ac:dyDescent="0.3">
      <c r="A1467" s="2">
        <v>22828</v>
      </c>
      <c r="B1467" s="1" t="s">
        <v>8841</v>
      </c>
      <c r="C1467" s="1" t="s">
        <v>8842</v>
      </c>
      <c r="D1467" s="1" t="s">
        <v>8843</v>
      </c>
      <c r="E1467" s="1" t="s">
        <v>8844</v>
      </c>
      <c r="F1467" s="1" t="s">
        <v>8845</v>
      </c>
      <c r="G1467" s="1" t="s">
        <v>8846</v>
      </c>
      <c r="H1467" s="1" t="s">
        <v>8847</v>
      </c>
    </row>
    <row r="1468" spans="1:8" x14ac:dyDescent="0.3">
      <c r="A1468" s="2">
        <v>22901</v>
      </c>
      <c r="B1468" s="1" t="s">
        <v>8848</v>
      </c>
      <c r="C1468" s="1" t="s">
        <v>8849</v>
      </c>
      <c r="D1468" s="1" t="s">
        <v>8850</v>
      </c>
      <c r="E1468" s="1" t="s">
        <v>8848</v>
      </c>
      <c r="F1468" s="1" t="s">
        <v>8851</v>
      </c>
      <c r="G1468" s="1" t="s">
        <v>8852</v>
      </c>
      <c r="H1468" s="1" t="s">
        <v>8853</v>
      </c>
    </row>
    <row r="1469" spans="1:8" x14ac:dyDescent="0.3">
      <c r="A1469" s="2">
        <v>22902</v>
      </c>
      <c r="B1469" s="1" t="s">
        <v>8854</v>
      </c>
      <c r="C1469" s="1" t="s">
        <v>8855</v>
      </c>
      <c r="D1469" s="1" t="s">
        <v>8856</v>
      </c>
      <c r="E1469" s="1" t="s">
        <v>8857</v>
      </c>
      <c r="F1469" s="1" t="s">
        <v>8858</v>
      </c>
      <c r="G1469" s="1" t="s">
        <v>8858</v>
      </c>
      <c r="H1469" s="1" t="s">
        <v>8858</v>
      </c>
    </row>
    <row r="1470" spans="1:8" x14ac:dyDescent="0.3">
      <c r="A1470" s="2">
        <v>22903</v>
      </c>
      <c r="B1470" s="1" t="s">
        <v>8859</v>
      </c>
      <c r="C1470" s="1" t="s">
        <v>8860</v>
      </c>
      <c r="D1470" s="1" t="s">
        <v>8861</v>
      </c>
      <c r="E1470" s="1" t="s">
        <v>8862</v>
      </c>
      <c r="F1470" s="1" t="s">
        <v>8863</v>
      </c>
      <c r="G1470" s="1" t="s">
        <v>8864</v>
      </c>
      <c r="H1470" s="1" t="s">
        <v>8865</v>
      </c>
    </row>
    <row r="1471" spans="1:8" x14ac:dyDescent="0.3">
      <c r="A1471" s="2">
        <v>22904</v>
      </c>
      <c r="B1471" s="1" t="s">
        <v>8866</v>
      </c>
      <c r="C1471" s="1" t="s">
        <v>8867</v>
      </c>
      <c r="D1471" s="1" t="s">
        <v>8868</v>
      </c>
      <c r="E1471" s="1" t="s">
        <v>8869</v>
      </c>
      <c r="F1471" s="1" t="s">
        <v>8870</v>
      </c>
      <c r="G1471" s="1" t="s">
        <v>8871</v>
      </c>
      <c r="H1471" s="1" t="s">
        <v>8872</v>
      </c>
    </row>
    <row r="1472" spans="1:8" x14ac:dyDescent="0.3">
      <c r="A1472" s="2">
        <v>22905</v>
      </c>
      <c r="B1472" s="1" t="s">
        <v>8873</v>
      </c>
      <c r="C1472" s="1" t="s">
        <v>8874</v>
      </c>
      <c r="D1472" s="1" t="s">
        <v>8875</v>
      </c>
      <c r="E1472" s="1" t="s">
        <v>8876</v>
      </c>
      <c r="F1472" s="1" t="s">
        <v>8877</v>
      </c>
      <c r="G1472" s="1" t="s">
        <v>8878</v>
      </c>
      <c r="H1472" s="1" t="s">
        <v>8879</v>
      </c>
    </row>
    <row r="1473" spans="1:8" x14ac:dyDescent="0.3">
      <c r="A1473" s="2">
        <v>22906</v>
      </c>
      <c r="B1473" s="1" t="s">
        <v>8880</v>
      </c>
      <c r="C1473" s="1" t="s">
        <v>8881</v>
      </c>
      <c r="D1473" s="1" t="s">
        <v>8882</v>
      </c>
      <c r="E1473" s="1" t="s">
        <v>8880</v>
      </c>
      <c r="F1473" s="1" t="s">
        <v>8883</v>
      </c>
      <c r="G1473" s="1" t="s">
        <v>8880</v>
      </c>
      <c r="H1473" s="1" t="s">
        <v>8884</v>
      </c>
    </row>
    <row r="1474" spans="1:8" x14ac:dyDescent="0.3">
      <c r="A1474" s="2">
        <v>22907</v>
      </c>
      <c r="B1474" s="1" t="s">
        <v>8885</v>
      </c>
      <c r="C1474" s="1" t="s">
        <v>8886</v>
      </c>
      <c r="D1474" s="1" t="s">
        <v>8887</v>
      </c>
      <c r="E1474" s="1" t="s">
        <v>8888</v>
      </c>
      <c r="F1474" s="1" t="s">
        <v>8889</v>
      </c>
      <c r="G1474" s="1" t="s">
        <v>8890</v>
      </c>
      <c r="H1474" s="1" t="s">
        <v>8885</v>
      </c>
    </row>
    <row r="1475" spans="1:8" x14ac:dyDescent="0.3">
      <c r="A1475" s="2">
        <v>22908</v>
      </c>
      <c r="B1475" s="1" t="s">
        <v>8891</v>
      </c>
      <c r="C1475" s="1" t="s">
        <v>8892</v>
      </c>
      <c r="D1475" s="1" t="s">
        <v>8893</v>
      </c>
      <c r="E1475" s="1" t="s">
        <v>8894</v>
      </c>
      <c r="F1475" s="1" t="s">
        <v>8895</v>
      </c>
      <c r="G1475" s="1" t="s">
        <v>8896</v>
      </c>
      <c r="H1475" s="1" t="s">
        <v>8897</v>
      </c>
    </row>
    <row r="1476" spans="1:8" x14ac:dyDescent="0.3">
      <c r="A1476" s="2">
        <v>22909</v>
      </c>
      <c r="B1476" s="1" t="s">
        <v>8898</v>
      </c>
      <c r="C1476" s="1" t="s">
        <v>8899</v>
      </c>
      <c r="D1476" s="1" t="s">
        <v>8900</v>
      </c>
      <c r="E1476" s="1" t="s">
        <v>8901</v>
      </c>
      <c r="F1476" s="1" t="s">
        <v>8902</v>
      </c>
      <c r="G1476" s="1" t="s">
        <v>8903</v>
      </c>
      <c r="H1476" s="1" t="s">
        <v>8904</v>
      </c>
    </row>
    <row r="1477" spans="1:8" x14ac:dyDescent="0.3">
      <c r="A1477" s="2">
        <v>22910</v>
      </c>
      <c r="B1477" s="1" t="s">
        <v>8905</v>
      </c>
      <c r="C1477" s="1" t="s">
        <v>8906</v>
      </c>
      <c r="D1477" s="1" t="s">
        <v>8905</v>
      </c>
      <c r="F1477" s="1" t="s">
        <v>8907</v>
      </c>
      <c r="G1477" s="1" t="s">
        <v>57</v>
      </c>
      <c r="H1477" s="1" t="s">
        <v>8908</v>
      </c>
    </row>
    <row r="1478" spans="1:8" x14ac:dyDescent="0.3">
      <c r="A1478" s="2">
        <v>22911</v>
      </c>
      <c r="B1478" s="1" t="s">
        <v>8909</v>
      </c>
      <c r="C1478" s="1" t="s">
        <v>8910</v>
      </c>
      <c r="D1478" s="1" t="s">
        <v>8911</v>
      </c>
      <c r="E1478" s="1" t="s">
        <v>8912</v>
      </c>
      <c r="F1478" s="1" t="s">
        <v>8913</v>
      </c>
      <c r="G1478" s="1" t="s">
        <v>8914</v>
      </c>
      <c r="H1478" s="1" t="s">
        <v>8915</v>
      </c>
    </row>
    <row r="1479" spans="1:8" x14ac:dyDescent="0.3">
      <c r="A1479" s="2" t="s">
        <v>8916</v>
      </c>
      <c r="B1479" s="1" t="e">
        <f>-으로</f>
        <v>#NAME?</v>
      </c>
      <c r="C1479" s="1" t="s">
        <v>8917</v>
      </c>
      <c r="D1479" s="1" t="s">
        <v>8918</v>
      </c>
      <c r="E1479" s="1" t="s">
        <v>8919</v>
      </c>
      <c r="F1479" s="1" t="s">
        <v>8920</v>
      </c>
      <c r="G1479" s="1" t="s">
        <v>8921</v>
      </c>
      <c r="H1479" s="1" t="s">
        <v>8922</v>
      </c>
    </row>
    <row r="1480" spans="1:8" x14ac:dyDescent="0.3">
      <c r="A1480" s="2">
        <v>22912</v>
      </c>
      <c r="B1480" s="1" t="s">
        <v>8923</v>
      </c>
      <c r="C1480" s="1" t="s">
        <v>8924</v>
      </c>
      <c r="D1480" s="1" t="s">
        <v>8925</v>
      </c>
      <c r="E1480" s="1" t="s">
        <v>8926</v>
      </c>
      <c r="F1480" s="1" t="s">
        <v>8927</v>
      </c>
      <c r="G1480" s="1" t="s">
        <v>8928</v>
      </c>
      <c r="H1480" s="1" t="s">
        <v>8923</v>
      </c>
    </row>
    <row r="1481" spans="1:8" x14ac:dyDescent="0.3">
      <c r="A1481" s="2">
        <v>22913</v>
      </c>
      <c r="B1481" s="1" t="s">
        <v>8929</v>
      </c>
      <c r="C1481" s="1" t="s">
        <v>8930</v>
      </c>
      <c r="D1481" s="1" t="s">
        <v>8931</v>
      </c>
      <c r="E1481" s="1" t="s">
        <v>8932</v>
      </c>
      <c r="F1481" s="1" t="s">
        <v>8933</v>
      </c>
      <c r="G1481" s="1" t="s">
        <v>8934</v>
      </c>
      <c r="H1481" s="1" t="s">
        <v>8932</v>
      </c>
    </row>
    <row r="1482" spans="1:8" x14ac:dyDescent="0.3">
      <c r="A1482" s="2">
        <v>22914</v>
      </c>
      <c r="B1482" s="1" t="s">
        <v>8935</v>
      </c>
      <c r="C1482" s="1" t="s">
        <v>8936</v>
      </c>
      <c r="D1482" s="1" t="s">
        <v>8937</v>
      </c>
      <c r="E1482" s="1" t="s">
        <v>8938</v>
      </c>
      <c r="F1482" s="1" t="s">
        <v>8939</v>
      </c>
      <c r="G1482" s="1" t="s">
        <v>8940</v>
      </c>
      <c r="H1482" s="1" t="s">
        <v>8941</v>
      </c>
    </row>
    <row r="1483" spans="1:8" x14ac:dyDescent="0.3">
      <c r="A1483" s="2" t="s">
        <v>8942</v>
      </c>
      <c r="B1483" s="1" t="s">
        <v>8943</v>
      </c>
      <c r="C1483" s="1" t="s">
        <v>8944</v>
      </c>
      <c r="D1483" s="1" t="s">
        <v>8945</v>
      </c>
      <c r="E1483" s="1" t="s">
        <v>8946</v>
      </c>
      <c r="F1483" s="1" t="s">
        <v>8946</v>
      </c>
      <c r="G1483" s="1" t="s">
        <v>8947</v>
      </c>
      <c r="H1483" s="1" t="s">
        <v>8943</v>
      </c>
    </row>
    <row r="1484" spans="1:8" x14ac:dyDescent="0.3">
      <c r="A1484" s="2">
        <v>22915</v>
      </c>
      <c r="B1484" s="1" t="s">
        <v>8948</v>
      </c>
      <c r="C1484" s="1" t="s">
        <v>8949</v>
      </c>
      <c r="D1484" s="1" t="s">
        <v>8950</v>
      </c>
      <c r="E1484" s="1" t="s">
        <v>8951</v>
      </c>
      <c r="F1484" s="1" t="s">
        <v>8952</v>
      </c>
      <c r="G1484" s="1" t="s">
        <v>8953</v>
      </c>
      <c r="H1484" s="1" t="s">
        <v>8954</v>
      </c>
    </row>
    <row r="1485" spans="1:8" x14ac:dyDescent="0.3">
      <c r="A1485" s="2" t="s">
        <v>8955</v>
      </c>
      <c r="B1485" s="1" t="e">
        <f>-을</f>
        <v>#NAME?</v>
      </c>
      <c r="C1485" s="1" t="s">
        <v>8956</v>
      </c>
      <c r="D1485" s="1" t="s">
        <v>8957</v>
      </c>
      <c r="F1485" s="1" t="s">
        <v>8958</v>
      </c>
      <c r="G1485" s="1" t="s">
        <v>8959</v>
      </c>
      <c r="H1485" s="1" t="s">
        <v>8960</v>
      </c>
    </row>
    <row r="1486" spans="1:8" x14ac:dyDescent="0.3">
      <c r="A1486" s="2" t="s">
        <v>8961</v>
      </c>
      <c r="B1486" s="1" t="e">
        <f>-에</f>
        <v>#NAME?</v>
      </c>
      <c r="C1486" s="1" t="s">
        <v>8962</v>
      </c>
      <c r="E1486" s="1" t="s">
        <v>8963</v>
      </c>
      <c r="G1486" s="1" t="s">
        <v>8963</v>
      </c>
      <c r="H1486" s="1" t="s">
        <v>8964</v>
      </c>
    </row>
    <row r="1487" spans="1:8" x14ac:dyDescent="0.3">
      <c r="A1487" s="2">
        <v>22916</v>
      </c>
      <c r="B1487" s="1" t="s">
        <v>8965</v>
      </c>
      <c r="C1487" s="1" t="s">
        <v>8966</v>
      </c>
      <c r="D1487" s="1" t="s">
        <v>8967</v>
      </c>
      <c r="E1487" s="1" t="s">
        <v>8968</v>
      </c>
      <c r="F1487" s="1" t="s">
        <v>8969</v>
      </c>
      <c r="G1487" s="1" t="s">
        <v>8965</v>
      </c>
      <c r="H1487" s="1" t="s">
        <v>8970</v>
      </c>
    </row>
    <row r="1488" spans="1:8" x14ac:dyDescent="0.3">
      <c r="A1488" s="2">
        <v>22917</v>
      </c>
      <c r="B1488" s="1" t="s">
        <v>8971</v>
      </c>
      <c r="C1488" s="1" t="s">
        <v>8972</v>
      </c>
      <c r="D1488" s="1" t="s">
        <v>8973</v>
      </c>
      <c r="E1488" s="1" t="s">
        <v>8974</v>
      </c>
      <c r="F1488" s="1" t="s">
        <v>8975</v>
      </c>
      <c r="G1488" s="1" t="s">
        <v>8974</v>
      </c>
      <c r="H1488" s="1" t="s">
        <v>8976</v>
      </c>
    </row>
    <row r="1489" spans="1:8" x14ac:dyDescent="0.3">
      <c r="A1489" s="2">
        <v>22918</v>
      </c>
      <c r="B1489" s="1" t="s">
        <v>8977</v>
      </c>
      <c r="C1489" s="1" t="s">
        <v>8978</v>
      </c>
      <c r="D1489" s="1" t="s">
        <v>8979</v>
      </c>
      <c r="E1489" s="1" t="s">
        <v>8980</v>
      </c>
      <c r="F1489" s="1" t="s">
        <v>8981</v>
      </c>
      <c r="G1489" s="1" t="s">
        <v>8982</v>
      </c>
      <c r="H1489" s="1" t="s">
        <v>8983</v>
      </c>
    </row>
    <row r="1490" spans="1:8" x14ac:dyDescent="0.3">
      <c r="A1490" s="2" t="s">
        <v>8984</v>
      </c>
      <c r="B1490" s="1" t="e">
        <f>-에</f>
        <v>#NAME?</v>
      </c>
      <c r="C1490" s="1" t="s">
        <v>8985</v>
      </c>
      <c r="D1490" s="1" t="s">
        <v>8986</v>
      </c>
      <c r="E1490" s="1" t="s">
        <v>8987</v>
      </c>
      <c r="F1490" s="1" t="s">
        <v>8988</v>
      </c>
      <c r="G1490" s="1" t="s">
        <v>8989</v>
      </c>
      <c r="H1490" s="1" t="s">
        <v>8990</v>
      </c>
    </row>
    <row r="1491" spans="1:8" x14ac:dyDescent="0.3">
      <c r="A1491" s="2">
        <v>22919</v>
      </c>
      <c r="B1491" s="1" t="s">
        <v>8991</v>
      </c>
      <c r="C1491" s="1" t="s">
        <v>8992</v>
      </c>
      <c r="D1491" s="1" t="s">
        <v>8993</v>
      </c>
      <c r="E1491" s="1" t="s">
        <v>8994</v>
      </c>
      <c r="F1491" s="1" t="s">
        <v>8995</v>
      </c>
      <c r="G1491" s="1" t="s">
        <v>8996</v>
      </c>
      <c r="H1491" s="1" t="s">
        <v>8997</v>
      </c>
    </row>
    <row r="1492" spans="1:8" x14ac:dyDescent="0.3">
      <c r="A1492" s="2">
        <v>22920</v>
      </c>
      <c r="B1492" s="1" t="s">
        <v>8998</v>
      </c>
      <c r="C1492" s="1" t="s">
        <v>8999</v>
      </c>
      <c r="D1492" s="1" t="s">
        <v>9000</v>
      </c>
      <c r="E1492" s="1" t="s">
        <v>9001</v>
      </c>
      <c r="F1492" s="1" t="s">
        <v>9002</v>
      </c>
      <c r="G1492" s="1" t="s">
        <v>9003</v>
      </c>
      <c r="H1492" s="1" t="s">
        <v>9001</v>
      </c>
    </row>
    <row r="1493" spans="1:8" x14ac:dyDescent="0.3">
      <c r="A1493" s="2" t="s">
        <v>9004</v>
      </c>
      <c r="B1493" s="1" t="e">
        <f>-이</f>
        <v>#NAME?</v>
      </c>
      <c r="C1493" s="1" t="s">
        <v>9005</v>
      </c>
      <c r="D1493" s="1" t="s">
        <v>9006</v>
      </c>
      <c r="E1493" s="1" t="s">
        <v>9007</v>
      </c>
      <c r="F1493" s="1" t="s">
        <v>9008</v>
      </c>
      <c r="G1493" s="1" t="s">
        <v>9009</v>
      </c>
      <c r="H1493" s="1" t="s">
        <v>9010</v>
      </c>
    </row>
    <row r="1494" spans="1:8" x14ac:dyDescent="0.3">
      <c r="A1494" s="2" t="s">
        <v>9011</v>
      </c>
      <c r="B1494" s="1" t="e">
        <f>-을</f>
        <v>#NAME?</v>
      </c>
      <c r="C1494" s="1" t="s">
        <v>9012</v>
      </c>
      <c r="D1494" s="1" t="s">
        <v>9013</v>
      </c>
      <c r="E1494" s="1" t="s">
        <v>9014</v>
      </c>
      <c r="F1494" s="1" t="s">
        <v>9015</v>
      </c>
      <c r="G1494" s="1" t="s">
        <v>9016</v>
      </c>
      <c r="H1494" s="1" t="s">
        <v>9017</v>
      </c>
    </row>
    <row r="1495" spans="1:8" x14ac:dyDescent="0.3">
      <c r="A1495" s="2" t="s">
        <v>9018</v>
      </c>
      <c r="B1495" s="1" t="e">
        <f>-에</f>
        <v>#NAME?</v>
      </c>
      <c r="C1495" s="1" t="s">
        <v>9019</v>
      </c>
      <c r="D1495" s="1" t="s">
        <v>9020</v>
      </c>
      <c r="E1495" s="1" t="s">
        <v>9021</v>
      </c>
      <c r="F1495" s="1" t="s">
        <v>9022</v>
      </c>
      <c r="G1495" s="1" t="s">
        <v>9021</v>
      </c>
      <c r="H1495" s="1" t="s">
        <v>9023</v>
      </c>
    </row>
    <row r="1496" spans="1:8" x14ac:dyDescent="0.3">
      <c r="A1496" s="2">
        <v>22921</v>
      </c>
      <c r="B1496" s="1" t="s">
        <v>9024</v>
      </c>
      <c r="C1496" s="1" t="s">
        <v>9025</v>
      </c>
      <c r="D1496" s="1" t="s">
        <v>9026</v>
      </c>
      <c r="E1496" s="1" t="s">
        <v>9027</v>
      </c>
      <c r="F1496" s="1" t="s">
        <v>9028</v>
      </c>
      <c r="G1496" s="1" t="s">
        <v>9029</v>
      </c>
      <c r="H1496" s="1" t="s">
        <v>9030</v>
      </c>
    </row>
    <row r="1497" spans="1:8" x14ac:dyDescent="0.3">
      <c r="A1497" s="2" t="s">
        <v>9031</v>
      </c>
      <c r="B1497" s="1" t="s">
        <v>9032</v>
      </c>
      <c r="D1497" s="1" t="s">
        <v>9033</v>
      </c>
      <c r="E1497" s="1" t="s">
        <v>9034</v>
      </c>
      <c r="F1497" s="1" t="s">
        <v>9035</v>
      </c>
      <c r="G1497" s="1" t="s">
        <v>9036</v>
      </c>
    </row>
    <row r="1498" spans="1:8" x14ac:dyDescent="0.3">
      <c r="A1498" s="2">
        <v>22922</v>
      </c>
      <c r="B1498" s="1" t="s">
        <v>9037</v>
      </c>
      <c r="C1498" s="1" t="s">
        <v>9038</v>
      </c>
      <c r="D1498" s="1" t="s">
        <v>9039</v>
      </c>
      <c r="E1498" s="1" t="s">
        <v>9040</v>
      </c>
      <c r="F1498" s="1" t="s">
        <v>9041</v>
      </c>
      <c r="G1498" s="1" t="s">
        <v>9042</v>
      </c>
      <c r="H1498" s="1" t="s">
        <v>9037</v>
      </c>
    </row>
    <row r="1499" spans="1:8" x14ac:dyDescent="0.3">
      <c r="A1499" s="2" t="s">
        <v>9043</v>
      </c>
      <c r="B1499" s="1" t="e">
        <f>-을</f>
        <v>#NAME?</v>
      </c>
      <c r="C1499" s="1" t="s">
        <v>9044</v>
      </c>
      <c r="D1499" s="1" t="s">
        <v>9045</v>
      </c>
      <c r="E1499" s="1" t="s">
        <v>9046</v>
      </c>
      <c r="F1499" s="1" t="s">
        <v>9047</v>
      </c>
      <c r="G1499" s="1" t="s">
        <v>9048</v>
      </c>
      <c r="H1499" s="1" t="s">
        <v>9049</v>
      </c>
    </row>
    <row r="1500" spans="1:8" x14ac:dyDescent="0.3">
      <c r="A1500" s="2" t="s">
        <v>9050</v>
      </c>
      <c r="B1500" s="1" t="e">
        <f>-에</f>
        <v>#NAME?</v>
      </c>
      <c r="C1500" s="1" t="s">
        <v>9051</v>
      </c>
      <c r="D1500" s="1" t="s">
        <v>9052</v>
      </c>
      <c r="E1500" s="1" t="s">
        <v>9053</v>
      </c>
      <c r="F1500" s="1" t="s">
        <v>9054</v>
      </c>
      <c r="G1500" s="1" t="s">
        <v>9055</v>
      </c>
      <c r="H1500" s="1" t="s">
        <v>9056</v>
      </c>
    </row>
    <row r="1501" spans="1:8" x14ac:dyDescent="0.3">
      <c r="A1501" s="2">
        <v>22923</v>
      </c>
      <c r="B1501" s="1" t="s">
        <v>9057</v>
      </c>
      <c r="C1501" s="1" t="s">
        <v>9058</v>
      </c>
      <c r="D1501" s="1" t="s">
        <v>9059</v>
      </c>
      <c r="E1501" s="1" t="s">
        <v>9060</v>
      </c>
      <c r="F1501" s="1" t="s">
        <v>9061</v>
      </c>
      <c r="G1501" s="1" t="s">
        <v>9062</v>
      </c>
      <c r="H1501" s="1" t="s">
        <v>9063</v>
      </c>
    </row>
    <row r="1502" spans="1:8" x14ac:dyDescent="0.3">
      <c r="A1502" s="2">
        <v>22924</v>
      </c>
      <c r="B1502" s="1" t="s">
        <v>9064</v>
      </c>
      <c r="C1502" s="1" t="s">
        <v>9065</v>
      </c>
      <c r="D1502" s="1" t="s">
        <v>9066</v>
      </c>
      <c r="E1502" s="1" t="s">
        <v>9067</v>
      </c>
      <c r="F1502" s="1" t="s">
        <v>9068</v>
      </c>
      <c r="G1502" s="1" t="s">
        <v>9069</v>
      </c>
      <c r="H1502" s="1" t="s">
        <v>9070</v>
      </c>
    </row>
    <row r="1503" spans="1:8" x14ac:dyDescent="0.3">
      <c r="A1503" s="2" t="s">
        <v>9071</v>
      </c>
      <c r="B1503" s="1" t="s">
        <v>9064</v>
      </c>
      <c r="C1503" s="1" t="s">
        <v>9072</v>
      </c>
      <c r="D1503" s="1" t="s">
        <v>9073</v>
      </c>
      <c r="E1503" s="1" t="s">
        <v>9074</v>
      </c>
      <c r="F1503" s="1" t="s">
        <v>57</v>
      </c>
      <c r="G1503" s="1" t="s">
        <v>9075</v>
      </c>
      <c r="H1503" s="1" t="s">
        <v>9076</v>
      </c>
    </row>
    <row r="1504" spans="1:8" x14ac:dyDescent="0.3">
      <c r="A1504" s="2">
        <v>22925</v>
      </c>
      <c r="B1504" s="1" t="s">
        <v>9077</v>
      </c>
      <c r="C1504" s="1" t="s">
        <v>57</v>
      </c>
      <c r="D1504" s="1" t="s">
        <v>9078</v>
      </c>
      <c r="E1504" s="1" t="s">
        <v>9079</v>
      </c>
      <c r="F1504" s="1" t="s">
        <v>9080</v>
      </c>
      <c r="G1504" s="1" t="s">
        <v>9081</v>
      </c>
      <c r="H1504" s="1" t="s">
        <v>9082</v>
      </c>
    </row>
    <row r="1505" spans="1:8" x14ac:dyDescent="0.3">
      <c r="A1505" s="2">
        <v>22926</v>
      </c>
      <c r="B1505" s="1" t="s">
        <v>9083</v>
      </c>
      <c r="C1505" s="1" t="s">
        <v>9084</v>
      </c>
      <c r="D1505" s="1" t="s">
        <v>9085</v>
      </c>
      <c r="E1505" s="1" t="s">
        <v>9086</v>
      </c>
      <c r="F1505" s="1" t="s">
        <v>9087</v>
      </c>
      <c r="G1505" s="1" t="s">
        <v>9088</v>
      </c>
      <c r="H1505" s="1" t="s">
        <v>9089</v>
      </c>
    </row>
    <row r="1506" spans="1:8" x14ac:dyDescent="0.3">
      <c r="A1506" s="2">
        <v>22927</v>
      </c>
      <c r="B1506" s="1" t="s">
        <v>9090</v>
      </c>
      <c r="C1506" s="1" t="s">
        <v>9091</v>
      </c>
      <c r="D1506" s="1" t="s">
        <v>9092</v>
      </c>
      <c r="E1506" s="1" t="s">
        <v>9093</v>
      </c>
      <c r="F1506" s="1" t="s">
        <v>9094</v>
      </c>
      <c r="G1506" s="1" t="s">
        <v>9095</v>
      </c>
      <c r="H1506" s="1" t="s">
        <v>9096</v>
      </c>
    </row>
    <row r="1507" spans="1:8" x14ac:dyDescent="0.3">
      <c r="A1507" s="2">
        <v>22928</v>
      </c>
      <c r="B1507" s="1" t="s">
        <v>9097</v>
      </c>
      <c r="C1507" s="1" t="s">
        <v>9098</v>
      </c>
      <c r="D1507" s="1" t="s">
        <v>9099</v>
      </c>
      <c r="E1507" s="1" t="s">
        <v>9100</v>
      </c>
      <c r="F1507" s="1" t="s">
        <v>9101</v>
      </c>
      <c r="G1507" s="1" t="s">
        <v>9102</v>
      </c>
      <c r="H1507" s="1" t="s">
        <v>9103</v>
      </c>
    </row>
    <row r="1508" spans="1:8" x14ac:dyDescent="0.3">
      <c r="A1508" s="2">
        <v>22929</v>
      </c>
      <c r="B1508" s="1" t="s">
        <v>9104</v>
      </c>
      <c r="C1508" s="1" t="s">
        <v>9105</v>
      </c>
      <c r="D1508" s="1" t="s">
        <v>9106</v>
      </c>
      <c r="E1508" s="1" t="s">
        <v>9107</v>
      </c>
      <c r="F1508" s="1" t="s">
        <v>9108</v>
      </c>
      <c r="G1508" s="1" t="s">
        <v>9108</v>
      </c>
      <c r="H1508" s="1" t="s">
        <v>9109</v>
      </c>
    </row>
    <row r="1509" spans="1:8" x14ac:dyDescent="0.3">
      <c r="A1509" s="2" t="s">
        <v>9110</v>
      </c>
      <c r="B1509" s="1" t="e">
        <f>-이</f>
        <v>#NAME?</v>
      </c>
      <c r="C1509" s="1" t="s">
        <v>9111</v>
      </c>
      <c r="D1509" s="1" t="s">
        <v>9112</v>
      </c>
      <c r="E1509" s="1" t="s">
        <v>9113</v>
      </c>
      <c r="F1509" s="1" t="s">
        <v>9114</v>
      </c>
      <c r="G1509" s="1" t="s">
        <v>9115</v>
      </c>
      <c r="H1509" s="1" t="s">
        <v>9116</v>
      </c>
    </row>
    <row r="1510" spans="1:8" x14ac:dyDescent="0.3">
      <c r="A1510" s="2" t="s">
        <v>9117</v>
      </c>
      <c r="B1510" s="1" t="e">
        <f>-을</f>
        <v>#NAME?</v>
      </c>
      <c r="C1510" s="1" t="s">
        <v>9118</v>
      </c>
      <c r="F1510" s="1" t="s">
        <v>9119</v>
      </c>
      <c r="G1510" s="1" t="s">
        <v>9120</v>
      </c>
      <c r="H1510" s="1" t="s">
        <v>9121</v>
      </c>
    </row>
    <row r="1511" spans="1:8" x14ac:dyDescent="0.3">
      <c r="A1511" s="2" t="s">
        <v>9122</v>
      </c>
      <c r="B1511" s="1" t="e">
        <f>-에</f>
        <v>#NAME?</v>
      </c>
      <c r="C1511" s="1" t="s">
        <v>9123</v>
      </c>
      <c r="E1511" s="1" t="s">
        <v>9124</v>
      </c>
      <c r="F1511" s="1" t="s">
        <v>9125</v>
      </c>
      <c r="G1511" s="1" t="s">
        <v>9126</v>
      </c>
      <c r="H1511" s="1" t="s">
        <v>9127</v>
      </c>
    </row>
    <row r="1512" spans="1:8" x14ac:dyDescent="0.3">
      <c r="A1512" s="2">
        <v>22930</v>
      </c>
      <c r="B1512" s="1" t="s">
        <v>9128</v>
      </c>
      <c r="C1512" s="1" t="s">
        <v>9129</v>
      </c>
      <c r="D1512" s="1" t="s">
        <v>9130</v>
      </c>
      <c r="E1512" s="1" t="s">
        <v>9131</v>
      </c>
      <c r="F1512" s="1" t="s">
        <v>57</v>
      </c>
      <c r="G1512" s="1" t="s">
        <v>9132</v>
      </c>
      <c r="H1512" s="1" t="s">
        <v>9133</v>
      </c>
    </row>
    <row r="1513" spans="1:8" x14ac:dyDescent="0.3">
      <c r="A1513" s="2">
        <v>22931</v>
      </c>
      <c r="B1513" s="1" t="s">
        <v>9134</v>
      </c>
      <c r="C1513" s="1" t="s">
        <v>9135</v>
      </c>
      <c r="D1513" s="1" t="s">
        <v>9136</v>
      </c>
      <c r="E1513" s="1" t="s">
        <v>9137</v>
      </c>
      <c r="F1513" s="1" t="s">
        <v>9138</v>
      </c>
      <c r="G1513" s="1" t="s">
        <v>9139</v>
      </c>
      <c r="H1513" s="1" t="s">
        <v>9140</v>
      </c>
    </row>
    <row r="1514" spans="1:8" x14ac:dyDescent="0.3">
      <c r="A1514" s="2">
        <v>22932</v>
      </c>
      <c r="B1514" s="1" t="s">
        <v>9141</v>
      </c>
      <c r="C1514" s="1" t="s">
        <v>9142</v>
      </c>
      <c r="D1514" s="1" t="s">
        <v>9143</v>
      </c>
      <c r="E1514" s="1" t="s">
        <v>9144</v>
      </c>
      <c r="F1514" s="1" t="s">
        <v>9145</v>
      </c>
      <c r="G1514" s="1" t="s">
        <v>9146</v>
      </c>
      <c r="H1514" s="1" t="s">
        <v>9147</v>
      </c>
    </row>
    <row r="1515" spans="1:8" x14ac:dyDescent="0.3">
      <c r="A1515" s="2" t="s">
        <v>9148</v>
      </c>
      <c r="B1515" s="1" t="e">
        <f>-을</f>
        <v>#NAME?</v>
      </c>
      <c r="C1515" s="1" t="s">
        <v>9149</v>
      </c>
      <c r="D1515" s="1" t="s">
        <v>9150</v>
      </c>
      <c r="F1515" s="1" t="s">
        <v>9151</v>
      </c>
      <c r="G1515" s="1" t="s">
        <v>9152</v>
      </c>
      <c r="H1515" s="1" t="s">
        <v>9153</v>
      </c>
    </row>
    <row r="1516" spans="1:8" x14ac:dyDescent="0.3">
      <c r="A1516" s="2" t="s">
        <v>9154</v>
      </c>
      <c r="B1516" s="1" t="s">
        <v>9155</v>
      </c>
      <c r="C1516" s="1" t="s">
        <v>9156</v>
      </c>
      <c r="D1516" s="1" t="s">
        <v>9157</v>
      </c>
      <c r="F1516" s="1" t="s">
        <v>9158</v>
      </c>
      <c r="G1516" s="1" t="s">
        <v>9159</v>
      </c>
      <c r="H1516" s="1" t="s">
        <v>9160</v>
      </c>
    </row>
    <row r="1517" spans="1:8" x14ac:dyDescent="0.3">
      <c r="A1517" s="2">
        <v>22933</v>
      </c>
      <c r="B1517" s="1" t="s">
        <v>9161</v>
      </c>
      <c r="C1517" s="1" t="s">
        <v>9162</v>
      </c>
      <c r="D1517" s="1" t="s">
        <v>9163</v>
      </c>
      <c r="E1517" s="1" t="s">
        <v>9164</v>
      </c>
      <c r="F1517" s="1" t="s">
        <v>9165</v>
      </c>
      <c r="G1517" s="1" t="s">
        <v>9166</v>
      </c>
      <c r="H1517" s="1" t="s">
        <v>9167</v>
      </c>
    </row>
    <row r="1518" spans="1:8" x14ac:dyDescent="0.3">
      <c r="A1518" s="2">
        <v>22934</v>
      </c>
      <c r="B1518" s="1" t="s">
        <v>9168</v>
      </c>
      <c r="C1518" s="1" t="s">
        <v>9169</v>
      </c>
      <c r="D1518" s="1" t="s">
        <v>9170</v>
      </c>
      <c r="E1518" s="1" t="s">
        <v>9171</v>
      </c>
      <c r="F1518" s="1" t="s">
        <v>9172</v>
      </c>
      <c r="G1518" s="1" t="s">
        <v>9173</v>
      </c>
      <c r="H1518" s="1" t="s">
        <v>9168</v>
      </c>
    </row>
    <row r="1519" spans="1:8" x14ac:dyDescent="0.3">
      <c r="A1519" s="2">
        <v>23001</v>
      </c>
      <c r="B1519" s="1" t="s">
        <v>9174</v>
      </c>
      <c r="C1519" s="1" t="s">
        <v>9175</v>
      </c>
      <c r="D1519" s="1" t="s">
        <v>9174</v>
      </c>
      <c r="E1519" s="1" t="s">
        <v>9176</v>
      </c>
      <c r="F1519" s="1" t="s">
        <v>9177</v>
      </c>
      <c r="G1519" s="1" t="s">
        <v>9178</v>
      </c>
      <c r="H1519" s="1" t="s">
        <v>9179</v>
      </c>
    </row>
    <row r="1520" spans="1:8" x14ac:dyDescent="0.3">
      <c r="A1520" s="2">
        <v>23002</v>
      </c>
      <c r="B1520" s="1" t="s">
        <v>9180</v>
      </c>
      <c r="C1520" s="1" t="s">
        <v>9181</v>
      </c>
      <c r="D1520" s="1" t="s">
        <v>9182</v>
      </c>
      <c r="E1520" s="1" t="s">
        <v>9183</v>
      </c>
      <c r="F1520" s="1" t="s">
        <v>9184</v>
      </c>
      <c r="G1520" s="1" t="s">
        <v>9185</v>
      </c>
      <c r="H1520" s="1" t="s">
        <v>9184</v>
      </c>
    </row>
    <row r="1521" spans="1:8" x14ac:dyDescent="0.3">
      <c r="A1521" s="2">
        <v>23003</v>
      </c>
      <c r="B1521" s="1" t="s">
        <v>9186</v>
      </c>
      <c r="C1521" s="1" t="s">
        <v>9187</v>
      </c>
      <c r="D1521" s="1" t="s">
        <v>9188</v>
      </c>
      <c r="E1521" s="1" t="s">
        <v>9189</v>
      </c>
      <c r="F1521" s="1" t="s">
        <v>9190</v>
      </c>
      <c r="G1521" s="1" t="s">
        <v>9191</v>
      </c>
      <c r="H1521" s="1" t="s">
        <v>9191</v>
      </c>
    </row>
    <row r="1522" spans="1:8" x14ac:dyDescent="0.3">
      <c r="A1522" s="2">
        <v>23004</v>
      </c>
      <c r="B1522" s="1" t="s">
        <v>9192</v>
      </c>
      <c r="C1522" s="1" t="s">
        <v>9193</v>
      </c>
      <c r="D1522" s="1" t="s">
        <v>9194</v>
      </c>
      <c r="E1522" s="1" t="s">
        <v>9195</v>
      </c>
      <c r="F1522" s="1" t="s">
        <v>9196</v>
      </c>
      <c r="G1522" s="1" t="s">
        <v>9195</v>
      </c>
      <c r="H1522" s="1" t="s">
        <v>9197</v>
      </c>
    </row>
    <row r="1523" spans="1:8" x14ac:dyDescent="0.3">
      <c r="A1523" s="2">
        <v>23005</v>
      </c>
      <c r="B1523" s="1" t="s">
        <v>9198</v>
      </c>
      <c r="C1523" s="1" t="s">
        <v>9199</v>
      </c>
      <c r="D1523" s="1" t="s">
        <v>9200</v>
      </c>
      <c r="E1523" s="1" t="s">
        <v>9198</v>
      </c>
      <c r="F1523" s="1" t="s">
        <v>9201</v>
      </c>
      <c r="G1523" s="1" t="s">
        <v>9202</v>
      </c>
      <c r="H1523" s="1" t="s">
        <v>9198</v>
      </c>
    </row>
    <row r="1524" spans="1:8" x14ac:dyDescent="0.3">
      <c r="A1524" s="2">
        <v>23006</v>
      </c>
      <c r="B1524" s="1" t="s">
        <v>9203</v>
      </c>
      <c r="C1524" s="1" t="s">
        <v>9204</v>
      </c>
      <c r="D1524" s="1" t="s">
        <v>9205</v>
      </c>
      <c r="E1524" s="1" t="s">
        <v>9206</v>
      </c>
      <c r="F1524" s="1" t="s">
        <v>9207</v>
      </c>
      <c r="G1524" s="1" t="s">
        <v>57</v>
      </c>
      <c r="H1524" s="1" t="s">
        <v>9208</v>
      </c>
    </row>
    <row r="1525" spans="1:8" x14ac:dyDescent="0.3">
      <c r="A1525" s="2">
        <v>23007</v>
      </c>
      <c r="B1525" s="1" t="s">
        <v>9209</v>
      </c>
      <c r="C1525" s="1" t="s">
        <v>9210</v>
      </c>
      <c r="D1525" s="1" t="s">
        <v>9209</v>
      </c>
      <c r="E1525" s="1" t="s">
        <v>9209</v>
      </c>
      <c r="F1525" s="1" t="s">
        <v>9209</v>
      </c>
      <c r="G1525" s="1" t="s">
        <v>9209</v>
      </c>
      <c r="H1525" s="1" t="s">
        <v>9211</v>
      </c>
    </row>
    <row r="1526" spans="1:8" x14ac:dyDescent="0.3">
      <c r="A1526" s="2">
        <v>23008</v>
      </c>
      <c r="B1526" s="1" t="s">
        <v>9212</v>
      </c>
      <c r="C1526" s="1" t="s">
        <v>9213</v>
      </c>
      <c r="D1526" s="1" t="s">
        <v>9212</v>
      </c>
      <c r="E1526" s="1" t="s">
        <v>9214</v>
      </c>
      <c r="F1526" s="1" t="s">
        <v>9212</v>
      </c>
      <c r="G1526" s="1" t="s">
        <v>9212</v>
      </c>
      <c r="H1526" s="1" t="s">
        <v>9215</v>
      </c>
    </row>
    <row r="1527" spans="1:8" x14ac:dyDescent="0.3">
      <c r="A1527" s="2">
        <v>23009</v>
      </c>
      <c r="B1527" s="1" t="s">
        <v>9216</v>
      </c>
      <c r="C1527" s="1" t="s">
        <v>9217</v>
      </c>
      <c r="D1527" s="1" t="s">
        <v>9218</v>
      </c>
      <c r="E1527" s="1" t="s">
        <v>9219</v>
      </c>
      <c r="F1527" s="1" t="s">
        <v>9216</v>
      </c>
      <c r="G1527" s="1" t="s">
        <v>9220</v>
      </c>
      <c r="H1527" s="1" t="s">
        <v>9221</v>
      </c>
    </row>
    <row r="1528" spans="1:8" x14ac:dyDescent="0.3">
      <c r="A1528" s="2">
        <v>23010</v>
      </c>
      <c r="B1528" s="1" t="s">
        <v>9222</v>
      </c>
      <c r="C1528" s="1" t="s">
        <v>9223</v>
      </c>
      <c r="D1528" s="1" t="s">
        <v>9224</v>
      </c>
      <c r="E1528" s="1" t="s">
        <v>9225</v>
      </c>
      <c r="F1528" s="1" t="s">
        <v>9226</v>
      </c>
      <c r="G1528" s="1" t="s">
        <v>9227</v>
      </c>
      <c r="H1528" s="1" t="s">
        <v>9228</v>
      </c>
    </row>
    <row r="1529" spans="1:8" x14ac:dyDescent="0.3">
      <c r="A1529" s="2" t="s">
        <v>9229</v>
      </c>
      <c r="B1529" s="1" t="e">
        <f>-을</f>
        <v>#NAME?</v>
      </c>
      <c r="C1529" s="1" t="s">
        <v>9223</v>
      </c>
      <c r="D1529" s="1" t="s">
        <v>9230</v>
      </c>
      <c r="F1529" s="1" t="s">
        <v>9231</v>
      </c>
      <c r="G1529" s="1" t="s">
        <v>9232</v>
      </c>
      <c r="H1529" s="1" t="s">
        <v>9233</v>
      </c>
    </row>
    <row r="1530" spans="1:8" x14ac:dyDescent="0.3">
      <c r="A1530" s="2">
        <v>23011</v>
      </c>
      <c r="B1530" s="1" t="s">
        <v>9234</v>
      </c>
      <c r="C1530" s="1" t="s">
        <v>9235</v>
      </c>
      <c r="D1530" s="1" t="s">
        <v>9236</v>
      </c>
      <c r="E1530" s="1" t="s">
        <v>57</v>
      </c>
      <c r="F1530" s="1" t="s">
        <v>9237</v>
      </c>
      <c r="G1530" s="1" t="s">
        <v>57</v>
      </c>
      <c r="H1530" s="1" t="s">
        <v>57</v>
      </c>
    </row>
    <row r="1531" spans="1:8" x14ac:dyDescent="0.3">
      <c r="A1531" s="2">
        <v>23012</v>
      </c>
      <c r="B1531" s="1" t="s">
        <v>9238</v>
      </c>
      <c r="C1531" s="1" t="s">
        <v>9239</v>
      </c>
      <c r="D1531" s="1" t="s">
        <v>9240</v>
      </c>
      <c r="E1531" s="1" t="s">
        <v>9241</v>
      </c>
      <c r="F1531" s="1" t="s">
        <v>9242</v>
      </c>
      <c r="G1531" s="1" t="s">
        <v>9241</v>
      </c>
      <c r="H1531" s="1" t="s">
        <v>9243</v>
      </c>
    </row>
    <row r="1532" spans="1:8" x14ac:dyDescent="0.3">
      <c r="A1532" s="2">
        <v>23013</v>
      </c>
      <c r="B1532" s="1" t="s">
        <v>9244</v>
      </c>
      <c r="C1532" s="1" t="s">
        <v>9245</v>
      </c>
      <c r="D1532" s="1" t="s">
        <v>9246</v>
      </c>
      <c r="E1532" s="1" t="s">
        <v>9247</v>
      </c>
      <c r="F1532" s="1" t="s">
        <v>9244</v>
      </c>
      <c r="G1532" s="1" t="s">
        <v>9248</v>
      </c>
      <c r="H1532" s="1" t="s">
        <v>9249</v>
      </c>
    </row>
    <row r="1533" spans="1:8" x14ac:dyDescent="0.3">
      <c r="A1533" s="2">
        <v>23014</v>
      </c>
      <c r="B1533" s="1" t="s">
        <v>9250</v>
      </c>
      <c r="C1533" s="1" t="s">
        <v>9251</v>
      </c>
      <c r="D1533" s="1" t="s">
        <v>9252</v>
      </c>
      <c r="E1533" s="1" t="s">
        <v>9253</v>
      </c>
      <c r="F1533" s="1" t="s">
        <v>9254</v>
      </c>
      <c r="G1533" s="1" t="s">
        <v>9255</v>
      </c>
      <c r="H1533" s="1" t="s">
        <v>9256</v>
      </c>
    </row>
    <row r="1534" spans="1:8" x14ac:dyDescent="0.3">
      <c r="A1534" s="2">
        <v>23015</v>
      </c>
      <c r="B1534" s="1" t="s">
        <v>9257</v>
      </c>
      <c r="C1534" s="1" t="s">
        <v>9258</v>
      </c>
      <c r="D1534" s="1" t="s">
        <v>9259</v>
      </c>
      <c r="E1534" s="1" t="s">
        <v>9259</v>
      </c>
      <c r="F1534" s="1" t="s">
        <v>9260</v>
      </c>
      <c r="G1534" s="1" t="s">
        <v>9261</v>
      </c>
      <c r="H1534" s="1" t="s">
        <v>9262</v>
      </c>
    </row>
    <row r="1535" spans="1:8" x14ac:dyDescent="0.3">
      <c r="A1535" s="2" t="s">
        <v>9263</v>
      </c>
      <c r="B1535" s="1" t="s">
        <v>9264</v>
      </c>
      <c r="C1535" s="1" t="s">
        <v>9265</v>
      </c>
      <c r="D1535" s="1" t="s">
        <v>9266</v>
      </c>
      <c r="E1535" s="1" t="s">
        <v>9267</v>
      </c>
      <c r="F1535" s="1" t="s">
        <v>9268</v>
      </c>
      <c r="G1535" s="1" t="s">
        <v>9269</v>
      </c>
      <c r="H1535" s="1" t="s">
        <v>9270</v>
      </c>
    </row>
    <row r="1536" spans="1:8" x14ac:dyDescent="0.3">
      <c r="A1536" s="2" t="s">
        <v>9271</v>
      </c>
      <c r="B1536" s="1" t="s">
        <v>9272</v>
      </c>
      <c r="C1536" s="1" t="s">
        <v>9273</v>
      </c>
      <c r="D1536" s="1" t="s">
        <v>9274</v>
      </c>
      <c r="E1536" s="1" t="s">
        <v>9275</v>
      </c>
      <c r="F1536" s="1" t="s">
        <v>9276</v>
      </c>
      <c r="G1536" s="1" t="s">
        <v>9277</v>
      </c>
      <c r="H1536" s="1" t="s">
        <v>9275</v>
      </c>
    </row>
    <row r="1537" spans="1:8" x14ac:dyDescent="0.3">
      <c r="A1537" s="2" t="s">
        <v>9278</v>
      </c>
      <c r="B1537" s="1" t="s">
        <v>9279</v>
      </c>
      <c r="C1537" s="1" t="s">
        <v>9280</v>
      </c>
      <c r="D1537" s="1" t="s">
        <v>9281</v>
      </c>
      <c r="E1537" s="1" t="s">
        <v>9282</v>
      </c>
      <c r="F1537" s="1" t="s">
        <v>9283</v>
      </c>
      <c r="G1537" s="1" t="s">
        <v>9279</v>
      </c>
      <c r="H1537" s="1" t="s">
        <v>9279</v>
      </c>
    </row>
    <row r="1538" spans="1:8" x14ac:dyDescent="0.3">
      <c r="A1538" s="2" t="s">
        <v>9284</v>
      </c>
      <c r="B1538" s="1" t="s">
        <v>9285</v>
      </c>
      <c r="C1538" s="1" t="s">
        <v>9286</v>
      </c>
      <c r="D1538" s="1" t="s">
        <v>9287</v>
      </c>
      <c r="E1538" s="1" t="s">
        <v>9288</v>
      </c>
      <c r="F1538" s="1" t="s">
        <v>9289</v>
      </c>
      <c r="G1538" s="1" t="s">
        <v>9290</v>
      </c>
      <c r="H1538" s="1" t="s">
        <v>9291</v>
      </c>
    </row>
    <row r="1539" spans="1:8" x14ac:dyDescent="0.3">
      <c r="A1539" s="2">
        <v>23016</v>
      </c>
      <c r="B1539" s="1" t="s">
        <v>9292</v>
      </c>
      <c r="C1539" s="1" t="s">
        <v>9293</v>
      </c>
      <c r="D1539" s="1" t="s">
        <v>9294</v>
      </c>
      <c r="E1539" s="1" t="s">
        <v>9295</v>
      </c>
      <c r="F1539" s="1" t="s">
        <v>9296</v>
      </c>
      <c r="G1539" s="1" t="s">
        <v>9297</v>
      </c>
      <c r="H1539" s="1" t="s">
        <v>9298</v>
      </c>
    </row>
    <row r="1540" spans="1:8" x14ac:dyDescent="0.3">
      <c r="A1540" s="2">
        <v>23017</v>
      </c>
      <c r="B1540" s="1" t="s">
        <v>9299</v>
      </c>
      <c r="C1540" s="1" t="s">
        <v>9300</v>
      </c>
      <c r="D1540" s="1" t="s">
        <v>9301</v>
      </c>
      <c r="E1540" s="1" t="s">
        <v>9299</v>
      </c>
      <c r="F1540" s="1" t="s">
        <v>9302</v>
      </c>
      <c r="G1540" s="1" t="s">
        <v>9299</v>
      </c>
      <c r="H1540" s="1" t="s">
        <v>9299</v>
      </c>
    </row>
    <row r="1541" spans="1:8" x14ac:dyDescent="0.3">
      <c r="A1541" s="2">
        <v>23018</v>
      </c>
      <c r="B1541" s="1" t="s">
        <v>9303</v>
      </c>
      <c r="C1541" s="1" t="s">
        <v>5285</v>
      </c>
      <c r="D1541" s="1" t="s">
        <v>9304</v>
      </c>
      <c r="E1541" s="1" t="s">
        <v>9305</v>
      </c>
      <c r="F1541" s="1" t="s">
        <v>9304</v>
      </c>
      <c r="G1541" s="1" t="s">
        <v>9304</v>
      </c>
      <c r="H1541" s="1" t="s">
        <v>9304</v>
      </c>
    </row>
    <row r="1542" spans="1:8" x14ac:dyDescent="0.3">
      <c r="A1542" s="2">
        <v>23019</v>
      </c>
      <c r="B1542" s="1" t="s">
        <v>9306</v>
      </c>
      <c r="C1542" s="1" t="s">
        <v>9307</v>
      </c>
      <c r="D1542" s="1" t="s">
        <v>9308</v>
      </c>
      <c r="E1542" s="1" t="s">
        <v>9309</v>
      </c>
      <c r="F1542" s="1" t="s">
        <v>9310</v>
      </c>
      <c r="G1542" s="1" t="s">
        <v>9311</v>
      </c>
      <c r="H1542" s="1" t="s">
        <v>9310</v>
      </c>
    </row>
    <row r="1543" spans="1:8" x14ac:dyDescent="0.3">
      <c r="A1543" s="2">
        <v>23020</v>
      </c>
      <c r="B1543" s="1" t="s">
        <v>9312</v>
      </c>
      <c r="C1543" s="1" t="s">
        <v>9313</v>
      </c>
      <c r="D1543" s="1" t="s">
        <v>9314</v>
      </c>
      <c r="E1543" s="1" t="s">
        <v>9315</v>
      </c>
      <c r="F1543" s="1" t="s">
        <v>9312</v>
      </c>
      <c r="G1543" s="1" t="s">
        <v>9316</v>
      </c>
      <c r="H1543" s="1" t="s">
        <v>9316</v>
      </c>
    </row>
    <row r="1544" spans="1:8" x14ac:dyDescent="0.3">
      <c r="A1544" s="2">
        <v>23021</v>
      </c>
      <c r="B1544" s="1" t="s">
        <v>9317</v>
      </c>
      <c r="C1544" s="1" t="s">
        <v>9318</v>
      </c>
      <c r="D1544" s="1" t="s">
        <v>9319</v>
      </c>
      <c r="E1544" s="1" t="s">
        <v>9317</v>
      </c>
      <c r="F1544" s="1" t="s">
        <v>9317</v>
      </c>
      <c r="G1544" s="1" t="s">
        <v>9317</v>
      </c>
      <c r="H1544" s="1" t="s">
        <v>9317</v>
      </c>
    </row>
    <row r="1545" spans="1:8" x14ac:dyDescent="0.3">
      <c r="A1545" s="2">
        <v>23022</v>
      </c>
      <c r="B1545" s="1" t="s">
        <v>9320</v>
      </c>
      <c r="C1545" s="1" t="s">
        <v>57</v>
      </c>
      <c r="D1545" s="1" t="s">
        <v>57</v>
      </c>
      <c r="E1545" s="1" t="s">
        <v>9321</v>
      </c>
      <c r="F1545" s="1" t="s">
        <v>57</v>
      </c>
      <c r="G1545" s="1" t="s">
        <v>57</v>
      </c>
      <c r="H1545" s="1" t="s">
        <v>57</v>
      </c>
    </row>
    <row r="1546" spans="1:8" x14ac:dyDescent="0.3">
      <c r="A1546" s="2">
        <v>23023</v>
      </c>
      <c r="B1546" s="1" t="s">
        <v>9322</v>
      </c>
      <c r="C1546" s="1" t="s">
        <v>9323</v>
      </c>
      <c r="D1546" s="1" t="s">
        <v>9324</v>
      </c>
      <c r="E1546" s="1" t="s">
        <v>57</v>
      </c>
      <c r="F1546" s="1" t="s">
        <v>57</v>
      </c>
      <c r="G1546" s="1" t="s">
        <v>57</v>
      </c>
      <c r="H1546" s="1" t="s">
        <v>57</v>
      </c>
    </row>
    <row r="1547" spans="1:8" x14ac:dyDescent="0.3">
      <c r="A1547" s="2">
        <v>23024</v>
      </c>
      <c r="B1547" s="1" t="s">
        <v>9325</v>
      </c>
      <c r="C1547" s="1" t="s">
        <v>9326</v>
      </c>
      <c r="D1547" s="1" t="s">
        <v>9327</v>
      </c>
      <c r="E1547" s="1" t="s">
        <v>9328</v>
      </c>
      <c r="F1547" s="1" t="s">
        <v>9329</v>
      </c>
      <c r="G1547" s="1" t="s">
        <v>9330</v>
      </c>
      <c r="H1547" s="1" t="s">
        <v>9331</v>
      </c>
    </row>
    <row r="1548" spans="1:8" x14ac:dyDescent="0.3">
      <c r="A1548" s="2">
        <v>23025</v>
      </c>
      <c r="B1548" s="1" t="s">
        <v>9332</v>
      </c>
      <c r="C1548" s="1" t="s">
        <v>9333</v>
      </c>
      <c r="D1548" s="1" t="s">
        <v>9334</v>
      </c>
      <c r="E1548" s="1" t="s">
        <v>9335</v>
      </c>
      <c r="F1548" s="1" t="s">
        <v>9336</v>
      </c>
      <c r="G1548" s="1" t="s">
        <v>9337</v>
      </c>
      <c r="H1548" s="1" t="s">
        <v>9337</v>
      </c>
    </row>
    <row r="1549" spans="1:8" x14ac:dyDescent="0.3">
      <c r="A1549" s="2" t="s">
        <v>9338</v>
      </c>
      <c r="B1549" s="1" t="s">
        <v>9339</v>
      </c>
      <c r="C1549" s="1" t="s">
        <v>9340</v>
      </c>
      <c r="G1549" s="1" t="s">
        <v>57</v>
      </c>
    </row>
    <row r="1550" spans="1:8" x14ac:dyDescent="0.3">
      <c r="A1550" s="2" t="s">
        <v>9341</v>
      </c>
      <c r="B1550" s="1" t="s">
        <v>9342</v>
      </c>
      <c r="C1550" s="1" t="s">
        <v>9343</v>
      </c>
      <c r="D1550" s="1" t="s">
        <v>9344</v>
      </c>
      <c r="G1550" s="1" t="s">
        <v>57</v>
      </c>
    </row>
    <row r="1551" spans="1:8" x14ac:dyDescent="0.3">
      <c r="A1551" s="2" t="s">
        <v>9345</v>
      </c>
      <c r="B1551" s="1" t="s">
        <v>9346</v>
      </c>
      <c r="C1551" s="1" t="s">
        <v>57</v>
      </c>
      <c r="G1551" s="1" t="s">
        <v>57</v>
      </c>
      <c r="H1551" s="1" t="s">
        <v>9347</v>
      </c>
    </row>
    <row r="1552" spans="1:8" x14ac:dyDescent="0.3">
      <c r="A1552" s="2" t="s">
        <v>9348</v>
      </c>
      <c r="B1552" s="1" t="s">
        <v>9349</v>
      </c>
      <c r="C1552" s="1" t="s">
        <v>9350</v>
      </c>
      <c r="D1552" s="1" t="s">
        <v>9351</v>
      </c>
      <c r="G1552" s="1" t="s">
        <v>9352</v>
      </c>
      <c r="H1552" s="1" t="s">
        <v>9353</v>
      </c>
    </row>
    <row r="1553" spans="1:8" x14ac:dyDescent="0.3">
      <c r="A1553" s="2" t="s">
        <v>9354</v>
      </c>
      <c r="B1553" s="1" t="s">
        <v>9355</v>
      </c>
      <c r="C1553" s="1" t="s">
        <v>57</v>
      </c>
      <c r="G1553" s="1" t="s">
        <v>57</v>
      </c>
      <c r="H1553" s="1" t="s">
        <v>9356</v>
      </c>
    </row>
    <row r="1554" spans="1:8" x14ac:dyDescent="0.3">
      <c r="A1554" s="2" t="s">
        <v>9357</v>
      </c>
      <c r="B1554" s="1" t="s">
        <v>9358</v>
      </c>
      <c r="C1554" s="1" t="s">
        <v>9359</v>
      </c>
      <c r="D1554" s="1" t="s">
        <v>9360</v>
      </c>
      <c r="E1554" s="1" t="s">
        <v>9361</v>
      </c>
      <c r="G1554" s="1" t="s">
        <v>9362</v>
      </c>
      <c r="H1554" s="1" t="s">
        <v>9363</v>
      </c>
    </row>
    <row r="1555" spans="1:8" x14ac:dyDescent="0.3">
      <c r="A1555" s="2">
        <v>23026</v>
      </c>
      <c r="B1555" s="1" t="s">
        <v>9364</v>
      </c>
      <c r="C1555" s="1" t="s">
        <v>9365</v>
      </c>
      <c r="D1555" s="1" t="s">
        <v>9366</v>
      </c>
      <c r="E1555" s="1" t="s">
        <v>57</v>
      </c>
      <c r="F1555" s="1" t="s">
        <v>9367</v>
      </c>
      <c r="G1555" s="1" t="s">
        <v>57</v>
      </c>
      <c r="H1555" s="1" t="s">
        <v>9368</v>
      </c>
    </row>
    <row r="1556" spans="1:8" x14ac:dyDescent="0.3">
      <c r="A1556" s="2">
        <v>23027</v>
      </c>
      <c r="B1556" s="1" t="s">
        <v>9369</v>
      </c>
      <c r="C1556" s="1" t="s">
        <v>57</v>
      </c>
      <c r="D1556" s="1" t="s">
        <v>57</v>
      </c>
      <c r="E1556" s="1" t="s">
        <v>57</v>
      </c>
      <c r="F1556" s="1" t="s">
        <v>57</v>
      </c>
      <c r="G1556" s="1" t="s">
        <v>57</v>
      </c>
      <c r="H1556" s="1" t="s">
        <v>57</v>
      </c>
    </row>
    <row r="1557" spans="1:8" x14ac:dyDescent="0.3">
      <c r="A1557" s="2">
        <v>23101</v>
      </c>
      <c r="B1557" s="1" t="s">
        <v>9370</v>
      </c>
      <c r="C1557" s="1" t="s">
        <v>9371</v>
      </c>
      <c r="D1557" s="1" t="s">
        <v>9372</v>
      </c>
      <c r="E1557" s="1" t="s">
        <v>9373</v>
      </c>
      <c r="F1557" s="1" t="s">
        <v>9374</v>
      </c>
      <c r="G1557" s="1" t="s">
        <v>9375</v>
      </c>
      <c r="H1557" s="1" t="s">
        <v>9376</v>
      </c>
    </row>
    <row r="1558" spans="1:8" x14ac:dyDescent="0.3">
      <c r="A1558" s="2">
        <v>23102</v>
      </c>
      <c r="B1558" s="1" t="s">
        <v>9377</v>
      </c>
      <c r="C1558" s="1" t="s">
        <v>9378</v>
      </c>
      <c r="D1558" s="1" t="s">
        <v>9379</v>
      </c>
      <c r="E1558" s="1" t="s">
        <v>9380</v>
      </c>
      <c r="F1558" s="1" t="s">
        <v>9381</v>
      </c>
      <c r="G1558" s="1" t="s">
        <v>9382</v>
      </c>
      <c r="H1558" s="1" t="s">
        <v>9383</v>
      </c>
    </row>
    <row r="1559" spans="1:8" x14ac:dyDescent="0.3">
      <c r="A1559" s="2" t="s">
        <v>9384</v>
      </c>
      <c r="B1559" s="1" t="e">
        <f>-에</f>
        <v>#NAME?</v>
      </c>
      <c r="C1559" s="1" t="s">
        <v>9385</v>
      </c>
      <c r="D1559" s="1" t="s">
        <v>9386</v>
      </c>
      <c r="E1559" s="1" t="s">
        <v>9387</v>
      </c>
      <c r="F1559" s="1" t="s">
        <v>9388</v>
      </c>
      <c r="G1559" s="1" t="s">
        <v>9389</v>
      </c>
      <c r="H1559" s="1" t="s">
        <v>9390</v>
      </c>
    </row>
    <row r="1560" spans="1:8" x14ac:dyDescent="0.3">
      <c r="A1560" s="2">
        <v>23103</v>
      </c>
      <c r="B1560" s="1" t="s">
        <v>9391</v>
      </c>
      <c r="C1560" s="1" t="s">
        <v>9392</v>
      </c>
      <c r="D1560" s="1" t="s">
        <v>9393</v>
      </c>
      <c r="E1560" s="1" t="s">
        <v>9394</v>
      </c>
      <c r="F1560" s="1" t="s">
        <v>9395</v>
      </c>
      <c r="G1560" s="1" t="s">
        <v>9396</v>
      </c>
      <c r="H1560" s="1" t="s">
        <v>9397</v>
      </c>
    </row>
    <row r="1561" spans="1:8" x14ac:dyDescent="0.3">
      <c r="A1561" s="2">
        <v>23104</v>
      </c>
      <c r="B1561" s="1" t="s">
        <v>9398</v>
      </c>
      <c r="C1561" s="1" t="s">
        <v>9399</v>
      </c>
      <c r="D1561" s="1" t="s">
        <v>9400</v>
      </c>
      <c r="E1561" s="1" t="s">
        <v>9401</v>
      </c>
      <c r="F1561" s="1" t="s">
        <v>9402</v>
      </c>
      <c r="G1561" s="1" t="s">
        <v>57</v>
      </c>
      <c r="H1561" s="1" t="s">
        <v>9403</v>
      </c>
    </row>
    <row r="1562" spans="1:8" x14ac:dyDescent="0.3">
      <c r="A1562" s="2">
        <v>23105</v>
      </c>
      <c r="B1562" s="1" t="s">
        <v>9404</v>
      </c>
      <c r="C1562" s="1" t="s">
        <v>9405</v>
      </c>
      <c r="D1562" s="1" t="s">
        <v>9406</v>
      </c>
      <c r="E1562" s="1" t="s">
        <v>9407</v>
      </c>
      <c r="F1562" s="1" t="s">
        <v>9408</v>
      </c>
      <c r="G1562" s="1" t="s">
        <v>9409</v>
      </c>
      <c r="H1562" s="1" t="s">
        <v>9410</v>
      </c>
    </row>
    <row r="1563" spans="1:8" x14ac:dyDescent="0.3">
      <c r="A1563" s="2" t="s">
        <v>9411</v>
      </c>
      <c r="B1563" s="1" t="s">
        <v>9412</v>
      </c>
      <c r="C1563" s="1" t="s">
        <v>9405</v>
      </c>
      <c r="D1563" s="1" t="s">
        <v>9413</v>
      </c>
      <c r="E1563" s="1" t="s">
        <v>9414</v>
      </c>
      <c r="F1563" s="1" t="s">
        <v>9415</v>
      </c>
      <c r="G1563" s="1" t="s">
        <v>9416</v>
      </c>
      <c r="H1563" s="1" t="s">
        <v>9417</v>
      </c>
    </row>
    <row r="1564" spans="1:8" x14ac:dyDescent="0.3">
      <c r="A1564" s="2">
        <v>23106</v>
      </c>
      <c r="B1564" s="1" t="s">
        <v>9418</v>
      </c>
      <c r="C1564" s="1" t="s">
        <v>9419</v>
      </c>
      <c r="D1564" s="1" t="s">
        <v>9420</v>
      </c>
      <c r="E1564" s="1" t="s">
        <v>9418</v>
      </c>
      <c r="F1564" s="1" t="s">
        <v>9421</v>
      </c>
      <c r="G1564" s="1" t="s">
        <v>9422</v>
      </c>
      <c r="H1564" s="1" t="s">
        <v>9423</v>
      </c>
    </row>
    <row r="1565" spans="1:8" x14ac:dyDescent="0.3">
      <c r="A1565" s="2">
        <v>23107</v>
      </c>
      <c r="B1565" s="1" t="s">
        <v>9424</v>
      </c>
      <c r="C1565" s="1" t="s">
        <v>9425</v>
      </c>
      <c r="D1565" s="1" t="s">
        <v>9426</v>
      </c>
      <c r="E1565" s="1" t="s">
        <v>9427</v>
      </c>
      <c r="F1565" s="1" t="s">
        <v>9428</v>
      </c>
      <c r="G1565" s="1" t="s">
        <v>9429</v>
      </c>
      <c r="H1565" s="1" t="s">
        <v>9430</v>
      </c>
    </row>
    <row r="1566" spans="1:8" x14ac:dyDescent="0.3">
      <c r="A1566" s="2" t="s">
        <v>9431</v>
      </c>
      <c r="B1566" s="1" t="s">
        <v>9432</v>
      </c>
      <c r="C1566" s="1" t="s">
        <v>9433</v>
      </c>
      <c r="D1566" s="1" t="s">
        <v>9434</v>
      </c>
      <c r="E1566" s="1" t="s">
        <v>9435</v>
      </c>
      <c r="F1566" s="1" t="s">
        <v>9436</v>
      </c>
      <c r="G1566" s="1" t="s">
        <v>9437</v>
      </c>
      <c r="H1566" s="1" t="s">
        <v>9438</v>
      </c>
    </row>
    <row r="1567" spans="1:8" x14ac:dyDescent="0.3">
      <c r="A1567" s="2">
        <v>23108</v>
      </c>
      <c r="B1567" s="1" t="s">
        <v>9439</v>
      </c>
      <c r="C1567" s="1" t="s">
        <v>9440</v>
      </c>
      <c r="D1567" s="1" t="s">
        <v>9441</v>
      </c>
      <c r="E1567" s="1" t="s">
        <v>9442</v>
      </c>
      <c r="F1567" s="1" t="s">
        <v>9443</v>
      </c>
      <c r="G1567" s="1" t="s">
        <v>9444</v>
      </c>
      <c r="H1567" s="1" t="s">
        <v>9445</v>
      </c>
    </row>
    <row r="1568" spans="1:8" x14ac:dyDescent="0.3">
      <c r="A1568" s="2">
        <v>23109</v>
      </c>
      <c r="B1568" s="1" t="s">
        <v>9446</v>
      </c>
      <c r="C1568" s="1" t="s">
        <v>9447</v>
      </c>
      <c r="D1568" s="1" t="s">
        <v>9448</v>
      </c>
      <c r="E1568" s="1" t="s">
        <v>9446</v>
      </c>
      <c r="F1568" s="1" t="s">
        <v>9449</v>
      </c>
      <c r="G1568" s="1" t="s">
        <v>9450</v>
      </c>
      <c r="H1568" s="1" t="s">
        <v>9451</v>
      </c>
    </row>
    <row r="1569" spans="1:8" x14ac:dyDescent="0.3">
      <c r="A1569" s="2">
        <v>23110</v>
      </c>
      <c r="B1569" s="1" t="s">
        <v>9452</v>
      </c>
      <c r="C1569" s="1" t="s">
        <v>9453</v>
      </c>
      <c r="D1569" s="1" t="s">
        <v>9454</v>
      </c>
      <c r="E1569" s="1" t="s">
        <v>9455</v>
      </c>
      <c r="F1569" s="1" t="s">
        <v>9456</v>
      </c>
      <c r="G1569" s="1" t="s">
        <v>9457</v>
      </c>
      <c r="H1569" s="1" t="s">
        <v>9458</v>
      </c>
    </row>
    <row r="1570" spans="1:8" x14ac:dyDescent="0.3">
      <c r="A1570" s="2">
        <v>23111</v>
      </c>
      <c r="B1570" s="1" t="s">
        <v>9459</v>
      </c>
      <c r="C1570" s="1" t="s">
        <v>9460</v>
      </c>
      <c r="D1570" s="1" t="s">
        <v>9461</v>
      </c>
      <c r="E1570" s="1" t="s">
        <v>9462</v>
      </c>
      <c r="F1570" s="1" t="s">
        <v>9463</v>
      </c>
      <c r="G1570" s="1" t="s">
        <v>9464</v>
      </c>
      <c r="H1570" s="1" t="s">
        <v>9459</v>
      </c>
    </row>
    <row r="1571" spans="1:8" x14ac:dyDescent="0.3">
      <c r="A1571" s="2">
        <v>23112</v>
      </c>
      <c r="B1571" s="1" t="s">
        <v>9465</v>
      </c>
      <c r="C1571" s="1" t="s">
        <v>9466</v>
      </c>
      <c r="D1571" s="1" t="s">
        <v>9467</v>
      </c>
      <c r="E1571" s="1" t="s">
        <v>9468</v>
      </c>
      <c r="F1571" s="1" t="s">
        <v>9469</v>
      </c>
      <c r="G1571" s="1" t="s">
        <v>9470</v>
      </c>
      <c r="H1571" s="1" t="s">
        <v>9471</v>
      </c>
    </row>
    <row r="1572" spans="1:8" x14ac:dyDescent="0.3">
      <c r="A1572" s="2">
        <v>23113</v>
      </c>
      <c r="B1572" s="1" t="s">
        <v>9472</v>
      </c>
      <c r="C1572" s="1" t="s">
        <v>9473</v>
      </c>
      <c r="D1572" s="1" t="s">
        <v>9474</v>
      </c>
      <c r="E1572" s="1" t="s">
        <v>9475</v>
      </c>
      <c r="F1572" s="1" t="s">
        <v>9476</v>
      </c>
      <c r="G1572" s="1" t="s">
        <v>9477</v>
      </c>
      <c r="H1572" s="1" t="s">
        <v>9478</v>
      </c>
    </row>
    <row r="1573" spans="1:8" x14ac:dyDescent="0.3">
      <c r="A1573" s="2" t="s">
        <v>9479</v>
      </c>
      <c r="B1573" s="1" t="e">
        <f>-에</f>
        <v>#NAME?</v>
      </c>
      <c r="C1573" s="1" t="s">
        <v>9480</v>
      </c>
      <c r="D1573" s="1" t="s">
        <v>9481</v>
      </c>
      <c r="E1573" s="1" t="s">
        <v>9482</v>
      </c>
      <c r="F1573" s="1" t="s">
        <v>9483</v>
      </c>
      <c r="G1573" s="1" t="s">
        <v>9484</v>
      </c>
      <c r="H1573" s="1" t="s">
        <v>9485</v>
      </c>
    </row>
    <row r="1574" spans="1:8" x14ac:dyDescent="0.3">
      <c r="A1574" s="2">
        <v>23114</v>
      </c>
      <c r="B1574" s="1" t="s">
        <v>7883</v>
      </c>
      <c r="C1574" s="1" t="s">
        <v>9486</v>
      </c>
      <c r="D1574" s="1" t="s">
        <v>9487</v>
      </c>
      <c r="E1574" s="1" t="s">
        <v>9488</v>
      </c>
      <c r="F1574" s="1" t="s">
        <v>9489</v>
      </c>
      <c r="G1574" s="1" t="s">
        <v>9490</v>
      </c>
      <c r="H1574" s="1" t="s">
        <v>9491</v>
      </c>
    </row>
    <row r="1575" spans="1:8" x14ac:dyDescent="0.3">
      <c r="A1575" s="2">
        <v>23115</v>
      </c>
      <c r="B1575" s="1" t="s">
        <v>9492</v>
      </c>
      <c r="C1575" s="1" t="s">
        <v>9493</v>
      </c>
      <c r="D1575" s="1" t="s">
        <v>9494</v>
      </c>
      <c r="E1575" s="1" t="s">
        <v>9495</v>
      </c>
      <c r="F1575" s="1" t="s">
        <v>9496</v>
      </c>
      <c r="G1575" s="1" t="s">
        <v>9497</v>
      </c>
      <c r="H1575" s="1" t="s">
        <v>9498</v>
      </c>
    </row>
    <row r="1576" spans="1:8" x14ac:dyDescent="0.3">
      <c r="A1576" s="2">
        <v>23116</v>
      </c>
      <c r="B1576" s="1" t="s">
        <v>9499</v>
      </c>
      <c r="C1576" s="1" t="s">
        <v>9500</v>
      </c>
      <c r="D1576" s="1" t="s">
        <v>9501</v>
      </c>
      <c r="E1576" s="1" t="s">
        <v>9502</v>
      </c>
      <c r="F1576" s="1" t="s">
        <v>9503</v>
      </c>
      <c r="G1576" s="1" t="s">
        <v>9504</v>
      </c>
      <c r="H1576" s="1" t="s">
        <v>9505</v>
      </c>
    </row>
    <row r="1577" spans="1:8" x14ac:dyDescent="0.3">
      <c r="A1577" s="2">
        <v>23117</v>
      </c>
      <c r="B1577" s="1" t="s">
        <v>9506</v>
      </c>
      <c r="C1577" s="1" t="s">
        <v>9507</v>
      </c>
      <c r="D1577" s="1" t="s">
        <v>9508</v>
      </c>
      <c r="E1577" s="1" t="s">
        <v>9509</v>
      </c>
      <c r="F1577" s="1" t="s">
        <v>9510</v>
      </c>
      <c r="G1577" s="1" t="s">
        <v>9511</v>
      </c>
      <c r="H1577" s="1" t="s">
        <v>9512</v>
      </c>
    </row>
    <row r="1578" spans="1:8" x14ac:dyDescent="0.3">
      <c r="A1578" s="2" t="s">
        <v>9513</v>
      </c>
      <c r="B1578" s="1" t="e">
        <f>-을</f>
        <v>#NAME?</v>
      </c>
      <c r="C1578" s="1" t="s">
        <v>9514</v>
      </c>
      <c r="D1578" s="1" t="s">
        <v>9515</v>
      </c>
      <c r="E1578" s="1" t="s">
        <v>9516</v>
      </c>
      <c r="F1578" s="1" t="s">
        <v>9516</v>
      </c>
      <c r="G1578" s="1" t="s">
        <v>9517</v>
      </c>
      <c r="H1578" s="1" t="s">
        <v>9518</v>
      </c>
    </row>
    <row r="1579" spans="1:8" x14ac:dyDescent="0.3">
      <c r="A1579" s="2" t="s">
        <v>9519</v>
      </c>
      <c r="B1579" s="1" t="e">
        <f>-에</f>
        <v>#NAME?</v>
      </c>
      <c r="C1579" s="1" t="s">
        <v>9520</v>
      </c>
      <c r="E1579" s="1" t="s">
        <v>9521</v>
      </c>
      <c r="F1579" s="1" t="s">
        <v>9522</v>
      </c>
      <c r="G1579" s="1" t="s">
        <v>9523</v>
      </c>
      <c r="H1579" s="1" t="s">
        <v>9524</v>
      </c>
    </row>
    <row r="1580" spans="1:8" x14ac:dyDescent="0.3">
      <c r="A1580" s="2">
        <v>23118</v>
      </c>
      <c r="B1580" s="1" t="s">
        <v>9525</v>
      </c>
      <c r="C1580" s="1" t="s">
        <v>9526</v>
      </c>
      <c r="E1580" s="1" t="s">
        <v>9527</v>
      </c>
      <c r="F1580" s="1" t="s">
        <v>9527</v>
      </c>
      <c r="G1580" s="1" t="s">
        <v>9528</v>
      </c>
      <c r="H1580" s="1" t="s">
        <v>9529</v>
      </c>
    </row>
    <row r="1581" spans="1:8" x14ac:dyDescent="0.3">
      <c r="A1581" s="2" t="s">
        <v>9530</v>
      </c>
      <c r="B1581" s="1" t="e">
        <f>-을</f>
        <v>#NAME?</v>
      </c>
      <c r="C1581" s="1" t="s">
        <v>9531</v>
      </c>
      <c r="D1581" s="1" t="s">
        <v>9532</v>
      </c>
      <c r="E1581" s="1" t="s">
        <v>9533</v>
      </c>
      <c r="F1581" s="1" t="s">
        <v>9534</v>
      </c>
      <c r="G1581" s="1" t="s">
        <v>9535</v>
      </c>
      <c r="H1581" s="1" t="s">
        <v>9536</v>
      </c>
    </row>
    <row r="1582" spans="1:8" x14ac:dyDescent="0.3">
      <c r="A1582" s="2" t="s">
        <v>9537</v>
      </c>
      <c r="B1582" s="1" t="e">
        <f>-에</f>
        <v>#NAME?</v>
      </c>
      <c r="C1582" s="1" t="s">
        <v>9538</v>
      </c>
      <c r="E1582" s="1" t="s">
        <v>9539</v>
      </c>
      <c r="F1582" s="1" t="s">
        <v>9539</v>
      </c>
      <c r="G1582" s="1" t="s">
        <v>9540</v>
      </c>
      <c r="H1582" s="1" t="s">
        <v>9541</v>
      </c>
    </row>
    <row r="1583" spans="1:8" x14ac:dyDescent="0.3">
      <c r="A1583" s="2">
        <v>23119</v>
      </c>
      <c r="B1583" s="1" t="s">
        <v>9542</v>
      </c>
      <c r="C1583" s="1" t="s">
        <v>9543</v>
      </c>
      <c r="D1583" s="1" t="s">
        <v>9544</v>
      </c>
      <c r="E1583" s="1" t="s">
        <v>9542</v>
      </c>
      <c r="F1583" s="1" t="s">
        <v>9545</v>
      </c>
      <c r="G1583" s="1" t="s">
        <v>9546</v>
      </c>
      <c r="H1583" s="1" t="s">
        <v>9547</v>
      </c>
    </row>
    <row r="1584" spans="1:8" x14ac:dyDescent="0.3">
      <c r="A1584" s="2">
        <v>23120</v>
      </c>
      <c r="B1584" s="1" t="s">
        <v>9548</v>
      </c>
      <c r="C1584" s="1" t="s">
        <v>9549</v>
      </c>
      <c r="D1584" s="1" t="s">
        <v>9550</v>
      </c>
      <c r="E1584" s="1" t="s">
        <v>9551</v>
      </c>
      <c r="F1584" s="1" t="s">
        <v>9548</v>
      </c>
      <c r="G1584" s="1" t="s">
        <v>9552</v>
      </c>
      <c r="H1584" s="1" t="s">
        <v>9553</v>
      </c>
    </row>
    <row r="1585" spans="1:8" x14ac:dyDescent="0.3">
      <c r="A1585" s="2" t="s">
        <v>9554</v>
      </c>
      <c r="B1585" s="1" t="e">
        <f>-를</f>
        <v>#NAME?</v>
      </c>
      <c r="C1585" s="1" t="s">
        <v>9555</v>
      </c>
      <c r="D1585" s="1" t="s">
        <v>9556</v>
      </c>
      <c r="E1585" s="1" t="s">
        <v>9551</v>
      </c>
      <c r="F1585" s="1" t="s">
        <v>9557</v>
      </c>
      <c r="G1585" s="1" t="s">
        <v>9558</v>
      </c>
      <c r="H1585" s="1" t="s">
        <v>9559</v>
      </c>
    </row>
    <row r="1586" spans="1:8" x14ac:dyDescent="0.3">
      <c r="A1586" s="2">
        <v>23121</v>
      </c>
      <c r="B1586" s="1" t="s">
        <v>9560</v>
      </c>
      <c r="C1586" s="1" t="s">
        <v>9561</v>
      </c>
      <c r="D1586" s="1" t="s">
        <v>9562</v>
      </c>
      <c r="E1586" s="1" t="s">
        <v>9563</v>
      </c>
      <c r="F1586" s="1" t="s">
        <v>9564</v>
      </c>
      <c r="G1586" s="1" t="s">
        <v>9565</v>
      </c>
      <c r="H1586" s="1" t="s">
        <v>9566</v>
      </c>
    </row>
    <row r="1587" spans="1:8" x14ac:dyDescent="0.3">
      <c r="A1587" s="2" t="s">
        <v>9567</v>
      </c>
      <c r="B1587" s="1" t="s">
        <v>9568</v>
      </c>
      <c r="C1587" s="1" t="s">
        <v>9569</v>
      </c>
      <c r="D1587" s="1" t="s">
        <v>9570</v>
      </c>
      <c r="E1587" s="1" t="s">
        <v>9571</v>
      </c>
      <c r="F1587" s="1" t="s">
        <v>9572</v>
      </c>
      <c r="G1587" s="1" t="s">
        <v>9568</v>
      </c>
      <c r="H1587" s="1" t="s">
        <v>9573</v>
      </c>
    </row>
    <row r="1588" spans="1:8" x14ac:dyDescent="0.3">
      <c r="A1588" s="2">
        <v>23201</v>
      </c>
      <c r="B1588" s="1" t="s">
        <v>9574</v>
      </c>
      <c r="C1588" s="1" t="s">
        <v>9575</v>
      </c>
      <c r="D1588" s="1" t="s">
        <v>9576</v>
      </c>
      <c r="E1588" s="1" t="s">
        <v>9577</v>
      </c>
      <c r="F1588" s="1" t="s">
        <v>9578</v>
      </c>
      <c r="G1588" s="1" t="s">
        <v>9579</v>
      </c>
      <c r="H1588" s="1" t="s">
        <v>9580</v>
      </c>
    </row>
    <row r="1589" spans="1:8" x14ac:dyDescent="0.3">
      <c r="A1589" s="2">
        <v>23202</v>
      </c>
      <c r="B1589" s="1" t="s">
        <v>9581</v>
      </c>
      <c r="C1589" s="1" t="s">
        <v>9582</v>
      </c>
      <c r="D1589" s="1" t="s">
        <v>9583</v>
      </c>
      <c r="E1589" s="1" t="s">
        <v>9581</v>
      </c>
      <c r="F1589" s="1" t="s">
        <v>9584</v>
      </c>
      <c r="G1589" s="1" t="s">
        <v>9581</v>
      </c>
      <c r="H1589" s="1" t="s">
        <v>9585</v>
      </c>
    </row>
    <row r="1590" spans="1:8" x14ac:dyDescent="0.3">
      <c r="A1590" s="2">
        <v>23203</v>
      </c>
      <c r="B1590" s="1" t="s">
        <v>9586</v>
      </c>
      <c r="C1590" s="1" t="s">
        <v>9587</v>
      </c>
      <c r="D1590" s="1" t="s">
        <v>9588</v>
      </c>
      <c r="E1590" s="1" t="s">
        <v>9589</v>
      </c>
      <c r="F1590" s="1" t="s">
        <v>9590</v>
      </c>
      <c r="G1590" s="1" t="s">
        <v>9591</v>
      </c>
      <c r="H1590" s="1" t="s">
        <v>9592</v>
      </c>
    </row>
    <row r="1591" spans="1:8" x14ac:dyDescent="0.3">
      <c r="A1591" s="2">
        <v>23204</v>
      </c>
      <c r="B1591" s="1" t="s">
        <v>9593</v>
      </c>
      <c r="C1591" s="1" t="s">
        <v>9594</v>
      </c>
      <c r="D1591" s="1" t="s">
        <v>9595</v>
      </c>
      <c r="E1591" s="1" t="s">
        <v>9596</v>
      </c>
      <c r="F1591" s="1" t="s">
        <v>9597</v>
      </c>
      <c r="G1591" s="1" t="s">
        <v>9598</v>
      </c>
      <c r="H1591" s="1" t="s">
        <v>9599</v>
      </c>
    </row>
    <row r="1592" spans="1:8" x14ac:dyDescent="0.3">
      <c r="A1592" s="2" t="s">
        <v>9600</v>
      </c>
      <c r="B1592" s="1" t="s">
        <v>9601</v>
      </c>
      <c r="C1592" s="1" t="s">
        <v>9602</v>
      </c>
      <c r="D1592" s="1" t="s">
        <v>9603</v>
      </c>
      <c r="E1592" s="1" t="s">
        <v>9604</v>
      </c>
      <c r="F1592" s="1" t="s">
        <v>9605</v>
      </c>
      <c r="G1592" s="1" t="s">
        <v>9606</v>
      </c>
      <c r="H1592" s="1" t="s">
        <v>9607</v>
      </c>
    </row>
    <row r="1593" spans="1:8" x14ac:dyDescent="0.3">
      <c r="A1593" s="2">
        <v>23205</v>
      </c>
      <c r="B1593" s="1" t="s">
        <v>9608</v>
      </c>
      <c r="C1593" s="1" t="s">
        <v>9609</v>
      </c>
      <c r="D1593" s="1" t="s">
        <v>9610</v>
      </c>
      <c r="E1593" s="1" t="s">
        <v>9611</v>
      </c>
      <c r="F1593" s="1" t="s">
        <v>9612</v>
      </c>
      <c r="G1593" s="1" t="s">
        <v>9613</v>
      </c>
      <c r="H1593" s="1" t="s">
        <v>9614</v>
      </c>
    </row>
    <row r="1594" spans="1:8" x14ac:dyDescent="0.3">
      <c r="A1594" s="2">
        <v>23206</v>
      </c>
      <c r="B1594" s="1" t="s">
        <v>9615</v>
      </c>
      <c r="C1594" s="1" t="s">
        <v>9616</v>
      </c>
      <c r="D1594" s="1" t="s">
        <v>9617</v>
      </c>
      <c r="E1594" s="1" t="s">
        <v>9618</v>
      </c>
      <c r="F1594" s="1" t="s">
        <v>9618</v>
      </c>
      <c r="G1594" s="1" t="s">
        <v>9619</v>
      </c>
      <c r="H1594" s="1" t="s">
        <v>9620</v>
      </c>
    </row>
    <row r="1595" spans="1:8" x14ac:dyDescent="0.3">
      <c r="A1595" s="2">
        <v>23207</v>
      </c>
      <c r="B1595" s="1" t="s">
        <v>9621</v>
      </c>
      <c r="C1595" s="1" t="s">
        <v>9622</v>
      </c>
      <c r="D1595" s="1" t="s">
        <v>9623</v>
      </c>
      <c r="E1595" s="1" t="s">
        <v>9624</v>
      </c>
      <c r="F1595" s="1" t="s">
        <v>9625</v>
      </c>
      <c r="G1595" s="1" t="s">
        <v>9626</v>
      </c>
      <c r="H1595" s="1" t="s">
        <v>9627</v>
      </c>
    </row>
    <row r="1596" spans="1:8" x14ac:dyDescent="0.3">
      <c r="A1596" s="2">
        <v>23208</v>
      </c>
      <c r="B1596" s="1" t="s">
        <v>9628</v>
      </c>
      <c r="C1596" s="1" t="s">
        <v>9629</v>
      </c>
      <c r="D1596" s="1" t="s">
        <v>9630</v>
      </c>
      <c r="E1596" s="1" t="s">
        <v>9631</v>
      </c>
      <c r="F1596" s="1" t="s">
        <v>57</v>
      </c>
      <c r="G1596" s="1" t="s">
        <v>9632</v>
      </c>
      <c r="H1596" s="1" t="s">
        <v>9633</v>
      </c>
    </row>
    <row r="1597" spans="1:8" x14ac:dyDescent="0.3">
      <c r="A1597" s="2">
        <v>23209</v>
      </c>
      <c r="B1597" s="1" t="s">
        <v>9634</v>
      </c>
      <c r="C1597" s="1" t="s">
        <v>9635</v>
      </c>
      <c r="D1597" s="1" t="s">
        <v>9636</v>
      </c>
      <c r="E1597" s="1" t="s">
        <v>9637</v>
      </c>
      <c r="F1597" s="1" t="s">
        <v>9638</v>
      </c>
      <c r="G1597" s="1" t="s">
        <v>9639</v>
      </c>
      <c r="H1597" s="1" t="s">
        <v>9640</v>
      </c>
    </row>
    <row r="1598" spans="1:8" x14ac:dyDescent="0.3">
      <c r="A1598" s="2">
        <v>23210</v>
      </c>
      <c r="B1598" s="1" t="s">
        <v>9641</v>
      </c>
      <c r="C1598" s="1" t="s">
        <v>9642</v>
      </c>
      <c r="D1598" s="1" t="s">
        <v>9643</v>
      </c>
      <c r="E1598" s="1" t="s">
        <v>9644</v>
      </c>
      <c r="F1598" s="1" t="s">
        <v>9645</v>
      </c>
      <c r="G1598" s="1" t="s">
        <v>9646</v>
      </c>
      <c r="H1598" s="1" t="s">
        <v>9647</v>
      </c>
    </row>
    <row r="1599" spans="1:8" x14ac:dyDescent="0.3">
      <c r="A1599" s="2">
        <v>23211</v>
      </c>
      <c r="B1599" s="1" t="s">
        <v>9648</v>
      </c>
      <c r="C1599" s="1" t="s">
        <v>9649</v>
      </c>
      <c r="D1599" s="1" t="s">
        <v>9650</v>
      </c>
      <c r="E1599" s="1" t="s">
        <v>9651</v>
      </c>
      <c r="F1599" s="1" t="s">
        <v>9652</v>
      </c>
      <c r="G1599" s="1" t="s">
        <v>9653</v>
      </c>
      <c r="H1599" s="1" t="s">
        <v>9654</v>
      </c>
    </row>
    <row r="1600" spans="1:8" x14ac:dyDescent="0.3">
      <c r="A1600" s="2">
        <v>23212</v>
      </c>
      <c r="B1600" s="1" t="s">
        <v>9655</v>
      </c>
      <c r="C1600" s="1" t="s">
        <v>9656</v>
      </c>
      <c r="D1600" s="1" t="s">
        <v>9657</v>
      </c>
      <c r="E1600" s="1" t="s">
        <v>9658</v>
      </c>
      <c r="F1600" s="1" t="s">
        <v>57</v>
      </c>
      <c r="G1600" s="1" t="s">
        <v>9659</v>
      </c>
      <c r="H1600" s="1" t="s">
        <v>9660</v>
      </c>
    </row>
    <row r="1601" spans="1:8" x14ac:dyDescent="0.3">
      <c r="A1601" s="2">
        <v>23213</v>
      </c>
      <c r="B1601" s="1" t="s">
        <v>9661</v>
      </c>
      <c r="C1601" s="1" t="s">
        <v>9662</v>
      </c>
      <c r="D1601" s="1" t="s">
        <v>57</v>
      </c>
      <c r="E1601" s="1" t="s">
        <v>57</v>
      </c>
      <c r="F1601" s="1" t="s">
        <v>9663</v>
      </c>
      <c r="G1601" s="1" t="s">
        <v>9664</v>
      </c>
      <c r="H1601" s="1" t="s">
        <v>9664</v>
      </c>
    </row>
    <row r="1602" spans="1:8" x14ac:dyDescent="0.3">
      <c r="A1602" s="2">
        <v>23214</v>
      </c>
      <c r="B1602" s="1" t="s">
        <v>9665</v>
      </c>
      <c r="C1602" s="1" t="s">
        <v>9666</v>
      </c>
      <c r="D1602" s="1" t="s">
        <v>9667</v>
      </c>
      <c r="E1602" s="1" t="s">
        <v>57</v>
      </c>
      <c r="F1602" s="1" t="s">
        <v>9668</v>
      </c>
      <c r="G1602" s="1" t="s">
        <v>57</v>
      </c>
      <c r="H1602" s="1" t="s">
        <v>9669</v>
      </c>
    </row>
    <row r="1603" spans="1:8" x14ac:dyDescent="0.3">
      <c r="A1603" s="2">
        <v>23215</v>
      </c>
      <c r="B1603" s="1" t="s">
        <v>9670</v>
      </c>
      <c r="C1603" s="1" t="s">
        <v>9671</v>
      </c>
      <c r="E1603" s="1" t="s">
        <v>9672</v>
      </c>
      <c r="F1603" s="1" t="s">
        <v>9673</v>
      </c>
      <c r="G1603" s="1" t="s">
        <v>9674</v>
      </c>
      <c r="H1603" s="1" t="s">
        <v>9675</v>
      </c>
    </row>
    <row r="1604" spans="1:8" x14ac:dyDescent="0.3">
      <c r="A1604" s="2">
        <v>23216</v>
      </c>
      <c r="B1604" s="1" t="s">
        <v>9676</v>
      </c>
      <c r="C1604" s="1" t="s">
        <v>9677</v>
      </c>
      <c r="D1604" s="1" t="s">
        <v>9678</v>
      </c>
      <c r="E1604" s="1" t="s">
        <v>9679</v>
      </c>
      <c r="F1604" s="1" t="s">
        <v>9680</v>
      </c>
      <c r="G1604" s="1" t="s">
        <v>9681</v>
      </c>
      <c r="H1604" s="1" t="s">
        <v>9682</v>
      </c>
    </row>
    <row r="1605" spans="1:8" x14ac:dyDescent="0.3">
      <c r="A1605" s="2">
        <v>23217</v>
      </c>
      <c r="B1605" s="1" t="s">
        <v>9683</v>
      </c>
      <c r="C1605" s="1" t="s">
        <v>9684</v>
      </c>
      <c r="E1605" s="1" t="s">
        <v>9685</v>
      </c>
      <c r="F1605" s="1" t="s">
        <v>57</v>
      </c>
      <c r="G1605" s="1" t="s">
        <v>9686</v>
      </c>
      <c r="H1605" s="1" t="s">
        <v>9687</v>
      </c>
    </row>
    <row r="1606" spans="1:8" x14ac:dyDescent="0.3">
      <c r="A1606" s="2" t="s">
        <v>9688</v>
      </c>
      <c r="B1606" s="1" t="e">
        <f>-에</f>
        <v>#NAME?</v>
      </c>
      <c r="C1606" s="1" t="s">
        <v>9689</v>
      </c>
      <c r="D1606" s="1" t="s">
        <v>9690</v>
      </c>
      <c r="E1606" s="1" t="s">
        <v>9691</v>
      </c>
      <c r="F1606" s="1" t="s">
        <v>57</v>
      </c>
      <c r="G1606" s="1" t="s">
        <v>9692</v>
      </c>
      <c r="H1606" s="1" t="s">
        <v>9693</v>
      </c>
    </row>
    <row r="1607" spans="1:8" x14ac:dyDescent="0.3">
      <c r="A1607" s="2">
        <v>23218</v>
      </c>
      <c r="B1607" s="1" t="s">
        <v>9694</v>
      </c>
      <c r="C1607" s="1" t="s">
        <v>9695</v>
      </c>
      <c r="D1607" s="1" t="s">
        <v>9696</v>
      </c>
      <c r="E1607" s="1" t="s">
        <v>9697</v>
      </c>
      <c r="F1607" s="1" t="s">
        <v>9698</v>
      </c>
      <c r="G1607" s="1" t="s">
        <v>9699</v>
      </c>
      <c r="H1607" s="1" t="s">
        <v>9700</v>
      </c>
    </row>
    <row r="1608" spans="1:8" x14ac:dyDescent="0.3">
      <c r="A1608" s="2">
        <v>23219</v>
      </c>
      <c r="B1608" s="1" t="s">
        <v>9701</v>
      </c>
      <c r="C1608" s="1" t="s">
        <v>9702</v>
      </c>
      <c r="D1608" s="1" t="s">
        <v>9703</v>
      </c>
      <c r="E1608" s="1" t="s">
        <v>9701</v>
      </c>
      <c r="F1608" s="1" t="s">
        <v>9704</v>
      </c>
      <c r="G1608" s="1" t="s">
        <v>57</v>
      </c>
      <c r="H1608" s="1" t="s">
        <v>9705</v>
      </c>
    </row>
    <row r="1609" spans="1:8" x14ac:dyDescent="0.3">
      <c r="A1609" s="2">
        <v>23220</v>
      </c>
      <c r="B1609" s="1" t="s">
        <v>9706</v>
      </c>
      <c r="C1609" s="1" t="s">
        <v>9707</v>
      </c>
      <c r="D1609" s="1" t="s">
        <v>9708</v>
      </c>
      <c r="E1609" s="1" t="s">
        <v>9709</v>
      </c>
      <c r="F1609" s="1" t="s">
        <v>57</v>
      </c>
      <c r="G1609" s="1" t="s">
        <v>57</v>
      </c>
      <c r="H1609" s="1" t="s">
        <v>9707</v>
      </c>
    </row>
    <row r="1610" spans="1:8" x14ac:dyDescent="0.3">
      <c r="A1610" s="2" t="s">
        <v>9710</v>
      </c>
      <c r="B1610" s="1" t="e">
        <f>-에</f>
        <v>#NAME?</v>
      </c>
      <c r="C1610" s="1" t="s">
        <v>9711</v>
      </c>
      <c r="D1610" s="1" t="s">
        <v>9712</v>
      </c>
      <c r="E1610" s="1" t="s">
        <v>9713</v>
      </c>
      <c r="F1610" s="1" t="s">
        <v>57</v>
      </c>
      <c r="G1610" s="1" t="s">
        <v>57</v>
      </c>
      <c r="H1610" s="1" t="s">
        <v>9714</v>
      </c>
    </row>
    <row r="1611" spans="1:8" x14ac:dyDescent="0.3">
      <c r="A1611" s="2">
        <v>23221</v>
      </c>
      <c r="B1611" s="1" t="s">
        <v>9715</v>
      </c>
      <c r="C1611" s="1" t="s">
        <v>9716</v>
      </c>
      <c r="D1611" s="1" t="s">
        <v>9717</v>
      </c>
      <c r="E1611" s="1" t="s">
        <v>9718</v>
      </c>
      <c r="F1611" s="1" t="s">
        <v>9719</v>
      </c>
      <c r="G1611" s="1" t="s">
        <v>57</v>
      </c>
      <c r="H1611" s="1" t="s">
        <v>9720</v>
      </c>
    </row>
    <row r="1612" spans="1:8" x14ac:dyDescent="0.3">
      <c r="A1612" s="2" t="s">
        <v>9721</v>
      </c>
      <c r="B1612" s="1" t="e">
        <f>-에</f>
        <v>#NAME?</v>
      </c>
    </row>
    <row r="1613" spans="1:8" x14ac:dyDescent="0.3">
      <c r="A1613" s="2">
        <v>23222</v>
      </c>
      <c r="B1613" s="1" t="s">
        <v>9722</v>
      </c>
      <c r="C1613" s="1" t="s">
        <v>9723</v>
      </c>
      <c r="D1613" s="1" t="s">
        <v>9724</v>
      </c>
      <c r="E1613" s="1" t="s">
        <v>9725</v>
      </c>
      <c r="F1613" s="1" t="s">
        <v>9726</v>
      </c>
      <c r="G1613" s="1" t="s">
        <v>9727</v>
      </c>
      <c r="H1613" s="1" t="s">
        <v>9728</v>
      </c>
    </row>
    <row r="1614" spans="1:8" x14ac:dyDescent="0.3">
      <c r="A1614" s="2">
        <v>23223</v>
      </c>
      <c r="B1614" s="1" t="s">
        <v>9729</v>
      </c>
      <c r="C1614" s="1" t="s">
        <v>9730</v>
      </c>
      <c r="D1614" s="1" t="s">
        <v>9731</v>
      </c>
      <c r="E1614" s="1" t="s">
        <v>57</v>
      </c>
      <c r="F1614" s="1" t="s">
        <v>9732</v>
      </c>
      <c r="G1614" s="1" t="s">
        <v>57</v>
      </c>
      <c r="H1614" s="1" t="s">
        <v>57</v>
      </c>
    </row>
    <row r="1615" spans="1:8" x14ac:dyDescent="0.3">
      <c r="A1615" s="2">
        <v>23224</v>
      </c>
      <c r="B1615" s="1" t="s">
        <v>9733</v>
      </c>
      <c r="C1615" s="1" t="s">
        <v>9734</v>
      </c>
      <c r="D1615" s="1" t="s">
        <v>57</v>
      </c>
      <c r="E1615" s="1" t="s">
        <v>9735</v>
      </c>
      <c r="F1615" s="1" t="s">
        <v>57</v>
      </c>
      <c r="G1615" s="1" t="s">
        <v>57</v>
      </c>
      <c r="H1615" s="1" t="s">
        <v>9736</v>
      </c>
    </row>
    <row r="1616" spans="1:8" x14ac:dyDescent="0.3">
      <c r="A1616" s="2">
        <v>23225</v>
      </c>
      <c r="B1616" s="1" t="s">
        <v>9737</v>
      </c>
      <c r="C1616" s="1" t="s">
        <v>57</v>
      </c>
      <c r="D1616" s="1" t="s">
        <v>9738</v>
      </c>
      <c r="E1616" s="1" t="s">
        <v>57</v>
      </c>
      <c r="F1616" s="1" t="s">
        <v>57</v>
      </c>
      <c r="G1616" s="1" t="s">
        <v>57</v>
      </c>
      <c r="H1616" s="1" t="s">
        <v>9739</v>
      </c>
    </row>
    <row r="1617" spans="1:8" x14ac:dyDescent="0.3">
      <c r="A1617" s="2">
        <v>23226</v>
      </c>
      <c r="B1617" s="1" t="s">
        <v>9740</v>
      </c>
      <c r="C1617" s="1" t="s">
        <v>57</v>
      </c>
      <c r="D1617" s="1" t="s">
        <v>9741</v>
      </c>
      <c r="E1617" s="1" t="s">
        <v>57</v>
      </c>
      <c r="F1617" s="1" t="s">
        <v>57</v>
      </c>
      <c r="G1617" s="1" t="s">
        <v>9742</v>
      </c>
      <c r="H1617" s="1" t="s">
        <v>9743</v>
      </c>
    </row>
    <row r="1618" spans="1:8" x14ac:dyDescent="0.3">
      <c r="A1618" s="2">
        <v>23227</v>
      </c>
      <c r="B1618" s="1" t="s">
        <v>9744</v>
      </c>
      <c r="C1618" s="1" t="s">
        <v>9745</v>
      </c>
      <c r="D1618" s="1" t="s">
        <v>9746</v>
      </c>
      <c r="E1618" s="1" t="s">
        <v>9747</v>
      </c>
      <c r="F1618" s="1" t="s">
        <v>9748</v>
      </c>
      <c r="G1618" s="1" t="s">
        <v>57</v>
      </c>
      <c r="H1618" s="1" t="s">
        <v>9749</v>
      </c>
    </row>
    <row r="1619" spans="1:8" x14ac:dyDescent="0.3">
      <c r="A1619" s="2">
        <v>23228</v>
      </c>
      <c r="B1619" s="1" t="s">
        <v>9750</v>
      </c>
      <c r="D1619" s="1" t="s">
        <v>57</v>
      </c>
      <c r="E1619" s="1" t="s">
        <v>57</v>
      </c>
      <c r="F1619" s="1" t="s">
        <v>57</v>
      </c>
      <c r="G1619" s="1" t="s">
        <v>9751</v>
      </c>
      <c r="H1619" s="1" t="s">
        <v>57</v>
      </c>
    </row>
    <row r="1620" spans="1:8" x14ac:dyDescent="0.3">
      <c r="A1620" s="2" t="s">
        <v>9752</v>
      </c>
      <c r="B1620" s="1" t="e">
        <f>-으로</f>
        <v>#NAME?</v>
      </c>
      <c r="C1620" s="1" t="s">
        <v>9753</v>
      </c>
      <c r="D1620" s="1" t="s">
        <v>9754</v>
      </c>
      <c r="E1620" s="1" t="s">
        <v>57</v>
      </c>
      <c r="F1620" s="1" t="s">
        <v>57</v>
      </c>
      <c r="G1620" s="1" t="s">
        <v>9755</v>
      </c>
    </row>
    <row r="1621" spans="1:8" x14ac:dyDescent="0.3">
      <c r="A1621" s="2">
        <v>23229</v>
      </c>
      <c r="B1621" s="1" t="s">
        <v>9756</v>
      </c>
      <c r="C1621" s="1" t="s">
        <v>9757</v>
      </c>
      <c r="D1621" s="1" t="s">
        <v>9756</v>
      </c>
      <c r="E1621" s="1" t="s">
        <v>57</v>
      </c>
      <c r="F1621" s="1" t="s">
        <v>57</v>
      </c>
      <c r="G1621" s="1" t="s">
        <v>57</v>
      </c>
      <c r="H1621" s="1" t="s">
        <v>57</v>
      </c>
    </row>
    <row r="1622" spans="1:8" x14ac:dyDescent="0.3">
      <c r="A1622" s="2">
        <v>23230</v>
      </c>
      <c r="B1622" s="1" t="s">
        <v>9758</v>
      </c>
      <c r="C1622" s="1" t="s">
        <v>9757</v>
      </c>
      <c r="D1622" s="1" t="s">
        <v>9759</v>
      </c>
      <c r="E1622" s="1" t="s">
        <v>57</v>
      </c>
      <c r="F1622" s="1" t="s">
        <v>57</v>
      </c>
      <c r="G1622" s="1" t="s">
        <v>57</v>
      </c>
      <c r="H1622" s="1" t="s">
        <v>9760</v>
      </c>
    </row>
    <row r="1623" spans="1:8" x14ac:dyDescent="0.3">
      <c r="A1623" s="2">
        <v>23231</v>
      </c>
      <c r="B1623" s="1" t="s">
        <v>9761</v>
      </c>
      <c r="C1623" s="1" t="s">
        <v>9762</v>
      </c>
      <c r="D1623" s="1" t="s">
        <v>9763</v>
      </c>
      <c r="E1623" s="1" t="s">
        <v>9764</v>
      </c>
      <c r="F1623" s="1" t="s">
        <v>9765</v>
      </c>
      <c r="G1623" s="1" t="s">
        <v>9766</v>
      </c>
      <c r="H1623" s="1" t="s">
        <v>9767</v>
      </c>
    </row>
    <row r="1624" spans="1:8" x14ac:dyDescent="0.3">
      <c r="A1624" s="2">
        <v>23232</v>
      </c>
      <c r="B1624" s="1" t="s">
        <v>9768</v>
      </c>
      <c r="C1624" s="1" t="s">
        <v>9769</v>
      </c>
      <c r="D1624" s="1" t="s">
        <v>9770</v>
      </c>
      <c r="E1624" s="1" t="s">
        <v>9771</v>
      </c>
      <c r="F1624" s="1" t="s">
        <v>9768</v>
      </c>
      <c r="G1624" s="1" t="s">
        <v>9772</v>
      </c>
      <c r="H1624" s="1" t="s">
        <v>9773</v>
      </c>
    </row>
    <row r="1625" spans="1:8" x14ac:dyDescent="0.3">
      <c r="A1625" s="2">
        <v>23233</v>
      </c>
      <c r="B1625" s="1" t="s">
        <v>9774</v>
      </c>
      <c r="C1625" s="1" t="s">
        <v>9775</v>
      </c>
      <c r="D1625" s="1" t="s">
        <v>9776</v>
      </c>
      <c r="E1625" s="1" t="s">
        <v>9777</v>
      </c>
      <c r="F1625" s="1" t="s">
        <v>9777</v>
      </c>
      <c r="G1625" s="1" t="s">
        <v>9778</v>
      </c>
      <c r="H1625" s="1" t="s">
        <v>9777</v>
      </c>
    </row>
    <row r="1626" spans="1:8" x14ac:dyDescent="0.3">
      <c r="A1626" s="2">
        <v>23301</v>
      </c>
      <c r="B1626" s="1" t="s">
        <v>9779</v>
      </c>
      <c r="C1626" s="1" t="s">
        <v>9780</v>
      </c>
      <c r="D1626" s="1" t="s">
        <v>9781</v>
      </c>
      <c r="E1626" s="1" t="s">
        <v>9779</v>
      </c>
      <c r="F1626" s="1" t="s">
        <v>9782</v>
      </c>
      <c r="G1626" s="1" t="s">
        <v>9783</v>
      </c>
      <c r="H1626" s="1" t="s">
        <v>9779</v>
      </c>
    </row>
    <row r="1627" spans="1:8" x14ac:dyDescent="0.3">
      <c r="A1627" s="2">
        <v>23302</v>
      </c>
      <c r="B1627" s="1" t="s">
        <v>9784</v>
      </c>
      <c r="C1627" s="1" t="s">
        <v>9785</v>
      </c>
      <c r="D1627" s="1" t="s">
        <v>9786</v>
      </c>
      <c r="E1627" s="1" t="s">
        <v>9787</v>
      </c>
      <c r="F1627" s="1" t="s">
        <v>9788</v>
      </c>
      <c r="G1627" s="1" t="s">
        <v>9789</v>
      </c>
      <c r="H1627" s="1" t="s">
        <v>9790</v>
      </c>
    </row>
    <row r="1628" spans="1:8" x14ac:dyDescent="0.3">
      <c r="A1628" s="2">
        <v>23303</v>
      </c>
      <c r="B1628" s="1" t="s">
        <v>9791</v>
      </c>
      <c r="C1628" s="1" t="s">
        <v>9792</v>
      </c>
      <c r="D1628" s="1" t="s">
        <v>9793</v>
      </c>
      <c r="E1628" s="1" t="s">
        <v>9794</v>
      </c>
      <c r="F1628" s="1" t="s">
        <v>9795</v>
      </c>
      <c r="G1628" s="1" t="s">
        <v>9796</v>
      </c>
      <c r="H1628" s="1" t="s">
        <v>9791</v>
      </c>
    </row>
    <row r="1629" spans="1:8" x14ac:dyDescent="0.3">
      <c r="A1629" s="2">
        <v>23304</v>
      </c>
      <c r="B1629" s="1" t="s">
        <v>9797</v>
      </c>
      <c r="C1629" s="1" t="s">
        <v>9798</v>
      </c>
      <c r="D1629" s="1" t="s">
        <v>9799</v>
      </c>
      <c r="E1629" s="1" t="s">
        <v>9800</v>
      </c>
      <c r="F1629" s="1" t="s">
        <v>9801</v>
      </c>
      <c r="G1629" s="1" t="s">
        <v>9802</v>
      </c>
      <c r="H1629" s="1" t="s">
        <v>9803</v>
      </c>
    </row>
    <row r="1630" spans="1:8" x14ac:dyDescent="0.3">
      <c r="A1630" s="2">
        <v>23305</v>
      </c>
      <c r="B1630" s="1" t="s">
        <v>9804</v>
      </c>
      <c r="C1630" s="1" t="s">
        <v>9805</v>
      </c>
      <c r="D1630" s="1" t="s">
        <v>9806</v>
      </c>
      <c r="E1630" s="1" t="s">
        <v>9807</v>
      </c>
      <c r="F1630" s="1" t="s">
        <v>9808</v>
      </c>
      <c r="G1630" s="1" t="s">
        <v>9809</v>
      </c>
      <c r="H1630" s="1" t="s">
        <v>9810</v>
      </c>
    </row>
    <row r="1631" spans="1:8" x14ac:dyDescent="0.3">
      <c r="A1631" s="2">
        <v>23306</v>
      </c>
      <c r="B1631" s="1" t="s">
        <v>9811</v>
      </c>
      <c r="C1631" s="1" t="s">
        <v>9812</v>
      </c>
      <c r="D1631" s="1" t="s">
        <v>9813</v>
      </c>
      <c r="E1631" s="1" t="s">
        <v>9814</v>
      </c>
      <c r="F1631" s="1" t="s">
        <v>9815</v>
      </c>
      <c r="G1631" s="1" t="s">
        <v>9816</v>
      </c>
      <c r="H1631" s="1" t="s">
        <v>9817</v>
      </c>
    </row>
    <row r="1632" spans="1:8" x14ac:dyDescent="0.3">
      <c r="A1632" s="2">
        <v>23307</v>
      </c>
      <c r="B1632" s="1" t="s">
        <v>9818</v>
      </c>
      <c r="C1632" s="1" t="s">
        <v>9819</v>
      </c>
      <c r="D1632" s="1" t="s">
        <v>57</v>
      </c>
      <c r="E1632" s="1" t="s">
        <v>57</v>
      </c>
      <c r="F1632" s="1" t="s">
        <v>57</v>
      </c>
      <c r="G1632" s="1" t="s">
        <v>9820</v>
      </c>
      <c r="H1632" s="1" t="s">
        <v>57</v>
      </c>
    </row>
    <row r="1633" spans="1:8" x14ac:dyDescent="0.3">
      <c r="A1633" s="2">
        <v>23308</v>
      </c>
      <c r="B1633" s="1" t="s">
        <v>9821</v>
      </c>
      <c r="C1633" s="1" t="s">
        <v>9822</v>
      </c>
      <c r="D1633" s="1" t="s">
        <v>9823</v>
      </c>
      <c r="E1633" s="1" t="s">
        <v>9824</v>
      </c>
      <c r="F1633" s="1" t="s">
        <v>9825</v>
      </c>
      <c r="G1633" s="1" t="s">
        <v>9826</v>
      </c>
      <c r="H1633" s="1" t="s">
        <v>9827</v>
      </c>
    </row>
    <row r="1634" spans="1:8" x14ac:dyDescent="0.3">
      <c r="A1634" s="2" t="s">
        <v>9828</v>
      </c>
      <c r="B1634" s="1" t="e">
        <f>-을</f>
        <v>#NAME?</v>
      </c>
      <c r="C1634" s="1" t="s">
        <v>9829</v>
      </c>
      <c r="D1634" s="1" t="s">
        <v>9830</v>
      </c>
      <c r="E1634" s="1" t="s">
        <v>9831</v>
      </c>
      <c r="F1634" s="1" t="s">
        <v>9832</v>
      </c>
      <c r="G1634" s="1" t="s">
        <v>9833</v>
      </c>
      <c r="H1634" s="1" t="s">
        <v>9834</v>
      </c>
    </row>
    <row r="1635" spans="1:8" x14ac:dyDescent="0.3">
      <c r="A1635" s="2">
        <v>23309</v>
      </c>
      <c r="B1635" s="1" t="s">
        <v>9835</v>
      </c>
      <c r="C1635" s="1" t="s">
        <v>9836</v>
      </c>
      <c r="D1635" s="1" t="s">
        <v>9837</v>
      </c>
      <c r="E1635" s="1" t="s">
        <v>9838</v>
      </c>
      <c r="F1635" s="1" t="s">
        <v>9839</v>
      </c>
      <c r="G1635" s="1" t="s">
        <v>9840</v>
      </c>
      <c r="H1635" s="1" t="s">
        <v>9841</v>
      </c>
    </row>
    <row r="1636" spans="1:8" x14ac:dyDescent="0.3">
      <c r="A1636" s="2">
        <v>23310</v>
      </c>
      <c r="B1636" s="1" t="s">
        <v>9842</v>
      </c>
      <c r="C1636" s="1" t="s">
        <v>9843</v>
      </c>
      <c r="D1636" s="1" t="s">
        <v>9842</v>
      </c>
      <c r="E1636" s="1" t="s">
        <v>57</v>
      </c>
      <c r="F1636" s="1" t="s">
        <v>9844</v>
      </c>
      <c r="G1636" s="1" t="s">
        <v>57</v>
      </c>
      <c r="H1636" s="1" t="s">
        <v>57</v>
      </c>
    </row>
    <row r="1637" spans="1:8" x14ac:dyDescent="0.3">
      <c r="A1637" s="2">
        <v>23311</v>
      </c>
      <c r="B1637" s="1" t="s">
        <v>9845</v>
      </c>
      <c r="C1637" s="1" t="s">
        <v>9846</v>
      </c>
      <c r="D1637" s="1" t="s">
        <v>9847</v>
      </c>
      <c r="E1637" s="1" t="s">
        <v>9848</v>
      </c>
      <c r="F1637" s="1" t="s">
        <v>9849</v>
      </c>
      <c r="G1637" s="1" t="s">
        <v>57</v>
      </c>
      <c r="H1637" s="1" t="s">
        <v>9850</v>
      </c>
    </row>
    <row r="1638" spans="1:8" x14ac:dyDescent="0.3">
      <c r="A1638" s="2">
        <v>23312</v>
      </c>
      <c r="B1638" s="1" t="s">
        <v>9851</v>
      </c>
      <c r="C1638" s="1" t="s">
        <v>9852</v>
      </c>
      <c r="D1638" s="1" t="s">
        <v>9853</v>
      </c>
      <c r="E1638" s="1" t="s">
        <v>9854</v>
      </c>
      <c r="F1638" s="1" t="s">
        <v>9855</v>
      </c>
      <c r="G1638" s="1" t="s">
        <v>9851</v>
      </c>
      <c r="H1638" s="1" t="s">
        <v>9856</v>
      </c>
    </row>
    <row r="1639" spans="1:8" x14ac:dyDescent="0.3">
      <c r="A1639" s="2">
        <v>23313</v>
      </c>
      <c r="B1639" s="1" t="s">
        <v>9857</v>
      </c>
      <c r="C1639" s="1" t="s">
        <v>9858</v>
      </c>
      <c r="D1639" s="1" t="s">
        <v>9859</v>
      </c>
      <c r="E1639" s="1" t="s">
        <v>9860</v>
      </c>
      <c r="F1639" s="1" t="s">
        <v>9861</v>
      </c>
      <c r="G1639" s="1" t="s">
        <v>9857</v>
      </c>
      <c r="H1639" s="1" t="s">
        <v>9857</v>
      </c>
    </row>
    <row r="1640" spans="1:8" x14ac:dyDescent="0.3">
      <c r="A1640" s="2">
        <v>23314</v>
      </c>
      <c r="B1640" s="1" t="s">
        <v>9862</v>
      </c>
      <c r="C1640" s="1" t="s">
        <v>9863</v>
      </c>
      <c r="D1640" s="1" t="s">
        <v>9864</v>
      </c>
      <c r="E1640" s="1" t="s">
        <v>9865</v>
      </c>
      <c r="F1640" s="1" t="s">
        <v>9866</v>
      </c>
      <c r="G1640" s="1" t="s">
        <v>9867</v>
      </c>
      <c r="H1640" s="1" t="s">
        <v>9868</v>
      </c>
    </row>
    <row r="1641" spans="1:8" x14ac:dyDescent="0.3">
      <c r="A1641" s="2">
        <v>23315</v>
      </c>
      <c r="B1641" s="1" t="s">
        <v>9869</v>
      </c>
      <c r="C1641" s="1" t="s">
        <v>9870</v>
      </c>
      <c r="D1641" s="1" t="s">
        <v>9871</v>
      </c>
      <c r="F1641" s="1" t="s">
        <v>9872</v>
      </c>
      <c r="G1641" s="1" t="s">
        <v>9873</v>
      </c>
      <c r="H1641" s="1" t="s">
        <v>9874</v>
      </c>
    </row>
    <row r="1642" spans="1:8" x14ac:dyDescent="0.3">
      <c r="A1642" s="2">
        <v>23316</v>
      </c>
      <c r="B1642" s="1" t="s">
        <v>9875</v>
      </c>
      <c r="C1642" s="1" t="s">
        <v>9876</v>
      </c>
      <c r="E1642" s="1" t="s">
        <v>9877</v>
      </c>
      <c r="F1642" s="1" t="s">
        <v>9875</v>
      </c>
      <c r="G1642" s="1" t="s">
        <v>9878</v>
      </c>
      <c r="H1642" s="1" t="s">
        <v>9879</v>
      </c>
    </row>
    <row r="1643" spans="1:8" x14ac:dyDescent="0.3">
      <c r="A1643" s="2" t="s">
        <v>9880</v>
      </c>
      <c r="B1643" s="1" t="e">
        <f>-에</f>
        <v>#NAME?</v>
      </c>
      <c r="C1643" s="1" t="s">
        <v>9881</v>
      </c>
      <c r="D1643" s="1" t="s">
        <v>9882</v>
      </c>
      <c r="E1643" s="1" t="s">
        <v>9883</v>
      </c>
      <c r="F1643" s="1" t="s">
        <v>9884</v>
      </c>
      <c r="G1643" s="1" t="s">
        <v>9885</v>
      </c>
      <c r="H1643" s="1" t="s">
        <v>9886</v>
      </c>
    </row>
    <row r="1644" spans="1:8" x14ac:dyDescent="0.3">
      <c r="A1644" s="2">
        <v>23317</v>
      </c>
      <c r="B1644" s="1" t="s">
        <v>9887</v>
      </c>
      <c r="C1644" s="1" t="s">
        <v>9888</v>
      </c>
      <c r="E1644" s="1" t="s">
        <v>9889</v>
      </c>
      <c r="F1644" s="1" t="s">
        <v>9890</v>
      </c>
      <c r="G1644" s="1" t="s">
        <v>9891</v>
      </c>
      <c r="H1644" s="1" t="s">
        <v>9892</v>
      </c>
    </row>
    <row r="1645" spans="1:8" x14ac:dyDescent="0.3">
      <c r="A1645" s="2" t="s">
        <v>9893</v>
      </c>
      <c r="B1645" s="1" t="e">
        <f>-에</f>
        <v>#NAME?</v>
      </c>
      <c r="C1645" s="1" t="s">
        <v>9894</v>
      </c>
      <c r="D1645" s="1" t="s">
        <v>9895</v>
      </c>
      <c r="E1645" s="1" t="s">
        <v>9896</v>
      </c>
      <c r="F1645" s="1" t="s">
        <v>9897</v>
      </c>
      <c r="G1645" s="1" t="s">
        <v>9898</v>
      </c>
      <c r="H1645" s="1" t="s">
        <v>9899</v>
      </c>
    </row>
    <row r="1646" spans="1:8" x14ac:dyDescent="0.3">
      <c r="A1646" s="2">
        <v>23318</v>
      </c>
      <c r="B1646" s="1" t="s">
        <v>9900</v>
      </c>
      <c r="C1646" s="1" t="s">
        <v>9901</v>
      </c>
      <c r="D1646" s="1" t="s">
        <v>9902</v>
      </c>
      <c r="E1646" s="1" t="s">
        <v>9903</v>
      </c>
      <c r="F1646" s="1" t="s">
        <v>9904</v>
      </c>
      <c r="G1646" s="1" t="s">
        <v>9905</v>
      </c>
      <c r="H1646" s="1" t="s">
        <v>9906</v>
      </c>
    </row>
    <row r="1647" spans="1:8" x14ac:dyDescent="0.3">
      <c r="A1647" s="2">
        <v>23319</v>
      </c>
      <c r="B1647" s="1" t="s">
        <v>9907</v>
      </c>
      <c r="C1647" s="1" t="s">
        <v>9908</v>
      </c>
      <c r="D1647" s="1" t="s">
        <v>9909</v>
      </c>
      <c r="E1647" s="1" t="s">
        <v>9910</v>
      </c>
      <c r="F1647" s="1" t="s">
        <v>9911</v>
      </c>
      <c r="G1647" s="1" t="s">
        <v>9907</v>
      </c>
      <c r="H1647" s="1" t="s">
        <v>9912</v>
      </c>
    </row>
    <row r="1648" spans="1:8" x14ac:dyDescent="0.3">
      <c r="A1648" s="2">
        <v>23320</v>
      </c>
      <c r="B1648" s="1" t="s">
        <v>9913</v>
      </c>
      <c r="C1648" s="1" t="s">
        <v>9914</v>
      </c>
      <c r="D1648" s="1" t="s">
        <v>9915</v>
      </c>
      <c r="E1648" s="1" t="s">
        <v>9916</v>
      </c>
      <c r="F1648" s="1" t="s">
        <v>9917</v>
      </c>
      <c r="G1648" s="1" t="s">
        <v>9918</v>
      </c>
      <c r="H1648" s="1" t="s">
        <v>9918</v>
      </c>
    </row>
    <row r="1649" spans="1:8" x14ac:dyDescent="0.3">
      <c r="A1649" s="2">
        <v>23321</v>
      </c>
      <c r="B1649" s="1" t="s">
        <v>9919</v>
      </c>
      <c r="C1649" s="1" t="s">
        <v>9920</v>
      </c>
      <c r="D1649" s="1" t="s">
        <v>9921</v>
      </c>
      <c r="E1649" s="1" t="s">
        <v>9921</v>
      </c>
      <c r="F1649" s="1" t="s">
        <v>9922</v>
      </c>
      <c r="G1649" s="1" t="s">
        <v>9921</v>
      </c>
      <c r="H1649" s="1" t="s">
        <v>9921</v>
      </c>
    </row>
    <row r="1650" spans="1:8" x14ac:dyDescent="0.3">
      <c r="A1650" s="2">
        <v>23322</v>
      </c>
      <c r="B1650" s="1" t="s">
        <v>9923</v>
      </c>
      <c r="C1650" s="1" t="s">
        <v>9924</v>
      </c>
      <c r="D1650" s="1" t="s">
        <v>9923</v>
      </c>
      <c r="E1650" s="1" t="s">
        <v>9925</v>
      </c>
      <c r="F1650" s="1" t="s">
        <v>9926</v>
      </c>
      <c r="G1650" s="1" t="s">
        <v>9927</v>
      </c>
      <c r="H1650" s="1" t="s">
        <v>9923</v>
      </c>
    </row>
    <row r="1651" spans="1:8" x14ac:dyDescent="0.3">
      <c r="A1651" s="2">
        <v>23323</v>
      </c>
      <c r="B1651" s="1" t="s">
        <v>9928</v>
      </c>
      <c r="C1651" s="1" t="s">
        <v>9929</v>
      </c>
      <c r="D1651" s="1" t="s">
        <v>9928</v>
      </c>
      <c r="E1651" s="1" t="s">
        <v>9928</v>
      </c>
      <c r="F1651" s="1" t="s">
        <v>9930</v>
      </c>
      <c r="G1651" s="1" t="s">
        <v>9931</v>
      </c>
      <c r="H1651" s="1" t="s">
        <v>9928</v>
      </c>
    </row>
    <row r="1652" spans="1:8" x14ac:dyDescent="0.3">
      <c r="A1652" s="2">
        <v>23324</v>
      </c>
      <c r="B1652" s="1" t="s">
        <v>9932</v>
      </c>
      <c r="C1652" s="1" t="s">
        <v>9933</v>
      </c>
      <c r="D1652" s="1" t="s">
        <v>9934</v>
      </c>
      <c r="E1652" s="1" t="s">
        <v>9935</v>
      </c>
      <c r="F1652" s="1" t="s">
        <v>9936</v>
      </c>
      <c r="G1652" s="1" t="s">
        <v>9937</v>
      </c>
      <c r="H1652" s="1" t="s">
        <v>9938</v>
      </c>
    </row>
    <row r="1653" spans="1:8" x14ac:dyDescent="0.3">
      <c r="A1653" s="2">
        <v>23325</v>
      </c>
      <c r="B1653" s="1" t="s">
        <v>9939</v>
      </c>
      <c r="C1653" s="1" t="s">
        <v>9940</v>
      </c>
      <c r="D1653" s="1" t="s">
        <v>9941</v>
      </c>
      <c r="E1653" s="1" t="s">
        <v>9939</v>
      </c>
      <c r="F1653" s="1" t="s">
        <v>9939</v>
      </c>
      <c r="G1653" s="1" t="s">
        <v>9942</v>
      </c>
      <c r="H1653" s="1" t="s">
        <v>9939</v>
      </c>
    </row>
    <row r="1654" spans="1:8" x14ac:dyDescent="0.3">
      <c r="A1654" s="2">
        <v>23326</v>
      </c>
      <c r="B1654" s="1" t="s">
        <v>9943</v>
      </c>
      <c r="C1654" s="1" t="s">
        <v>9944</v>
      </c>
      <c r="D1654" s="1" t="s">
        <v>9945</v>
      </c>
      <c r="E1654" s="1" t="s">
        <v>9946</v>
      </c>
      <c r="F1654" s="1" t="s">
        <v>9947</v>
      </c>
      <c r="G1654" s="1" t="s">
        <v>9948</v>
      </c>
      <c r="H1654" s="1" t="s">
        <v>9943</v>
      </c>
    </row>
    <row r="1655" spans="1:8" x14ac:dyDescent="0.3">
      <c r="A1655" s="2">
        <v>23327</v>
      </c>
      <c r="B1655" s="1" t="s">
        <v>9949</v>
      </c>
      <c r="C1655" s="1" t="s">
        <v>9950</v>
      </c>
      <c r="D1655" s="1" t="s">
        <v>9951</v>
      </c>
      <c r="E1655" s="1" t="s">
        <v>9951</v>
      </c>
      <c r="F1655" s="1" t="s">
        <v>9952</v>
      </c>
      <c r="G1655" s="1" t="s">
        <v>9953</v>
      </c>
      <c r="H1655" s="1" t="s">
        <v>9954</v>
      </c>
    </row>
    <row r="1656" spans="1:8" x14ac:dyDescent="0.3">
      <c r="A1656" s="2">
        <v>23328</v>
      </c>
      <c r="B1656" s="1" t="s">
        <v>9955</v>
      </c>
      <c r="C1656" s="1" t="s">
        <v>9956</v>
      </c>
      <c r="D1656" s="1" t="s">
        <v>9957</v>
      </c>
      <c r="E1656" s="1" t="s">
        <v>9958</v>
      </c>
      <c r="F1656" s="1" t="s">
        <v>9958</v>
      </c>
      <c r="G1656" s="1" t="s">
        <v>9959</v>
      </c>
      <c r="H1656" s="1" t="s">
        <v>9958</v>
      </c>
    </row>
    <row r="1657" spans="1:8" x14ac:dyDescent="0.3">
      <c r="A1657" s="2">
        <v>23329</v>
      </c>
      <c r="B1657" s="1" t="s">
        <v>9960</v>
      </c>
      <c r="C1657" s="1" t="s">
        <v>9961</v>
      </c>
      <c r="D1657" s="1" t="s">
        <v>9962</v>
      </c>
      <c r="E1657" s="1" t="s">
        <v>9963</v>
      </c>
      <c r="F1657" s="1" t="s">
        <v>9963</v>
      </c>
      <c r="G1657" s="1" t="s">
        <v>9963</v>
      </c>
      <c r="H1657" s="1" t="s">
        <v>9963</v>
      </c>
    </row>
    <row r="1658" spans="1:8" x14ac:dyDescent="0.3">
      <c r="A1658" s="2">
        <v>23330</v>
      </c>
      <c r="B1658" s="1" t="s">
        <v>9964</v>
      </c>
      <c r="C1658" s="1" t="s">
        <v>9965</v>
      </c>
      <c r="D1658" s="1" t="s">
        <v>9966</v>
      </c>
      <c r="E1658" s="1" t="s">
        <v>9967</v>
      </c>
      <c r="F1658" s="1" t="s">
        <v>9968</v>
      </c>
      <c r="G1658" s="1" t="s">
        <v>9968</v>
      </c>
      <c r="H1658" s="1" t="s">
        <v>9968</v>
      </c>
    </row>
    <row r="1659" spans="1:8" x14ac:dyDescent="0.3">
      <c r="A1659" s="2">
        <v>23331</v>
      </c>
      <c r="B1659" s="1" t="s">
        <v>9969</v>
      </c>
      <c r="C1659" s="1" t="s">
        <v>9970</v>
      </c>
      <c r="D1659" s="1" t="s">
        <v>9971</v>
      </c>
      <c r="E1659" s="1" t="s">
        <v>9972</v>
      </c>
      <c r="F1659" s="1" t="s">
        <v>9973</v>
      </c>
      <c r="G1659" s="1" t="s">
        <v>9972</v>
      </c>
      <c r="H1659" s="1" t="s">
        <v>9972</v>
      </c>
    </row>
    <row r="1660" spans="1:8" x14ac:dyDescent="0.3">
      <c r="A1660" s="2">
        <v>23332</v>
      </c>
      <c r="B1660" s="1" t="s">
        <v>9974</v>
      </c>
      <c r="C1660" s="1" t="s">
        <v>9975</v>
      </c>
      <c r="D1660" s="1" t="s">
        <v>9976</v>
      </c>
      <c r="E1660" s="1" t="s">
        <v>9977</v>
      </c>
      <c r="F1660" s="1" t="s">
        <v>9978</v>
      </c>
      <c r="G1660" s="1" t="s">
        <v>9977</v>
      </c>
      <c r="H1660" s="1" t="s">
        <v>9977</v>
      </c>
    </row>
    <row r="1661" spans="1:8" x14ac:dyDescent="0.3">
      <c r="A1661" s="2">
        <v>23333</v>
      </c>
      <c r="B1661" s="1" t="s">
        <v>9979</v>
      </c>
      <c r="C1661" s="1" t="s">
        <v>9980</v>
      </c>
      <c r="D1661" s="1" t="s">
        <v>9981</v>
      </c>
      <c r="E1661" s="1" t="s">
        <v>9982</v>
      </c>
      <c r="F1661" s="1" t="s">
        <v>9983</v>
      </c>
      <c r="G1661" s="1" t="s">
        <v>9982</v>
      </c>
      <c r="H1661" s="1" t="s">
        <v>9982</v>
      </c>
    </row>
    <row r="1662" spans="1:8" x14ac:dyDescent="0.3">
      <c r="A1662" s="2">
        <v>23334</v>
      </c>
      <c r="B1662" s="1" t="s">
        <v>9984</v>
      </c>
      <c r="C1662" s="1" t="s">
        <v>9985</v>
      </c>
      <c r="D1662" s="1" t="s">
        <v>9986</v>
      </c>
      <c r="E1662" s="1" t="s">
        <v>9987</v>
      </c>
      <c r="F1662" s="1" t="s">
        <v>9987</v>
      </c>
      <c r="G1662" s="1" t="s">
        <v>9987</v>
      </c>
      <c r="H1662" s="1" t="s">
        <v>9987</v>
      </c>
    </row>
    <row r="1663" spans="1:8" x14ac:dyDescent="0.3">
      <c r="A1663" s="2">
        <v>23335</v>
      </c>
      <c r="B1663" s="1" t="s">
        <v>9988</v>
      </c>
      <c r="C1663" s="1" t="s">
        <v>9989</v>
      </c>
      <c r="D1663" s="1" t="s">
        <v>9990</v>
      </c>
      <c r="E1663" s="1" t="s">
        <v>9991</v>
      </c>
      <c r="F1663" s="1" t="s">
        <v>9991</v>
      </c>
      <c r="G1663" s="1" t="s">
        <v>9991</v>
      </c>
      <c r="H1663" s="1" t="s">
        <v>9992</v>
      </c>
    </row>
    <row r="1664" spans="1:8" x14ac:dyDescent="0.3">
      <c r="A1664" s="2">
        <v>23336</v>
      </c>
      <c r="B1664" s="1" t="s">
        <v>9993</v>
      </c>
      <c r="C1664" s="1" t="s">
        <v>9994</v>
      </c>
      <c r="D1664" s="1" t="s">
        <v>9995</v>
      </c>
      <c r="E1664" s="1" t="s">
        <v>9996</v>
      </c>
      <c r="F1664" s="1" t="s">
        <v>9996</v>
      </c>
      <c r="G1664" s="1" t="s">
        <v>9997</v>
      </c>
      <c r="H1664" s="1" t="s">
        <v>9998</v>
      </c>
    </row>
    <row r="1665" spans="1:8" x14ac:dyDescent="0.3">
      <c r="A1665" s="2">
        <v>23337</v>
      </c>
      <c r="B1665" s="1" t="s">
        <v>9999</v>
      </c>
      <c r="C1665" s="1" t="s">
        <v>10000</v>
      </c>
      <c r="D1665" s="1" t="s">
        <v>10001</v>
      </c>
      <c r="E1665" s="1" t="s">
        <v>9999</v>
      </c>
      <c r="F1665" s="1" t="s">
        <v>10002</v>
      </c>
      <c r="G1665" s="1" t="s">
        <v>10003</v>
      </c>
      <c r="H1665" s="1" t="s">
        <v>10004</v>
      </c>
    </row>
    <row r="1666" spans="1:8" x14ac:dyDescent="0.3">
      <c r="A1666" s="2">
        <v>23338</v>
      </c>
      <c r="B1666" s="1" t="s">
        <v>10005</v>
      </c>
      <c r="C1666" s="1" t="s">
        <v>10006</v>
      </c>
      <c r="D1666" s="1" t="s">
        <v>10005</v>
      </c>
      <c r="E1666" s="1" t="s">
        <v>10005</v>
      </c>
      <c r="F1666" s="1" t="s">
        <v>10005</v>
      </c>
      <c r="G1666" s="1" t="s">
        <v>10005</v>
      </c>
      <c r="H1666" s="1" t="s">
        <v>10005</v>
      </c>
    </row>
    <row r="1667" spans="1:8" x14ac:dyDescent="0.3">
      <c r="A1667" s="2">
        <v>23339</v>
      </c>
      <c r="B1667" s="1" t="s">
        <v>10007</v>
      </c>
      <c r="C1667" s="1" t="s">
        <v>10008</v>
      </c>
      <c r="D1667" s="1" t="s">
        <v>10007</v>
      </c>
      <c r="E1667" s="1" t="s">
        <v>10007</v>
      </c>
      <c r="F1667" s="1" t="s">
        <v>10007</v>
      </c>
      <c r="G1667" s="1" t="s">
        <v>10007</v>
      </c>
      <c r="H1667" s="1" t="s">
        <v>10007</v>
      </c>
    </row>
    <row r="1668" spans="1:8" x14ac:dyDescent="0.3">
      <c r="A1668" s="2">
        <v>23340</v>
      </c>
      <c r="B1668" s="1" t="s">
        <v>10009</v>
      </c>
      <c r="C1668" s="1" t="s">
        <v>10010</v>
      </c>
      <c r="D1668" s="1" t="s">
        <v>10009</v>
      </c>
      <c r="E1668" s="1" t="s">
        <v>10009</v>
      </c>
      <c r="F1668" s="1" t="s">
        <v>10009</v>
      </c>
      <c r="G1668" s="1" t="s">
        <v>10009</v>
      </c>
      <c r="H1668" s="1" t="s">
        <v>10009</v>
      </c>
    </row>
    <row r="1669" spans="1:8" x14ac:dyDescent="0.3">
      <c r="A1669" s="2">
        <v>23341</v>
      </c>
      <c r="B1669" s="1" t="s">
        <v>10011</v>
      </c>
      <c r="C1669" s="1" t="s">
        <v>10012</v>
      </c>
      <c r="D1669" s="1" t="s">
        <v>10013</v>
      </c>
      <c r="E1669" s="1" t="s">
        <v>10011</v>
      </c>
      <c r="F1669" s="1" t="s">
        <v>10011</v>
      </c>
      <c r="G1669" s="1" t="s">
        <v>10011</v>
      </c>
      <c r="H1669" s="1" t="s">
        <v>10011</v>
      </c>
    </row>
    <row r="1670" spans="1:8" x14ac:dyDescent="0.3">
      <c r="A1670" s="2">
        <v>23342</v>
      </c>
      <c r="B1670" s="1" t="s">
        <v>10014</v>
      </c>
      <c r="C1670" s="1" t="s">
        <v>10015</v>
      </c>
      <c r="D1670" s="1" t="s">
        <v>10016</v>
      </c>
      <c r="E1670" s="1" t="s">
        <v>10017</v>
      </c>
      <c r="F1670" s="1" t="s">
        <v>10018</v>
      </c>
      <c r="G1670" s="1" t="s">
        <v>10017</v>
      </c>
      <c r="H1670" s="1" t="s">
        <v>10017</v>
      </c>
    </row>
    <row r="1671" spans="1:8" x14ac:dyDescent="0.3">
      <c r="A1671" s="2">
        <v>23343</v>
      </c>
      <c r="B1671" s="1" t="s">
        <v>10019</v>
      </c>
      <c r="C1671" s="1" t="s">
        <v>10020</v>
      </c>
      <c r="D1671" s="1" t="s">
        <v>10021</v>
      </c>
      <c r="E1671" s="1" t="s">
        <v>10022</v>
      </c>
      <c r="F1671" s="1" t="s">
        <v>10023</v>
      </c>
      <c r="G1671" s="1" t="s">
        <v>10024</v>
      </c>
      <c r="H1671" s="1" t="s">
        <v>10024</v>
      </c>
    </row>
    <row r="1672" spans="1:8" x14ac:dyDescent="0.3">
      <c r="A1672" s="2">
        <v>23344</v>
      </c>
      <c r="B1672" s="1" t="s">
        <v>10025</v>
      </c>
      <c r="C1672" s="1" t="s">
        <v>10026</v>
      </c>
      <c r="D1672" s="1" t="s">
        <v>10025</v>
      </c>
      <c r="E1672" s="1" t="s">
        <v>10025</v>
      </c>
      <c r="F1672" s="1" t="s">
        <v>10025</v>
      </c>
      <c r="G1672" s="1" t="s">
        <v>10025</v>
      </c>
      <c r="H1672" s="1" t="s">
        <v>10025</v>
      </c>
    </row>
    <row r="1673" spans="1:8" x14ac:dyDescent="0.3">
      <c r="A1673" s="2">
        <v>23345</v>
      </c>
      <c r="B1673" s="1" t="s">
        <v>10027</v>
      </c>
      <c r="C1673" s="1" t="s">
        <v>10028</v>
      </c>
      <c r="D1673" s="1" t="s">
        <v>10027</v>
      </c>
      <c r="E1673" s="1" t="s">
        <v>10027</v>
      </c>
      <c r="F1673" s="1" t="s">
        <v>10027</v>
      </c>
      <c r="G1673" s="1" t="s">
        <v>10027</v>
      </c>
      <c r="H1673" s="1" t="s">
        <v>10027</v>
      </c>
    </row>
    <row r="1674" spans="1:8" x14ac:dyDescent="0.3">
      <c r="A1674" s="2">
        <v>23346</v>
      </c>
      <c r="B1674" s="1" t="s">
        <v>10029</v>
      </c>
      <c r="C1674" s="1" t="s">
        <v>10030</v>
      </c>
      <c r="D1674" s="1" t="s">
        <v>10031</v>
      </c>
      <c r="E1674" s="1" t="s">
        <v>10032</v>
      </c>
      <c r="F1674" s="1" t="s">
        <v>10033</v>
      </c>
      <c r="G1674" s="1" t="s">
        <v>10029</v>
      </c>
      <c r="H1674" s="1" t="s">
        <v>10034</v>
      </c>
    </row>
    <row r="1675" spans="1:8" x14ac:dyDescent="0.3">
      <c r="A1675" s="2">
        <v>23347</v>
      </c>
      <c r="B1675" s="1" t="s">
        <v>10035</v>
      </c>
      <c r="C1675" s="1" t="s">
        <v>10036</v>
      </c>
      <c r="D1675" s="1" t="s">
        <v>10037</v>
      </c>
      <c r="E1675" s="1" t="s">
        <v>10035</v>
      </c>
      <c r="F1675" s="1" t="s">
        <v>10038</v>
      </c>
      <c r="G1675" s="1" t="s">
        <v>10035</v>
      </c>
      <c r="H1675" s="1" t="s">
        <v>10035</v>
      </c>
    </row>
    <row r="1676" spans="1:8" x14ac:dyDescent="0.3">
      <c r="A1676" s="2">
        <v>23348</v>
      </c>
      <c r="B1676" s="1" t="s">
        <v>10039</v>
      </c>
      <c r="C1676" s="1" t="s">
        <v>10040</v>
      </c>
      <c r="E1676" s="1" t="s">
        <v>10039</v>
      </c>
      <c r="F1676" s="1" t="s">
        <v>10041</v>
      </c>
      <c r="G1676" s="1" t="s">
        <v>10042</v>
      </c>
      <c r="H1676" s="1" t="s">
        <v>10043</v>
      </c>
    </row>
    <row r="1677" spans="1:8" x14ac:dyDescent="0.3">
      <c r="A1677" s="2" t="s">
        <v>10044</v>
      </c>
      <c r="B1677" s="1" t="s">
        <v>10045</v>
      </c>
      <c r="C1677" s="1" t="s">
        <v>10046</v>
      </c>
      <c r="D1677" s="1" t="s">
        <v>10047</v>
      </c>
      <c r="E1677" s="1" t="s">
        <v>10047</v>
      </c>
      <c r="F1677" s="1" t="s">
        <v>10048</v>
      </c>
      <c r="G1677" s="1" t="s">
        <v>10047</v>
      </c>
      <c r="H1677" s="1" t="s">
        <v>10047</v>
      </c>
    </row>
    <row r="1678" spans="1:8" x14ac:dyDescent="0.3">
      <c r="A1678" s="2">
        <v>23349</v>
      </c>
      <c r="B1678" s="1" t="s">
        <v>10049</v>
      </c>
      <c r="C1678" s="1" t="s">
        <v>10050</v>
      </c>
      <c r="D1678" s="1" t="s">
        <v>10051</v>
      </c>
      <c r="E1678" s="1" t="s">
        <v>10051</v>
      </c>
      <c r="F1678" s="1" t="s">
        <v>10052</v>
      </c>
      <c r="G1678" s="1" t="s">
        <v>10051</v>
      </c>
      <c r="H1678" s="1" t="s">
        <v>10053</v>
      </c>
    </row>
    <row r="1679" spans="1:8" x14ac:dyDescent="0.3">
      <c r="A1679" s="2" t="s">
        <v>10054</v>
      </c>
      <c r="B1679" s="1" t="s">
        <v>10055</v>
      </c>
      <c r="C1679" s="1" t="s">
        <v>10056</v>
      </c>
      <c r="D1679" s="1" t="s">
        <v>10057</v>
      </c>
      <c r="E1679" s="1" t="s">
        <v>10058</v>
      </c>
      <c r="F1679" s="1" t="s">
        <v>10058</v>
      </c>
      <c r="G1679" s="1" t="s">
        <v>10059</v>
      </c>
      <c r="H1679" s="1" t="s">
        <v>10059</v>
      </c>
    </row>
    <row r="1680" spans="1:8" x14ac:dyDescent="0.3">
      <c r="A1680" s="2">
        <v>23350</v>
      </c>
      <c r="B1680" s="1" t="s">
        <v>10060</v>
      </c>
      <c r="C1680" s="1" t="s">
        <v>10061</v>
      </c>
      <c r="D1680" s="1" t="s">
        <v>10062</v>
      </c>
      <c r="E1680" s="1" t="s">
        <v>10063</v>
      </c>
      <c r="F1680" s="1" t="s">
        <v>10064</v>
      </c>
      <c r="G1680" s="1" t="s">
        <v>10065</v>
      </c>
      <c r="H1680" s="1" t="s">
        <v>10066</v>
      </c>
    </row>
    <row r="1681" spans="1:8" x14ac:dyDescent="0.3">
      <c r="A1681" s="2">
        <v>23351</v>
      </c>
      <c r="B1681" s="1" t="s">
        <v>10067</v>
      </c>
      <c r="C1681" s="1" t="s">
        <v>10068</v>
      </c>
      <c r="D1681" s="1" t="s">
        <v>10069</v>
      </c>
      <c r="E1681" s="1" t="s">
        <v>10070</v>
      </c>
      <c r="F1681" s="1" t="s">
        <v>10071</v>
      </c>
      <c r="G1681" s="1" t="s">
        <v>10072</v>
      </c>
      <c r="H1681" s="1" t="s">
        <v>10073</v>
      </c>
    </row>
    <row r="1682" spans="1:8" x14ac:dyDescent="0.3">
      <c r="A1682" s="2">
        <v>23352</v>
      </c>
      <c r="B1682" s="1" t="s">
        <v>10074</v>
      </c>
      <c r="C1682" s="1" t="s">
        <v>10075</v>
      </c>
      <c r="D1682" s="1" t="s">
        <v>10076</v>
      </c>
      <c r="E1682" s="1" t="s">
        <v>10077</v>
      </c>
      <c r="F1682" s="1" t="s">
        <v>10078</v>
      </c>
      <c r="G1682" s="1" t="s">
        <v>10079</v>
      </c>
      <c r="H1682" s="1" t="s">
        <v>10080</v>
      </c>
    </row>
    <row r="1683" spans="1:8" x14ac:dyDescent="0.3">
      <c r="A1683" s="2">
        <v>23353</v>
      </c>
      <c r="B1683" s="1" t="s">
        <v>10081</v>
      </c>
      <c r="C1683" s="1" t="s">
        <v>10082</v>
      </c>
      <c r="G1683" s="1" t="s">
        <v>10083</v>
      </c>
      <c r="H1683" s="1" t="s">
        <v>10084</v>
      </c>
    </row>
    <row r="1684" spans="1:8" x14ac:dyDescent="0.3">
      <c r="A1684" s="2">
        <v>23354</v>
      </c>
      <c r="B1684" s="1" t="s">
        <v>10085</v>
      </c>
      <c r="C1684" s="1" t="s">
        <v>10086</v>
      </c>
      <c r="E1684" s="1" t="s">
        <v>10087</v>
      </c>
      <c r="F1684" s="1" t="s">
        <v>10088</v>
      </c>
      <c r="G1684" s="1" t="s">
        <v>10089</v>
      </c>
      <c r="H1684" s="1" t="s">
        <v>10090</v>
      </c>
    </row>
    <row r="1685" spans="1:8" x14ac:dyDescent="0.3">
      <c r="A1685" s="2">
        <v>23355</v>
      </c>
      <c r="B1685" s="1" t="s">
        <v>10091</v>
      </c>
      <c r="C1685" s="1" t="s">
        <v>10092</v>
      </c>
      <c r="E1685" s="1" t="s">
        <v>10093</v>
      </c>
      <c r="F1685" s="1" t="s">
        <v>10094</v>
      </c>
      <c r="G1685" s="1" t="s">
        <v>10095</v>
      </c>
      <c r="H1685" s="1" t="s">
        <v>10096</v>
      </c>
    </row>
    <row r="1686" spans="1:8" x14ac:dyDescent="0.3">
      <c r="A1686" s="2">
        <v>23401</v>
      </c>
      <c r="B1686" s="1" t="s">
        <v>10097</v>
      </c>
      <c r="E1686" s="1" t="s">
        <v>57</v>
      </c>
      <c r="F1686" s="1" t="s">
        <v>10098</v>
      </c>
      <c r="G1686" s="1" t="s">
        <v>10099</v>
      </c>
      <c r="H1686" s="1" t="s">
        <v>10100</v>
      </c>
    </row>
    <row r="1687" spans="1:8" x14ac:dyDescent="0.3">
      <c r="A1687" s="2" t="s">
        <v>10101</v>
      </c>
      <c r="B1687" s="1" t="e">
        <f>-이</f>
        <v>#NAME?</v>
      </c>
      <c r="C1687" s="1" t="s">
        <v>10102</v>
      </c>
      <c r="E1687" s="1" t="s">
        <v>10103</v>
      </c>
      <c r="F1687" s="1" t="s">
        <v>10104</v>
      </c>
      <c r="G1687" s="1" t="s">
        <v>10105</v>
      </c>
      <c r="H1687" s="1" t="s">
        <v>10106</v>
      </c>
    </row>
    <row r="1688" spans="1:8" x14ac:dyDescent="0.3">
      <c r="A1688" s="2" t="s">
        <v>10107</v>
      </c>
      <c r="B1688" s="1" t="e">
        <f>-을</f>
        <v>#NAME?</v>
      </c>
      <c r="C1688" s="1" t="s">
        <v>10108</v>
      </c>
      <c r="D1688" s="1" t="s">
        <v>10109</v>
      </c>
      <c r="E1688" s="1" t="s">
        <v>10110</v>
      </c>
      <c r="F1688" s="1" t="s">
        <v>10111</v>
      </c>
      <c r="G1688" s="1" t="s">
        <v>10112</v>
      </c>
      <c r="H1688" s="1" t="s">
        <v>10113</v>
      </c>
    </row>
    <row r="1689" spans="1:8" x14ac:dyDescent="0.3">
      <c r="A1689" s="2">
        <v>23402</v>
      </c>
      <c r="B1689" s="1" t="s">
        <v>10114</v>
      </c>
      <c r="C1689" s="1" t="s">
        <v>10115</v>
      </c>
      <c r="E1689" s="1" t="s">
        <v>10116</v>
      </c>
      <c r="F1689" s="1" t="s">
        <v>10117</v>
      </c>
      <c r="G1689" s="1" t="s">
        <v>10118</v>
      </c>
      <c r="H1689" s="1" t="s">
        <v>10119</v>
      </c>
    </row>
    <row r="1690" spans="1:8" x14ac:dyDescent="0.3">
      <c r="A1690" s="2">
        <v>23403</v>
      </c>
      <c r="B1690" s="1" t="s">
        <v>10120</v>
      </c>
      <c r="C1690" s="1" t="s">
        <v>10121</v>
      </c>
      <c r="D1690" s="1" t="s">
        <v>10122</v>
      </c>
      <c r="E1690" s="1" t="s">
        <v>10123</v>
      </c>
      <c r="F1690" s="1" t="s">
        <v>10124</v>
      </c>
      <c r="G1690" s="1" t="s">
        <v>10125</v>
      </c>
      <c r="H1690" s="1" t="s">
        <v>10126</v>
      </c>
    </row>
    <row r="1691" spans="1:8" x14ac:dyDescent="0.3">
      <c r="A1691" s="2">
        <v>23404</v>
      </c>
      <c r="B1691" s="1" t="s">
        <v>10127</v>
      </c>
      <c r="C1691" s="1" t="s">
        <v>10128</v>
      </c>
      <c r="D1691" s="1" t="s">
        <v>10127</v>
      </c>
      <c r="E1691" s="1" t="s">
        <v>10129</v>
      </c>
      <c r="F1691" s="1" t="s">
        <v>10130</v>
      </c>
      <c r="G1691" s="1" t="s">
        <v>10131</v>
      </c>
      <c r="H1691" s="1" t="s">
        <v>10127</v>
      </c>
    </row>
    <row r="1692" spans="1:8" x14ac:dyDescent="0.3">
      <c r="A1692" s="2">
        <v>23405</v>
      </c>
      <c r="B1692" s="1" t="s">
        <v>10132</v>
      </c>
      <c r="C1692" s="1" t="s">
        <v>10133</v>
      </c>
      <c r="D1692" s="1" t="s">
        <v>10134</v>
      </c>
      <c r="E1692" s="1" t="s">
        <v>10135</v>
      </c>
      <c r="F1692" s="1" t="s">
        <v>10134</v>
      </c>
      <c r="G1692" s="1" t="s">
        <v>10134</v>
      </c>
      <c r="H1692" s="1" t="s">
        <v>10134</v>
      </c>
    </row>
    <row r="1693" spans="1:8" x14ac:dyDescent="0.3">
      <c r="A1693" s="2">
        <v>23406</v>
      </c>
      <c r="B1693" s="1" t="s">
        <v>10136</v>
      </c>
      <c r="C1693" s="1" t="s">
        <v>10137</v>
      </c>
      <c r="D1693" s="1" t="s">
        <v>10138</v>
      </c>
      <c r="E1693" s="1" t="s">
        <v>10139</v>
      </c>
      <c r="F1693" s="1" t="s">
        <v>10140</v>
      </c>
      <c r="G1693" s="1" t="s">
        <v>10141</v>
      </c>
      <c r="H1693" s="1" t="s">
        <v>10142</v>
      </c>
    </row>
    <row r="1694" spans="1:8" x14ac:dyDescent="0.3">
      <c r="A1694" s="2">
        <v>23407</v>
      </c>
      <c r="B1694" s="1" t="s">
        <v>10143</v>
      </c>
      <c r="C1694" s="1" t="s">
        <v>10144</v>
      </c>
      <c r="D1694" s="1" t="s">
        <v>10145</v>
      </c>
      <c r="E1694" s="1" t="s">
        <v>10146</v>
      </c>
      <c r="F1694" s="1" t="s">
        <v>10143</v>
      </c>
      <c r="G1694" s="1" t="s">
        <v>10143</v>
      </c>
      <c r="H1694" s="1" t="s">
        <v>10143</v>
      </c>
    </row>
    <row r="1695" spans="1:8" x14ac:dyDescent="0.3">
      <c r="A1695" s="2">
        <v>23408</v>
      </c>
      <c r="B1695" s="1" t="s">
        <v>10147</v>
      </c>
      <c r="C1695" s="1" t="s">
        <v>10148</v>
      </c>
      <c r="D1695" s="1" t="s">
        <v>10149</v>
      </c>
      <c r="E1695" s="1" t="s">
        <v>10147</v>
      </c>
      <c r="F1695" s="1" t="s">
        <v>10147</v>
      </c>
      <c r="G1695" s="1" t="s">
        <v>10147</v>
      </c>
      <c r="H1695" s="1" t="s">
        <v>10150</v>
      </c>
    </row>
    <row r="1696" spans="1:8" x14ac:dyDescent="0.3">
      <c r="A1696" s="2">
        <v>23409</v>
      </c>
      <c r="B1696" s="1" t="s">
        <v>10151</v>
      </c>
      <c r="C1696" s="1" t="s">
        <v>10152</v>
      </c>
      <c r="D1696" s="1" t="s">
        <v>10153</v>
      </c>
      <c r="E1696" s="1" t="s">
        <v>10154</v>
      </c>
      <c r="F1696" s="1" t="s">
        <v>10155</v>
      </c>
      <c r="G1696" s="1" t="s">
        <v>10156</v>
      </c>
      <c r="H1696" s="1" t="s">
        <v>10155</v>
      </c>
    </row>
    <row r="1697" spans="1:8" x14ac:dyDescent="0.3">
      <c r="A1697" s="2">
        <v>23410</v>
      </c>
      <c r="B1697" s="1" t="s">
        <v>10157</v>
      </c>
      <c r="C1697" s="1" t="s">
        <v>10158</v>
      </c>
      <c r="D1697" s="1" t="s">
        <v>10159</v>
      </c>
      <c r="E1697" s="1" t="s">
        <v>10159</v>
      </c>
      <c r="F1697" s="1" t="s">
        <v>57</v>
      </c>
      <c r="G1697" s="1" t="s">
        <v>10159</v>
      </c>
      <c r="H1697" s="1" t="s">
        <v>10160</v>
      </c>
    </row>
    <row r="1698" spans="1:8" x14ac:dyDescent="0.3">
      <c r="A1698" s="2">
        <v>23411</v>
      </c>
      <c r="B1698" s="1" t="s">
        <v>10161</v>
      </c>
      <c r="C1698" s="1" t="s">
        <v>2536</v>
      </c>
      <c r="D1698" s="1" t="s">
        <v>10162</v>
      </c>
      <c r="E1698" s="1" t="s">
        <v>10163</v>
      </c>
      <c r="F1698" s="1" t="s">
        <v>10161</v>
      </c>
      <c r="G1698" s="1" t="s">
        <v>10161</v>
      </c>
      <c r="H1698" s="1" t="s">
        <v>10164</v>
      </c>
    </row>
    <row r="1699" spans="1:8" x14ac:dyDescent="0.3">
      <c r="A1699" s="2">
        <v>23412</v>
      </c>
      <c r="B1699" s="1" t="s">
        <v>10165</v>
      </c>
      <c r="C1699" s="1" t="s">
        <v>10166</v>
      </c>
      <c r="D1699" s="1" t="s">
        <v>10167</v>
      </c>
      <c r="E1699" s="1" t="s">
        <v>10168</v>
      </c>
      <c r="F1699" s="1" t="s">
        <v>10169</v>
      </c>
      <c r="G1699" s="1" t="s">
        <v>10170</v>
      </c>
      <c r="H1699" s="1" t="s">
        <v>10171</v>
      </c>
    </row>
    <row r="1700" spans="1:8" x14ac:dyDescent="0.3">
      <c r="A1700" s="2">
        <v>23413</v>
      </c>
      <c r="B1700" s="1" t="s">
        <v>10172</v>
      </c>
      <c r="C1700" s="1" t="s">
        <v>10173</v>
      </c>
      <c r="E1700" s="1" t="s">
        <v>10174</v>
      </c>
      <c r="F1700" s="1" t="s">
        <v>10175</v>
      </c>
      <c r="G1700" s="1" t="s">
        <v>10176</v>
      </c>
      <c r="H1700" s="1" t="s">
        <v>10177</v>
      </c>
    </row>
    <row r="1701" spans="1:8" x14ac:dyDescent="0.3">
      <c r="A1701" s="2">
        <v>23414</v>
      </c>
      <c r="B1701" s="1" t="s">
        <v>10178</v>
      </c>
      <c r="C1701" s="1" t="s">
        <v>10179</v>
      </c>
      <c r="D1701" s="1" t="s">
        <v>10180</v>
      </c>
      <c r="E1701" s="1" t="s">
        <v>10181</v>
      </c>
      <c r="F1701" s="1" t="s">
        <v>10182</v>
      </c>
      <c r="G1701" s="1" t="s">
        <v>10183</v>
      </c>
      <c r="H1701" s="1" t="s">
        <v>10184</v>
      </c>
    </row>
    <row r="1702" spans="1:8" x14ac:dyDescent="0.3">
      <c r="A1702" s="2">
        <v>23415</v>
      </c>
      <c r="B1702" s="1" t="s">
        <v>10185</v>
      </c>
      <c r="C1702" s="1" t="s">
        <v>10186</v>
      </c>
      <c r="D1702" s="1" t="s">
        <v>10187</v>
      </c>
      <c r="E1702" s="1" t="s">
        <v>10187</v>
      </c>
      <c r="F1702" s="1" t="s">
        <v>10188</v>
      </c>
      <c r="G1702" s="1" t="s">
        <v>10189</v>
      </c>
      <c r="H1702" s="1" t="s">
        <v>10187</v>
      </c>
    </row>
    <row r="1703" spans="1:8" x14ac:dyDescent="0.3">
      <c r="A1703" s="2">
        <v>23416</v>
      </c>
      <c r="B1703" s="1" t="s">
        <v>10190</v>
      </c>
      <c r="C1703" s="1" t="s">
        <v>10191</v>
      </c>
      <c r="D1703" s="1" t="s">
        <v>10190</v>
      </c>
      <c r="E1703" s="1" t="s">
        <v>10192</v>
      </c>
      <c r="F1703" s="1" t="s">
        <v>10193</v>
      </c>
      <c r="G1703" s="1" t="s">
        <v>10194</v>
      </c>
      <c r="H1703" s="1" t="s">
        <v>10190</v>
      </c>
    </row>
    <row r="1704" spans="1:8" x14ac:dyDescent="0.3">
      <c r="A1704" s="2">
        <v>23417</v>
      </c>
      <c r="B1704" s="1" t="s">
        <v>10195</v>
      </c>
      <c r="C1704" s="1" t="s">
        <v>10196</v>
      </c>
      <c r="D1704" s="1" t="s">
        <v>10197</v>
      </c>
      <c r="E1704" s="1" t="s">
        <v>10198</v>
      </c>
      <c r="F1704" s="1" t="s">
        <v>10199</v>
      </c>
      <c r="G1704" s="1" t="s">
        <v>10200</v>
      </c>
      <c r="H1704" s="1" t="s">
        <v>10201</v>
      </c>
    </row>
    <row r="1705" spans="1:8" x14ac:dyDescent="0.3">
      <c r="A1705" s="2">
        <v>23418</v>
      </c>
      <c r="B1705" s="1" t="s">
        <v>10202</v>
      </c>
      <c r="C1705" s="1" t="s">
        <v>10203</v>
      </c>
      <c r="D1705" s="1" t="s">
        <v>10204</v>
      </c>
      <c r="E1705" s="1" t="s">
        <v>10205</v>
      </c>
      <c r="F1705" s="1" t="s">
        <v>10206</v>
      </c>
      <c r="G1705" s="1" t="s">
        <v>10207</v>
      </c>
      <c r="H1705" s="1" t="s">
        <v>10208</v>
      </c>
    </row>
    <row r="1706" spans="1:8" x14ac:dyDescent="0.3">
      <c r="A1706" s="2">
        <v>23419</v>
      </c>
      <c r="B1706" s="1" t="s">
        <v>10209</v>
      </c>
      <c r="C1706" s="1" t="s">
        <v>10210</v>
      </c>
      <c r="D1706" s="1" t="s">
        <v>10211</v>
      </c>
      <c r="E1706" s="1" t="s">
        <v>10212</v>
      </c>
      <c r="F1706" s="1" t="s">
        <v>10213</v>
      </c>
      <c r="G1706" s="1" t="s">
        <v>10214</v>
      </c>
      <c r="H1706" s="1" t="s">
        <v>10215</v>
      </c>
    </row>
    <row r="1707" spans="1:8" x14ac:dyDescent="0.3">
      <c r="A1707" s="2">
        <v>23420</v>
      </c>
      <c r="B1707" s="1" t="s">
        <v>10216</v>
      </c>
      <c r="C1707" s="1" t="s">
        <v>10217</v>
      </c>
      <c r="D1707" s="1" t="s">
        <v>10218</v>
      </c>
      <c r="E1707" s="1" t="s">
        <v>10219</v>
      </c>
      <c r="F1707" s="1" t="s">
        <v>10220</v>
      </c>
      <c r="G1707" s="1" t="s">
        <v>10221</v>
      </c>
      <c r="H1707" s="1" t="s">
        <v>10222</v>
      </c>
    </row>
    <row r="1708" spans="1:8" x14ac:dyDescent="0.3">
      <c r="A1708" s="2">
        <v>23421</v>
      </c>
      <c r="B1708" s="1" t="s">
        <v>10223</v>
      </c>
      <c r="C1708" s="1" t="s">
        <v>10224</v>
      </c>
      <c r="D1708" s="1" t="s">
        <v>10225</v>
      </c>
      <c r="E1708" s="1" t="s">
        <v>10226</v>
      </c>
      <c r="F1708" s="1" t="s">
        <v>10227</v>
      </c>
      <c r="G1708" s="1" t="s">
        <v>10228</v>
      </c>
      <c r="H1708" s="1" t="s">
        <v>10229</v>
      </c>
    </row>
    <row r="1709" spans="1:8" x14ac:dyDescent="0.3">
      <c r="A1709" s="2">
        <v>23422</v>
      </c>
      <c r="B1709" s="1" t="s">
        <v>10230</v>
      </c>
      <c r="C1709" s="1" t="s">
        <v>10231</v>
      </c>
      <c r="D1709" s="1" t="s">
        <v>10232</v>
      </c>
      <c r="E1709" s="1" t="s">
        <v>10233</v>
      </c>
      <c r="F1709" s="1" t="s">
        <v>10234</v>
      </c>
      <c r="G1709" s="1" t="s">
        <v>10235</v>
      </c>
      <c r="H1709" s="1" t="s">
        <v>10236</v>
      </c>
    </row>
    <row r="1710" spans="1:8" x14ac:dyDescent="0.3">
      <c r="A1710" s="2">
        <v>23423</v>
      </c>
      <c r="B1710" s="1" t="s">
        <v>10237</v>
      </c>
      <c r="C1710" s="1" t="s">
        <v>10238</v>
      </c>
      <c r="D1710" s="1" t="s">
        <v>10239</v>
      </c>
      <c r="E1710" s="1" t="s">
        <v>10240</v>
      </c>
      <c r="F1710" s="1" t="s">
        <v>10241</v>
      </c>
      <c r="G1710" s="1" t="s">
        <v>10242</v>
      </c>
      <c r="H1710" s="1" t="s">
        <v>10243</v>
      </c>
    </row>
    <row r="1711" spans="1:8" x14ac:dyDescent="0.3">
      <c r="A1711" s="2">
        <v>23424</v>
      </c>
      <c r="B1711" s="1" t="s">
        <v>10244</v>
      </c>
      <c r="C1711" s="1" t="s">
        <v>10245</v>
      </c>
      <c r="D1711" s="1" t="s">
        <v>10246</v>
      </c>
      <c r="E1711" s="1" t="s">
        <v>10244</v>
      </c>
      <c r="F1711" s="1" t="s">
        <v>10247</v>
      </c>
      <c r="G1711" s="1" t="s">
        <v>10248</v>
      </c>
      <c r="H1711" s="1" t="s">
        <v>10249</v>
      </c>
    </row>
    <row r="1712" spans="1:8" x14ac:dyDescent="0.3">
      <c r="A1712" s="2">
        <v>23425</v>
      </c>
      <c r="B1712" s="1" t="s">
        <v>10250</v>
      </c>
      <c r="C1712" s="1" t="s">
        <v>10251</v>
      </c>
      <c r="D1712" s="1" t="s">
        <v>10252</v>
      </c>
      <c r="E1712" s="1" t="s">
        <v>10253</v>
      </c>
      <c r="F1712" s="1" t="s">
        <v>10254</v>
      </c>
      <c r="G1712" s="1" t="s">
        <v>10255</v>
      </c>
      <c r="H1712" s="1" t="s">
        <v>10256</v>
      </c>
    </row>
    <row r="1713" spans="1:8" x14ac:dyDescent="0.3">
      <c r="A1713" s="2">
        <v>23426</v>
      </c>
      <c r="B1713" s="1" t="s">
        <v>10257</v>
      </c>
      <c r="C1713" s="1" t="s">
        <v>10258</v>
      </c>
      <c r="D1713" s="1" t="s">
        <v>10259</v>
      </c>
      <c r="E1713" s="1" t="s">
        <v>10260</v>
      </c>
      <c r="F1713" s="1" t="s">
        <v>10261</v>
      </c>
      <c r="G1713" s="1" t="s">
        <v>10262</v>
      </c>
      <c r="H1713" s="1" t="s">
        <v>10263</v>
      </c>
    </row>
    <row r="1714" spans="1:8" x14ac:dyDescent="0.3">
      <c r="A1714" s="2">
        <v>23427</v>
      </c>
      <c r="B1714" s="1" t="s">
        <v>10264</v>
      </c>
      <c r="C1714" s="1" t="s">
        <v>10265</v>
      </c>
      <c r="D1714" s="1" t="s">
        <v>10266</v>
      </c>
      <c r="E1714" s="1" t="s">
        <v>10267</v>
      </c>
      <c r="F1714" s="1" t="s">
        <v>10268</v>
      </c>
      <c r="G1714" s="1" t="s">
        <v>10269</v>
      </c>
      <c r="H1714" s="1" t="s">
        <v>10270</v>
      </c>
    </row>
    <row r="1715" spans="1:8" x14ac:dyDescent="0.3">
      <c r="A1715" s="2">
        <v>23428</v>
      </c>
      <c r="B1715" s="1" t="s">
        <v>10271</v>
      </c>
      <c r="C1715" s="1" t="s">
        <v>10272</v>
      </c>
      <c r="D1715" s="1" t="s">
        <v>10273</v>
      </c>
      <c r="E1715" s="1" t="s">
        <v>10274</v>
      </c>
      <c r="F1715" s="1" t="s">
        <v>10274</v>
      </c>
      <c r="G1715" s="1" t="s">
        <v>10275</v>
      </c>
      <c r="H1715" s="1" t="s">
        <v>10274</v>
      </c>
    </row>
    <row r="1716" spans="1:8" x14ac:dyDescent="0.3">
      <c r="A1716" s="2">
        <v>23429</v>
      </c>
      <c r="B1716" s="1" t="s">
        <v>10276</v>
      </c>
      <c r="C1716" s="1" t="s">
        <v>10277</v>
      </c>
      <c r="D1716" s="1" t="s">
        <v>10278</v>
      </c>
      <c r="E1716" s="1" t="s">
        <v>10279</v>
      </c>
      <c r="F1716" s="1" t="s">
        <v>10279</v>
      </c>
      <c r="G1716" s="1" t="s">
        <v>10280</v>
      </c>
      <c r="H1716" s="1" t="s">
        <v>10279</v>
      </c>
    </row>
    <row r="1717" spans="1:8" x14ac:dyDescent="0.3">
      <c r="A1717" s="2">
        <v>23430</v>
      </c>
      <c r="B1717" s="1" t="s">
        <v>10281</v>
      </c>
      <c r="C1717" s="1" t="s">
        <v>10282</v>
      </c>
      <c r="D1717" s="1" t="s">
        <v>10283</v>
      </c>
      <c r="E1717" s="1" t="s">
        <v>10284</v>
      </c>
      <c r="F1717" s="1" t="s">
        <v>10285</v>
      </c>
      <c r="G1717" s="1" t="s">
        <v>10286</v>
      </c>
      <c r="H1717" s="1" t="s">
        <v>10287</v>
      </c>
    </row>
    <row r="1718" spans="1:8" x14ac:dyDescent="0.3">
      <c r="A1718" s="2">
        <v>23431</v>
      </c>
      <c r="B1718" s="1" t="s">
        <v>10288</v>
      </c>
      <c r="C1718" s="1" t="s">
        <v>10289</v>
      </c>
      <c r="D1718" s="1" t="s">
        <v>10290</v>
      </c>
      <c r="E1718" s="1" t="s">
        <v>10291</v>
      </c>
      <c r="F1718" s="1" t="s">
        <v>3783</v>
      </c>
      <c r="G1718" s="1" t="s">
        <v>10292</v>
      </c>
      <c r="H1718" s="1" t="s">
        <v>10293</v>
      </c>
    </row>
    <row r="1719" spans="1:8" x14ac:dyDescent="0.3">
      <c r="A1719" s="2" t="s">
        <v>10294</v>
      </c>
      <c r="B1719" s="1" t="e">
        <f>-어서</f>
        <v>#NAME?</v>
      </c>
      <c r="C1719" s="1" t="s">
        <v>10295</v>
      </c>
      <c r="D1719" s="1" t="s">
        <v>10296</v>
      </c>
      <c r="E1719" s="1" t="s">
        <v>10297</v>
      </c>
      <c r="F1719" s="1" t="s">
        <v>10298</v>
      </c>
      <c r="G1719" s="1" t="s">
        <v>10299</v>
      </c>
      <c r="H1719" s="1" t="s">
        <v>10300</v>
      </c>
    </row>
    <row r="1720" spans="1:8" x14ac:dyDescent="0.3">
      <c r="A1720" s="2">
        <v>23432</v>
      </c>
      <c r="B1720" s="1" t="s">
        <v>10301</v>
      </c>
      <c r="C1720" s="1" t="s">
        <v>10302</v>
      </c>
      <c r="D1720" s="1" t="s">
        <v>10303</v>
      </c>
      <c r="E1720" s="1" t="s">
        <v>10304</v>
      </c>
      <c r="F1720" s="1" t="s">
        <v>10305</v>
      </c>
      <c r="G1720" s="1" t="s">
        <v>10306</v>
      </c>
      <c r="H1720" s="1" t="s">
        <v>10307</v>
      </c>
    </row>
    <row r="1721" spans="1:8" x14ac:dyDescent="0.3">
      <c r="A1721" s="2">
        <v>23433</v>
      </c>
      <c r="B1721" s="1" t="s">
        <v>10308</v>
      </c>
      <c r="C1721" s="1" t="s">
        <v>10309</v>
      </c>
      <c r="E1721" s="1" t="s">
        <v>10310</v>
      </c>
      <c r="F1721" s="1" t="s">
        <v>10311</v>
      </c>
      <c r="G1721" s="1" t="s">
        <v>10312</v>
      </c>
      <c r="H1721" s="1" t="s">
        <v>10313</v>
      </c>
    </row>
    <row r="1722" spans="1:8" x14ac:dyDescent="0.3">
      <c r="A1722" s="2">
        <v>23434</v>
      </c>
      <c r="B1722" s="1" t="s">
        <v>10314</v>
      </c>
      <c r="C1722" s="1" t="s">
        <v>10315</v>
      </c>
      <c r="D1722" s="1" t="s">
        <v>10316</v>
      </c>
      <c r="E1722" s="1" t="s">
        <v>10317</v>
      </c>
      <c r="F1722" s="1" t="s">
        <v>10318</v>
      </c>
      <c r="G1722" s="1" t="s">
        <v>10319</v>
      </c>
      <c r="H1722" s="1" t="s">
        <v>10314</v>
      </c>
    </row>
    <row r="1723" spans="1:8" x14ac:dyDescent="0.3">
      <c r="A1723" s="2">
        <v>23435</v>
      </c>
      <c r="B1723" s="1" t="s">
        <v>10320</v>
      </c>
      <c r="C1723" s="1" t="s">
        <v>10321</v>
      </c>
      <c r="D1723" s="1" t="s">
        <v>10322</v>
      </c>
      <c r="E1723" s="1" t="s">
        <v>10323</v>
      </c>
      <c r="F1723" s="1" t="s">
        <v>10324</v>
      </c>
      <c r="G1723" s="1" t="s">
        <v>10325</v>
      </c>
      <c r="H1723" s="1" t="s">
        <v>10323</v>
      </c>
    </row>
    <row r="1724" spans="1:8" x14ac:dyDescent="0.3">
      <c r="A1724" s="2">
        <v>23436</v>
      </c>
      <c r="B1724" s="1" t="s">
        <v>10326</v>
      </c>
      <c r="C1724" s="1" t="s">
        <v>10327</v>
      </c>
      <c r="E1724" s="1" t="s">
        <v>10328</v>
      </c>
      <c r="F1724" s="1" t="s">
        <v>10329</v>
      </c>
      <c r="G1724" s="1" t="s">
        <v>10330</v>
      </c>
      <c r="H1724" s="1" t="s">
        <v>10331</v>
      </c>
    </row>
    <row r="1725" spans="1:8" x14ac:dyDescent="0.3">
      <c r="A1725" s="2" t="s">
        <v>10332</v>
      </c>
      <c r="B1725" s="1" t="e">
        <f>-에</f>
        <v>#NAME?</v>
      </c>
      <c r="C1725" s="1" t="s">
        <v>10333</v>
      </c>
      <c r="D1725" s="1" t="s">
        <v>10334</v>
      </c>
      <c r="E1725" s="1" t="s">
        <v>10335</v>
      </c>
      <c r="F1725" s="1" t="s">
        <v>10336</v>
      </c>
      <c r="G1725" s="1" t="s">
        <v>10337</v>
      </c>
      <c r="H1725" s="1" t="s">
        <v>10338</v>
      </c>
    </row>
    <row r="1726" spans="1:8" x14ac:dyDescent="0.3">
      <c r="A1726" s="2">
        <v>23437</v>
      </c>
      <c r="B1726" s="1" t="s">
        <v>10339</v>
      </c>
      <c r="C1726" s="1" t="s">
        <v>10340</v>
      </c>
      <c r="D1726" s="1" t="s">
        <v>10341</v>
      </c>
      <c r="E1726" s="1" t="s">
        <v>10342</v>
      </c>
      <c r="F1726" s="1" t="s">
        <v>10343</v>
      </c>
      <c r="G1726" s="1" t="s">
        <v>10344</v>
      </c>
      <c r="H1726" s="1" t="s">
        <v>10345</v>
      </c>
    </row>
    <row r="1727" spans="1:8" x14ac:dyDescent="0.3">
      <c r="A1727" s="2">
        <v>23438</v>
      </c>
      <c r="B1727" s="1" t="s">
        <v>10346</v>
      </c>
      <c r="C1727" s="1" t="s">
        <v>10347</v>
      </c>
      <c r="D1727" s="1" t="s">
        <v>10348</v>
      </c>
      <c r="E1727" s="1" t="s">
        <v>10349</v>
      </c>
      <c r="F1727" s="1" t="s">
        <v>10350</v>
      </c>
      <c r="G1727" s="1" t="s">
        <v>10351</v>
      </c>
      <c r="H1727" s="1" t="s">
        <v>10352</v>
      </c>
    </row>
    <row r="1728" spans="1:8" x14ac:dyDescent="0.3">
      <c r="A1728" s="2">
        <v>23439</v>
      </c>
      <c r="B1728" s="1" t="s">
        <v>10353</v>
      </c>
      <c r="C1728" s="1" t="s">
        <v>10354</v>
      </c>
      <c r="E1728" s="1" t="s">
        <v>10355</v>
      </c>
      <c r="F1728" s="1" t="s">
        <v>10356</v>
      </c>
      <c r="G1728" s="1" t="s">
        <v>10357</v>
      </c>
      <c r="H1728" s="1" t="s">
        <v>10358</v>
      </c>
    </row>
    <row r="1729" spans="1:8" x14ac:dyDescent="0.3">
      <c r="A1729" s="2">
        <v>23440</v>
      </c>
      <c r="B1729" s="1" t="s">
        <v>10359</v>
      </c>
      <c r="C1729" s="1" t="s">
        <v>10360</v>
      </c>
      <c r="E1729" s="1" t="s">
        <v>10361</v>
      </c>
      <c r="F1729" s="1" t="s">
        <v>10362</v>
      </c>
      <c r="G1729" s="1" t="s">
        <v>10363</v>
      </c>
      <c r="H1729" s="1" t="s">
        <v>10364</v>
      </c>
    </row>
    <row r="1730" spans="1:8" x14ac:dyDescent="0.3">
      <c r="A1730" s="2">
        <v>23441</v>
      </c>
      <c r="B1730" s="1" t="s">
        <v>10365</v>
      </c>
      <c r="C1730" s="1" t="s">
        <v>10366</v>
      </c>
      <c r="D1730" s="1" t="s">
        <v>10367</v>
      </c>
      <c r="E1730" s="1" t="s">
        <v>10365</v>
      </c>
      <c r="F1730" s="1" t="s">
        <v>10368</v>
      </c>
      <c r="G1730" s="1" t="s">
        <v>57</v>
      </c>
      <c r="H1730" s="1" t="s">
        <v>10369</v>
      </c>
    </row>
    <row r="1731" spans="1:8" x14ac:dyDescent="0.3">
      <c r="A1731" s="2">
        <v>31001</v>
      </c>
      <c r="B1731" s="1" t="s">
        <v>10370</v>
      </c>
      <c r="C1731" s="1" t="s">
        <v>10371</v>
      </c>
    </row>
    <row r="1732" spans="1:8" x14ac:dyDescent="0.3">
      <c r="A1732" s="2" t="s">
        <v>10372</v>
      </c>
      <c r="B1732" s="1" t="e">
        <f>-이/가</f>
        <v>#NAME?</v>
      </c>
      <c r="C1732" s="1" t="s">
        <v>10373</v>
      </c>
      <c r="D1732" s="1" t="s">
        <v>10374</v>
      </c>
      <c r="E1732" s="1" t="s">
        <v>10375</v>
      </c>
      <c r="F1732" s="1" t="s">
        <v>10376</v>
      </c>
      <c r="G1732" s="1" t="s">
        <v>10377</v>
      </c>
      <c r="H1732" s="1" t="s">
        <v>10378</v>
      </c>
    </row>
    <row r="1733" spans="1:8" x14ac:dyDescent="0.3">
      <c r="A1733" s="2" t="s">
        <v>10379</v>
      </c>
      <c r="B1733" s="1" t="e">
        <f>-보다</f>
        <v>#NAME?</v>
      </c>
      <c r="C1733" s="1" t="s">
        <v>10380</v>
      </c>
      <c r="D1733" s="1" t="s">
        <v>10381</v>
      </c>
      <c r="E1733" s="1" t="s">
        <v>10382</v>
      </c>
      <c r="F1733" s="1" t="s">
        <v>10383</v>
      </c>
      <c r="G1733" s="1" t="s">
        <v>10384</v>
      </c>
      <c r="H1733" s="1" t="s">
        <v>10385</v>
      </c>
    </row>
    <row r="1734" spans="1:8" x14ac:dyDescent="0.3">
      <c r="A1734" s="2">
        <v>31002</v>
      </c>
      <c r="B1734" s="1" t="s">
        <v>10386</v>
      </c>
      <c r="C1734" s="1" t="s">
        <v>10387</v>
      </c>
    </row>
    <row r="1735" spans="1:8" x14ac:dyDescent="0.3">
      <c r="A1735" s="2" t="s">
        <v>10388</v>
      </c>
      <c r="B1735" s="1" t="e">
        <f>-이/가</f>
        <v>#NAME?</v>
      </c>
      <c r="C1735" s="1" t="s">
        <v>10389</v>
      </c>
      <c r="D1735" s="1" t="s">
        <v>10387</v>
      </c>
      <c r="E1735" s="1" t="s">
        <v>10390</v>
      </c>
      <c r="F1735" s="1" t="s">
        <v>10391</v>
      </c>
      <c r="G1735" s="1" t="s">
        <v>10392</v>
      </c>
      <c r="H1735" s="1" t="s">
        <v>10393</v>
      </c>
    </row>
    <row r="1736" spans="1:8" x14ac:dyDescent="0.3">
      <c r="A1736" s="2" t="s">
        <v>10394</v>
      </c>
      <c r="B1736" s="1" t="e">
        <f>-보다</f>
        <v>#NAME?</v>
      </c>
      <c r="C1736" s="1" t="s">
        <v>10395</v>
      </c>
      <c r="D1736" s="1" t="s">
        <v>10396</v>
      </c>
      <c r="E1736" s="1" t="s">
        <v>10397</v>
      </c>
      <c r="F1736" s="1" t="s">
        <v>10398</v>
      </c>
      <c r="G1736" s="1" t="s">
        <v>10399</v>
      </c>
      <c r="H1736" s="1" t="s">
        <v>10400</v>
      </c>
    </row>
    <row r="1737" spans="1:8" x14ac:dyDescent="0.3">
      <c r="A1737" s="2">
        <v>31003</v>
      </c>
      <c r="B1737" s="1" t="s">
        <v>10401</v>
      </c>
      <c r="C1737" s="1" t="s">
        <v>10402</v>
      </c>
    </row>
    <row r="1738" spans="1:8" x14ac:dyDescent="0.3">
      <c r="A1738" s="2" t="s">
        <v>10403</v>
      </c>
      <c r="B1738" s="1" t="e">
        <f>-이/가</f>
        <v>#NAME?</v>
      </c>
      <c r="C1738" s="1" t="s">
        <v>10404</v>
      </c>
      <c r="D1738" s="1" t="s">
        <v>10405</v>
      </c>
      <c r="E1738" s="1" t="s">
        <v>10406</v>
      </c>
      <c r="F1738" s="1" t="s">
        <v>10407</v>
      </c>
      <c r="G1738" s="1" t="s">
        <v>10408</v>
      </c>
      <c r="H1738" s="1" t="s">
        <v>10409</v>
      </c>
    </row>
    <row r="1739" spans="1:8" x14ac:dyDescent="0.3">
      <c r="A1739" s="2" t="s">
        <v>10410</v>
      </c>
      <c r="B1739" s="1" t="e">
        <f>-보다</f>
        <v>#NAME?</v>
      </c>
      <c r="C1739" s="1" t="s">
        <v>10411</v>
      </c>
      <c r="F1739" s="1" t="s">
        <v>10412</v>
      </c>
      <c r="G1739" s="1" t="s">
        <v>10413</v>
      </c>
      <c r="H1739" s="1" t="s">
        <v>10414</v>
      </c>
    </row>
    <row r="1740" spans="1:8" x14ac:dyDescent="0.3">
      <c r="A1740" s="2">
        <v>31004</v>
      </c>
      <c r="B1740" s="1" t="s">
        <v>10415</v>
      </c>
      <c r="C1740" s="1" t="s">
        <v>10416</v>
      </c>
    </row>
    <row r="1741" spans="1:8" x14ac:dyDescent="0.3">
      <c r="A1741" s="2" t="s">
        <v>10417</v>
      </c>
      <c r="B1741" s="1" t="e">
        <f>-이/가</f>
        <v>#NAME?</v>
      </c>
      <c r="C1741" s="1" t="s">
        <v>10418</v>
      </c>
      <c r="D1741" s="1" t="s">
        <v>10419</v>
      </c>
      <c r="E1741" s="1" t="s">
        <v>10420</v>
      </c>
      <c r="F1741" s="1" t="s">
        <v>10421</v>
      </c>
      <c r="G1741" s="1" t="s">
        <v>10422</v>
      </c>
      <c r="H1741" s="1" t="s">
        <v>10423</v>
      </c>
    </row>
    <row r="1742" spans="1:8" x14ac:dyDescent="0.3">
      <c r="A1742" s="2" t="s">
        <v>10424</v>
      </c>
      <c r="B1742" s="1" t="e">
        <f>-보다</f>
        <v>#NAME?</v>
      </c>
      <c r="C1742" s="1" t="s">
        <v>10425</v>
      </c>
      <c r="F1742" s="1" t="s">
        <v>10426</v>
      </c>
      <c r="G1742" s="1" t="s">
        <v>10427</v>
      </c>
      <c r="H1742" s="1" t="s">
        <v>10428</v>
      </c>
    </row>
    <row r="1743" spans="1:8" x14ac:dyDescent="0.3">
      <c r="A1743" s="2">
        <v>31005</v>
      </c>
      <c r="B1743" s="1" t="s">
        <v>10429</v>
      </c>
      <c r="C1743" s="1" t="s">
        <v>10430</v>
      </c>
    </row>
    <row r="1744" spans="1:8" x14ac:dyDescent="0.3">
      <c r="A1744" s="2" t="s">
        <v>10431</v>
      </c>
      <c r="B1744" s="1" t="e">
        <f>-이/가</f>
        <v>#NAME?</v>
      </c>
      <c r="C1744" s="1" t="s">
        <v>10432</v>
      </c>
      <c r="E1744" s="1" t="s">
        <v>10433</v>
      </c>
      <c r="F1744" s="1" t="s">
        <v>10434</v>
      </c>
      <c r="G1744" s="1" t="s">
        <v>10435</v>
      </c>
      <c r="H1744" s="1" t="s">
        <v>10436</v>
      </c>
    </row>
    <row r="1745" spans="1:8" x14ac:dyDescent="0.3">
      <c r="A1745" s="2" t="s">
        <v>10437</v>
      </c>
      <c r="B1745" s="1" t="e">
        <f>-보다</f>
        <v>#NAME?</v>
      </c>
      <c r="C1745" s="1" t="s">
        <v>10438</v>
      </c>
      <c r="D1745" s="1" t="s">
        <v>10439</v>
      </c>
      <c r="E1745" s="1" t="s">
        <v>10440</v>
      </c>
      <c r="F1745" s="1" t="s">
        <v>10441</v>
      </c>
      <c r="G1745" s="1" t="s">
        <v>10442</v>
      </c>
      <c r="H1745" s="1" t="s">
        <v>10443</v>
      </c>
    </row>
    <row r="1746" spans="1:8" x14ac:dyDescent="0.3">
      <c r="A1746" s="2">
        <v>31006</v>
      </c>
      <c r="B1746" s="1" t="s">
        <v>10444</v>
      </c>
    </row>
    <row r="1747" spans="1:8" x14ac:dyDescent="0.3">
      <c r="A1747" s="2" t="s">
        <v>10445</v>
      </c>
      <c r="B1747" s="1" t="e">
        <f>-이/가</f>
        <v>#NAME?</v>
      </c>
      <c r="C1747" s="1" t="s">
        <v>10446</v>
      </c>
      <c r="D1747" s="1" t="s">
        <v>10447</v>
      </c>
      <c r="E1747" s="1" t="s">
        <v>10448</v>
      </c>
      <c r="F1747" s="1" t="s">
        <v>10449</v>
      </c>
      <c r="G1747" s="1" t="s">
        <v>10450</v>
      </c>
      <c r="H1747" s="1" t="s">
        <v>10451</v>
      </c>
    </row>
    <row r="1748" spans="1:8" x14ac:dyDescent="0.3">
      <c r="A1748" s="2" t="s">
        <v>10452</v>
      </c>
      <c r="B1748" s="1" t="e">
        <f>-보다</f>
        <v>#NAME?</v>
      </c>
      <c r="C1748" s="1" t="s">
        <v>10453</v>
      </c>
      <c r="D1748" s="1" t="s">
        <v>10454</v>
      </c>
      <c r="E1748" s="1" t="s">
        <v>10455</v>
      </c>
      <c r="F1748" s="1" t="s">
        <v>10456</v>
      </c>
      <c r="G1748" s="1" t="s">
        <v>10457</v>
      </c>
    </row>
    <row r="1749" spans="1:8" x14ac:dyDescent="0.3">
      <c r="A1749" s="2">
        <v>31007</v>
      </c>
      <c r="B1749" s="1" t="s">
        <v>10458</v>
      </c>
    </row>
    <row r="1750" spans="1:8" x14ac:dyDescent="0.3">
      <c r="A1750" s="2" t="s">
        <v>10459</v>
      </c>
      <c r="B1750" s="1" t="e">
        <f>-이/가</f>
        <v>#NAME?</v>
      </c>
      <c r="C1750" s="1" t="s">
        <v>10460</v>
      </c>
      <c r="E1750" s="1" t="s">
        <v>10461</v>
      </c>
      <c r="F1750" s="1" t="s">
        <v>10462</v>
      </c>
      <c r="G1750" s="1" t="s">
        <v>10463</v>
      </c>
      <c r="H1750" s="1" t="s">
        <v>10464</v>
      </c>
    </row>
    <row r="1751" spans="1:8" x14ac:dyDescent="0.3">
      <c r="A1751" s="2" t="s">
        <v>10465</v>
      </c>
      <c r="B1751" s="1" t="e">
        <f>-보다</f>
        <v>#NAME?</v>
      </c>
      <c r="C1751" s="1" t="s">
        <v>10466</v>
      </c>
      <c r="D1751" s="1" t="s">
        <v>10467</v>
      </c>
      <c r="E1751" s="1" t="s">
        <v>10468</v>
      </c>
      <c r="F1751" s="1" t="s">
        <v>10469</v>
      </c>
      <c r="G1751" s="1" t="s">
        <v>10470</v>
      </c>
      <c r="H1751" s="1" t="s">
        <v>10471</v>
      </c>
    </row>
    <row r="1752" spans="1:8" x14ac:dyDescent="0.3">
      <c r="A1752" s="2">
        <v>31008</v>
      </c>
      <c r="B1752" s="1" t="s">
        <v>10472</v>
      </c>
      <c r="C1752" s="1" t="s">
        <v>10473</v>
      </c>
    </row>
    <row r="1753" spans="1:8" x14ac:dyDescent="0.3">
      <c r="A1753" s="2" t="s">
        <v>10474</v>
      </c>
      <c r="B1753" s="1" t="e">
        <f>-이/가</f>
        <v>#NAME?</v>
      </c>
      <c r="C1753" s="1" t="s">
        <v>10475</v>
      </c>
      <c r="E1753" s="1" t="s">
        <v>10476</v>
      </c>
      <c r="F1753" s="1" t="s">
        <v>10477</v>
      </c>
      <c r="G1753" s="1" t="s">
        <v>10477</v>
      </c>
      <c r="H1753" s="1" t="s">
        <v>10478</v>
      </c>
    </row>
    <row r="1754" spans="1:8" x14ac:dyDescent="0.3">
      <c r="A1754" s="2" t="s">
        <v>10479</v>
      </c>
      <c r="B1754" s="1" t="e">
        <f>-보다</f>
        <v>#NAME?</v>
      </c>
      <c r="C1754" s="1" t="s">
        <v>10480</v>
      </c>
      <c r="D1754" s="1" t="s">
        <v>4156</v>
      </c>
      <c r="E1754" s="1" t="s">
        <v>10481</v>
      </c>
      <c r="F1754" s="1" t="s">
        <v>10482</v>
      </c>
      <c r="G1754" s="1" t="s">
        <v>10483</v>
      </c>
      <c r="H1754" s="1" t="s">
        <v>10484</v>
      </c>
    </row>
    <row r="1755" spans="1:8" x14ac:dyDescent="0.3">
      <c r="A1755" s="2">
        <v>31009</v>
      </c>
      <c r="B1755" s="1" t="s">
        <v>10485</v>
      </c>
    </row>
    <row r="1756" spans="1:8" x14ac:dyDescent="0.3">
      <c r="A1756" s="2" t="s">
        <v>10486</v>
      </c>
      <c r="B1756" s="1" t="e">
        <f>-이/가</f>
        <v>#NAME?</v>
      </c>
      <c r="C1756" s="1" t="s">
        <v>10487</v>
      </c>
      <c r="E1756" s="1" t="s">
        <v>10488</v>
      </c>
      <c r="F1756" s="1" t="s">
        <v>10488</v>
      </c>
      <c r="G1756" s="1" t="s">
        <v>10489</v>
      </c>
      <c r="H1756" s="1" t="s">
        <v>10490</v>
      </c>
    </row>
    <row r="1757" spans="1:8" x14ac:dyDescent="0.3">
      <c r="A1757" s="2" t="s">
        <v>10491</v>
      </c>
      <c r="B1757" s="1" t="e">
        <f>-보다</f>
        <v>#NAME?</v>
      </c>
      <c r="C1757" s="1" t="s">
        <v>10492</v>
      </c>
      <c r="D1757" s="1" t="s">
        <v>10493</v>
      </c>
      <c r="E1757" s="1" t="s">
        <v>10494</v>
      </c>
      <c r="F1757" s="1" t="s">
        <v>10495</v>
      </c>
      <c r="G1757" s="1" t="s">
        <v>10496</v>
      </c>
      <c r="H1757" s="1" t="s">
        <v>10497</v>
      </c>
    </row>
    <row r="1758" spans="1:8" x14ac:dyDescent="0.3">
      <c r="A1758" s="2">
        <v>31010</v>
      </c>
      <c r="B1758" s="1" t="s">
        <v>10498</v>
      </c>
    </row>
    <row r="1759" spans="1:8" x14ac:dyDescent="0.3">
      <c r="A1759" s="2" t="s">
        <v>10499</v>
      </c>
      <c r="B1759" s="1" t="e">
        <f>-이/가</f>
        <v>#NAME?</v>
      </c>
      <c r="C1759" s="1" t="s">
        <v>10500</v>
      </c>
      <c r="E1759" s="1" t="s">
        <v>10501</v>
      </c>
      <c r="F1759" s="1" t="s">
        <v>10501</v>
      </c>
      <c r="G1759" s="1" t="s">
        <v>10501</v>
      </c>
      <c r="H1759" s="1" t="s">
        <v>10501</v>
      </c>
    </row>
    <row r="1760" spans="1:8" x14ac:dyDescent="0.3">
      <c r="A1760" s="2" t="s">
        <v>10502</v>
      </c>
      <c r="B1760" s="1" t="e">
        <f>-보다</f>
        <v>#NAME?</v>
      </c>
      <c r="C1760" s="1" t="s">
        <v>10503</v>
      </c>
      <c r="D1760" s="1" t="s">
        <v>10504</v>
      </c>
      <c r="E1760" s="1" t="s">
        <v>10505</v>
      </c>
      <c r="F1760" s="1" t="s">
        <v>10506</v>
      </c>
      <c r="G1760" s="1" t="s">
        <v>10507</v>
      </c>
      <c r="H1760" s="1" t="s">
        <v>10508</v>
      </c>
    </row>
    <row r="1761" spans="1:8" x14ac:dyDescent="0.3">
      <c r="A1761" s="2">
        <v>31011</v>
      </c>
      <c r="B1761" s="1" t="s">
        <v>10509</v>
      </c>
    </row>
    <row r="1762" spans="1:8" x14ac:dyDescent="0.3">
      <c r="A1762" s="2" t="s">
        <v>10510</v>
      </c>
      <c r="B1762" s="1" t="e">
        <f>-이/가</f>
        <v>#NAME?</v>
      </c>
      <c r="C1762" s="1" t="s">
        <v>10511</v>
      </c>
      <c r="D1762" s="1" t="s">
        <v>10512</v>
      </c>
      <c r="E1762" s="1" t="s">
        <v>10513</v>
      </c>
      <c r="F1762" s="1" t="s">
        <v>10514</v>
      </c>
      <c r="G1762" s="1" t="s">
        <v>10515</v>
      </c>
      <c r="H1762" s="1" t="s">
        <v>10516</v>
      </c>
    </row>
    <row r="1763" spans="1:8" x14ac:dyDescent="0.3">
      <c r="A1763" s="2" t="s">
        <v>10517</v>
      </c>
      <c r="B1763" s="1" t="e">
        <f>-보다</f>
        <v>#NAME?</v>
      </c>
      <c r="C1763" s="1" t="s">
        <v>10518</v>
      </c>
      <c r="D1763" s="1" t="s">
        <v>10519</v>
      </c>
      <c r="F1763" s="1" t="s">
        <v>10520</v>
      </c>
      <c r="G1763" s="1" t="s">
        <v>10521</v>
      </c>
      <c r="H1763" s="1" t="s">
        <v>10522</v>
      </c>
    </row>
    <row r="1764" spans="1:8" x14ac:dyDescent="0.3">
      <c r="A1764" s="2">
        <v>31012</v>
      </c>
      <c r="B1764" s="1" t="s">
        <v>10523</v>
      </c>
      <c r="C1764" s="1" t="s">
        <v>10524</v>
      </c>
    </row>
    <row r="1765" spans="1:8" x14ac:dyDescent="0.3">
      <c r="A1765" s="2" t="s">
        <v>10525</v>
      </c>
      <c r="B1765" s="1" t="e">
        <f>-이/가</f>
        <v>#NAME?</v>
      </c>
      <c r="C1765" s="1" t="s">
        <v>10526</v>
      </c>
      <c r="E1765" s="1" t="s">
        <v>10527</v>
      </c>
      <c r="F1765" s="1" t="s">
        <v>10528</v>
      </c>
      <c r="G1765" s="1" t="s">
        <v>10529</v>
      </c>
      <c r="H1765" s="1" t="s">
        <v>10530</v>
      </c>
    </row>
    <row r="1766" spans="1:8" x14ac:dyDescent="0.3">
      <c r="A1766" s="2" t="s">
        <v>10531</v>
      </c>
      <c r="B1766" s="1" t="e">
        <f>-보다</f>
        <v>#NAME?</v>
      </c>
      <c r="C1766" s="1" t="s">
        <v>10532</v>
      </c>
      <c r="D1766" s="1" t="s">
        <v>10533</v>
      </c>
      <c r="E1766" s="1" t="s">
        <v>10534</v>
      </c>
      <c r="F1766" s="1" t="s">
        <v>10535</v>
      </c>
      <c r="G1766" s="1" t="s">
        <v>10536</v>
      </c>
      <c r="H1766" s="1" t="s">
        <v>10537</v>
      </c>
    </row>
    <row r="1767" spans="1:8" x14ac:dyDescent="0.3">
      <c r="A1767" s="2">
        <v>31013</v>
      </c>
      <c r="B1767" s="1" t="s">
        <v>10538</v>
      </c>
      <c r="C1767" s="1" t="s">
        <v>10539</v>
      </c>
    </row>
    <row r="1768" spans="1:8" x14ac:dyDescent="0.3">
      <c r="A1768" s="2" t="s">
        <v>10540</v>
      </c>
      <c r="B1768" s="1" t="e">
        <f>-이/가</f>
        <v>#NAME?</v>
      </c>
      <c r="C1768" s="1" t="s">
        <v>10541</v>
      </c>
      <c r="D1768" s="1" t="s">
        <v>10542</v>
      </c>
      <c r="E1768" s="1" t="s">
        <v>10543</v>
      </c>
      <c r="F1768" s="1" t="s">
        <v>10544</v>
      </c>
      <c r="G1768" s="1" t="s">
        <v>10545</v>
      </c>
      <c r="H1768" s="1" t="s">
        <v>10545</v>
      </c>
    </row>
    <row r="1769" spans="1:8" x14ac:dyDescent="0.3">
      <c r="A1769" s="2" t="s">
        <v>10546</v>
      </c>
      <c r="B1769" s="1" t="e">
        <f>-보다</f>
        <v>#NAME?</v>
      </c>
      <c r="C1769" s="1" t="s">
        <v>10547</v>
      </c>
      <c r="D1769" s="1" t="s">
        <v>10548</v>
      </c>
      <c r="E1769" s="1" t="s">
        <v>10549</v>
      </c>
      <c r="F1769" s="1" t="s">
        <v>10550</v>
      </c>
      <c r="G1769" s="1" t="s">
        <v>10551</v>
      </c>
      <c r="H1769" s="1" t="s">
        <v>10552</v>
      </c>
    </row>
    <row r="1770" spans="1:8" x14ac:dyDescent="0.3">
      <c r="A1770" s="2">
        <v>31014</v>
      </c>
      <c r="B1770" s="1" t="s">
        <v>10553</v>
      </c>
      <c r="C1770" s="1" t="s">
        <v>10554</v>
      </c>
    </row>
    <row r="1771" spans="1:8" x14ac:dyDescent="0.3">
      <c r="A1771" s="2" t="s">
        <v>10555</v>
      </c>
      <c r="B1771" s="1" t="e">
        <f>-이/가</f>
        <v>#NAME?</v>
      </c>
      <c r="C1771" s="1" t="s">
        <v>10556</v>
      </c>
      <c r="E1771" s="1" t="s">
        <v>10557</v>
      </c>
      <c r="F1771" s="1" t="s">
        <v>10558</v>
      </c>
      <c r="G1771" s="1" t="s">
        <v>10559</v>
      </c>
      <c r="H1771" s="1" t="s">
        <v>10560</v>
      </c>
    </row>
    <row r="1772" spans="1:8" x14ac:dyDescent="0.3">
      <c r="A1772" s="2" t="s">
        <v>10561</v>
      </c>
      <c r="B1772" s="1" t="e">
        <f>-보다</f>
        <v>#NAME?</v>
      </c>
      <c r="C1772" s="1" t="s">
        <v>10562</v>
      </c>
      <c r="D1772" s="1" t="s">
        <v>10563</v>
      </c>
      <c r="F1772" s="1" t="s">
        <v>10557</v>
      </c>
      <c r="G1772" s="1" t="s">
        <v>10557</v>
      </c>
      <c r="H1772" s="1" t="s">
        <v>10564</v>
      </c>
    </row>
    <row r="1773" spans="1:8" x14ac:dyDescent="0.3">
      <c r="A1773" s="2">
        <v>31015</v>
      </c>
      <c r="B1773" s="1" t="s">
        <v>10565</v>
      </c>
      <c r="C1773" s="1" t="s">
        <v>10566</v>
      </c>
    </row>
    <row r="1774" spans="1:8" x14ac:dyDescent="0.3">
      <c r="A1774" s="2" t="s">
        <v>10567</v>
      </c>
      <c r="B1774" s="1" t="e">
        <f>-이/가</f>
        <v>#NAME?</v>
      </c>
      <c r="C1774" s="1" t="s">
        <v>10568</v>
      </c>
      <c r="D1774" s="1" t="s">
        <v>10569</v>
      </c>
      <c r="E1774" s="1" t="s">
        <v>10570</v>
      </c>
      <c r="F1774" s="1" t="s">
        <v>10571</v>
      </c>
      <c r="G1774" s="1" t="s">
        <v>10572</v>
      </c>
      <c r="H1774" s="1" t="s">
        <v>10573</v>
      </c>
    </row>
    <row r="1775" spans="1:8" x14ac:dyDescent="0.3">
      <c r="A1775" s="2" t="s">
        <v>10574</v>
      </c>
      <c r="B1775" s="1" t="e">
        <f>-보다</f>
        <v>#NAME?</v>
      </c>
      <c r="C1775" s="1" t="s">
        <v>10575</v>
      </c>
      <c r="D1775" s="1" t="s">
        <v>10576</v>
      </c>
      <c r="E1775" s="1" t="s">
        <v>10577</v>
      </c>
      <c r="F1775" s="1" t="s">
        <v>10578</v>
      </c>
      <c r="G1775" s="1" t="s">
        <v>10579</v>
      </c>
      <c r="H1775" s="1" t="s">
        <v>10580</v>
      </c>
    </row>
    <row r="1776" spans="1:8" x14ac:dyDescent="0.3">
      <c r="A1776" s="2">
        <v>31016</v>
      </c>
      <c r="B1776" s="1" t="s">
        <v>10581</v>
      </c>
      <c r="C1776" s="1" t="s">
        <v>10582</v>
      </c>
      <c r="D1776" s="1" t="s">
        <v>10583</v>
      </c>
      <c r="E1776" s="1" t="s">
        <v>10584</v>
      </c>
      <c r="H1776" s="1" t="s">
        <v>10585</v>
      </c>
    </row>
    <row r="1777" spans="1:8" x14ac:dyDescent="0.3">
      <c r="A1777" s="2" t="s">
        <v>10586</v>
      </c>
      <c r="B1777" s="1" t="e">
        <f>-이/가</f>
        <v>#NAME?</v>
      </c>
      <c r="C1777" s="1" t="s">
        <v>10587</v>
      </c>
      <c r="E1777" s="1" t="s">
        <v>10588</v>
      </c>
      <c r="F1777" s="1" t="s">
        <v>10589</v>
      </c>
      <c r="G1777" s="1" t="s">
        <v>10590</v>
      </c>
    </row>
    <row r="1778" spans="1:8" x14ac:dyDescent="0.3">
      <c r="A1778" s="2" t="s">
        <v>10591</v>
      </c>
      <c r="B1778" s="1" t="e">
        <f>-보다</f>
        <v>#NAME?</v>
      </c>
      <c r="C1778" s="1" t="s">
        <v>10592</v>
      </c>
      <c r="E1778" s="1" t="s">
        <v>10593</v>
      </c>
      <c r="F1778" s="1" t="s">
        <v>10594</v>
      </c>
      <c r="G1778" s="1" t="s">
        <v>10595</v>
      </c>
    </row>
    <row r="1779" spans="1:8" x14ac:dyDescent="0.3">
      <c r="A1779" s="2">
        <v>31017</v>
      </c>
      <c r="B1779" s="1" t="s">
        <v>10596</v>
      </c>
      <c r="C1779" s="1" t="s">
        <v>10597</v>
      </c>
      <c r="D1779" s="1" t="s">
        <v>10598</v>
      </c>
      <c r="E1779" s="1" t="s">
        <v>10599</v>
      </c>
      <c r="H1779" s="1" t="s">
        <v>10600</v>
      </c>
    </row>
    <row r="1780" spans="1:8" x14ac:dyDescent="0.3">
      <c r="A1780" s="2" t="s">
        <v>10601</v>
      </c>
      <c r="B1780" s="1" t="e">
        <f>-이/가</f>
        <v>#NAME?</v>
      </c>
      <c r="C1780" s="1" t="s">
        <v>10602</v>
      </c>
      <c r="E1780" s="1" t="s">
        <v>10603</v>
      </c>
      <c r="F1780" s="1" t="s">
        <v>10604</v>
      </c>
      <c r="G1780" s="1" t="s">
        <v>10605</v>
      </c>
    </row>
    <row r="1781" spans="1:8" x14ac:dyDescent="0.3">
      <c r="A1781" s="2" t="s">
        <v>10606</v>
      </c>
      <c r="B1781" s="1" t="e">
        <f>-보다</f>
        <v>#NAME?</v>
      </c>
      <c r="C1781" s="1" t="s">
        <v>10607</v>
      </c>
      <c r="F1781" s="1" t="s">
        <v>10608</v>
      </c>
      <c r="G1781" s="1" t="s">
        <v>10609</v>
      </c>
    </row>
    <row r="1782" spans="1:8" x14ac:dyDescent="0.3">
      <c r="A1782" s="2">
        <v>31018</v>
      </c>
      <c r="B1782" s="1" t="s">
        <v>10610</v>
      </c>
    </row>
    <row r="1783" spans="1:8" x14ac:dyDescent="0.3">
      <c r="A1783" s="2" t="s">
        <v>10611</v>
      </c>
      <c r="B1783" s="1" t="e">
        <f>-이/가</f>
        <v>#NAME?</v>
      </c>
      <c r="C1783" s="1" t="s">
        <v>10612</v>
      </c>
      <c r="D1783" s="1" t="s">
        <v>10613</v>
      </c>
      <c r="E1783" s="1" t="s">
        <v>10614</v>
      </c>
      <c r="F1783" s="1" t="s">
        <v>10615</v>
      </c>
      <c r="G1783" s="1" t="s">
        <v>10616</v>
      </c>
      <c r="H1783" s="1" t="s">
        <v>10617</v>
      </c>
    </row>
    <row r="1784" spans="1:8" x14ac:dyDescent="0.3">
      <c r="A1784" s="2" t="s">
        <v>10618</v>
      </c>
      <c r="B1784" s="1" t="e">
        <f>-보다</f>
        <v>#NAME?</v>
      </c>
      <c r="C1784" s="1" t="s">
        <v>10619</v>
      </c>
      <c r="D1784" s="1" t="s">
        <v>10620</v>
      </c>
      <c r="E1784" s="1" t="s">
        <v>10621</v>
      </c>
      <c r="F1784" s="1" t="s">
        <v>10622</v>
      </c>
      <c r="G1784" s="1" t="s">
        <v>10623</v>
      </c>
      <c r="H1784" s="1" t="s">
        <v>10624</v>
      </c>
    </row>
    <row r="1785" spans="1:8" x14ac:dyDescent="0.3">
      <c r="A1785" s="2">
        <v>31019</v>
      </c>
      <c r="B1785" s="1" t="s">
        <v>9694</v>
      </c>
      <c r="D1785" s="1" t="s">
        <v>10625</v>
      </c>
    </row>
    <row r="1786" spans="1:8" x14ac:dyDescent="0.3">
      <c r="A1786" s="2" t="s">
        <v>10626</v>
      </c>
      <c r="B1786" s="1" t="e">
        <f>-이/가</f>
        <v>#NAME?</v>
      </c>
      <c r="C1786" s="1" t="s">
        <v>10627</v>
      </c>
      <c r="D1786" s="1" t="s">
        <v>10628</v>
      </c>
      <c r="E1786" s="1" t="s">
        <v>10628</v>
      </c>
      <c r="F1786" s="1" t="s">
        <v>10629</v>
      </c>
      <c r="G1786" s="1" t="s">
        <v>10630</v>
      </c>
      <c r="H1786" s="1" t="s">
        <v>10631</v>
      </c>
    </row>
    <row r="1787" spans="1:8" x14ac:dyDescent="0.3">
      <c r="A1787" s="2" t="s">
        <v>10632</v>
      </c>
      <c r="B1787" s="1" t="e">
        <f>-보다</f>
        <v>#NAME?</v>
      </c>
      <c r="C1787" s="1" t="s">
        <v>10633</v>
      </c>
      <c r="E1787" s="1" t="s">
        <v>10634</v>
      </c>
      <c r="F1787" s="1" t="s">
        <v>10635</v>
      </c>
      <c r="G1787" s="1" t="s">
        <v>10636</v>
      </c>
      <c r="H1787" s="1" t="s">
        <v>10637</v>
      </c>
    </row>
    <row r="1788" spans="1:8" x14ac:dyDescent="0.3">
      <c r="A1788" s="2">
        <v>31020</v>
      </c>
      <c r="B1788" s="1" t="s">
        <v>10638</v>
      </c>
    </row>
    <row r="1789" spans="1:8" x14ac:dyDescent="0.3">
      <c r="A1789" s="2" t="s">
        <v>10639</v>
      </c>
      <c r="B1789" s="1" t="e">
        <f>-이/가</f>
        <v>#NAME?</v>
      </c>
      <c r="C1789" s="1" t="s">
        <v>10640</v>
      </c>
      <c r="D1789" s="1" t="s">
        <v>10641</v>
      </c>
      <c r="E1789" s="1" t="s">
        <v>10629</v>
      </c>
      <c r="F1789" s="1" t="s">
        <v>10642</v>
      </c>
      <c r="G1789" s="1" t="s">
        <v>10643</v>
      </c>
      <c r="H1789" s="1" t="s">
        <v>10642</v>
      </c>
    </row>
    <row r="1790" spans="1:8" x14ac:dyDescent="0.3">
      <c r="A1790" s="2" t="s">
        <v>10644</v>
      </c>
      <c r="B1790" s="1" t="e">
        <f>-보다</f>
        <v>#NAME?</v>
      </c>
      <c r="C1790" s="1" t="s">
        <v>10645</v>
      </c>
      <c r="D1790" s="1" t="s">
        <v>10646</v>
      </c>
      <c r="E1790" s="1" t="s">
        <v>10647</v>
      </c>
      <c r="F1790" s="1" t="s">
        <v>10648</v>
      </c>
      <c r="G1790" s="1" t="s">
        <v>10649</v>
      </c>
      <c r="H1790" s="1" t="s">
        <v>10648</v>
      </c>
    </row>
    <row r="1791" spans="1:8" x14ac:dyDescent="0.3">
      <c r="A1791" s="2">
        <v>31021</v>
      </c>
      <c r="B1791" s="1" t="s">
        <v>10650</v>
      </c>
    </row>
    <row r="1792" spans="1:8" x14ac:dyDescent="0.3">
      <c r="A1792" s="2" t="s">
        <v>10651</v>
      </c>
      <c r="B1792" s="1" t="e">
        <f>-이/가</f>
        <v>#NAME?</v>
      </c>
      <c r="C1792" s="1" t="s">
        <v>10652</v>
      </c>
      <c r="E1792" s="1" t="s">
        <v>10653</v>
      </c>
      <c r="F1792" s="1" t="s">
        <v>10654</v>
      </c>
      <c r="G1792" s="1" t="s">
        <v>10655</v>
      </c>
      <c r="H1792" s="1" t="s">
        <v>10654</v>
      </c>
    </row>
    <row r="1793" spans="1:8" x14ac:dyDescent="0.3">
      <c r="A1793" s="2" t="s">
        <v>10656</v>
      </c>
      <c r="B1793" s="1" t="e">
        <f>-보다</f>
        <v>#NAME?</v>
      </c>
      <c r="C1793" s="1" t="s">
        <v>10657</v>
      </c>
      <c r="D1793" s="1" t="s">
        <v>10658</v>
      </c>
      <c r="E1793" s="1" t="s">
        <v>10659</v>
      </c>
      <c r="F1793" s="1" t="s">
        <v>10660</v>
      </c>
      <c r="G1793" s="1" t="s">
        <v>10661</v>
      </c>
      <c r="H1793" s="1" t="s">
        <v>4606</v>
      </c>
    </row>
    <row r="1794" spans="1:8" x14ac:dyDescent="0.3">
      <c r="A1794" s="2">
        <v>31022</v>
      </c>
      <c r="B1794" s="1" t="s">
        <v>10662</v>
      </c>
      <c r="F1794" s="1" t="s">
        <v>10663</v>
      </c>
    </row>
    <row r="1795" spans="1:8" x14ac:dyDescent="0.3">
      <c r="A1795" s="2" t="s">
        <v>10664</v>
      </c>
      <c r="B1795" s="1" t="e">
        <f>-이/가</f>
        <v>#NAME?</v>
      </c>
      <c r="C1795" s="1" t="s">
        <v>10665</v>
      </c>
      <c r="E1795" s="1" t="s">
        <v>10666</v>
      </c>
      <c r="F1795" s="1" t="s">
        <v>10667</v>
      </c>
      <c r="G1795" s="1" t="s">
        <v>10668</v>
      </c>
      <c r="H1795" s="1" t="s">
        <v>10669</v>
      </c>
    </row>
    <row r="1796" spans="1:8" x14ac:dyDescent="0.3">
      <c r="A1796" s="2" t="s">
        <v>10670</v>
      </c>
      <c r="B1796" s="1" t="e">
        <f>-보다</f>
        <v>#NAME?</v>
      </c>
      <c r="C1796" s="1" t="s">
        <v>10671</v>
      </c>
      <c r="D1796" s="1" t="s">
        <v>10672</v>
      </c>
      <c r="E1796" s="1" t="s">
        <v>10673</v>
      </c>
      <c r="F1796" s="1" t="s">
        <v>10674</v>
      </c>
      <c r="G1796" s="1" t="s">
        <v>10675</v>
      </c>
      <c r="H1796" s="1" t="s">
        <v>10676</v>
      </c>
    </row>
    <row r="1797" spans="1:8" x14ac:dyDescent="0.3">
      <c r="A1797" s="2">
        <v>31023</v>
      </c>
      <c r="B1797" s="1" t="s">
        <v>10677</v>
      </c>
    </row>
    <row r="1798" spans="1:8" x14ac:dyDescent="0.3">
      <c r="A1798" s="2" t="s">
        <v>10678</v>
      </c>
      <c r="B1798" s="1" t="e">
        <f>-이/가</f>
        <v>#NAME?</v>
      </c>
      <c r="C1798" s="1" t="s">
        <v>10679</v>
      </c>
      <c r="D1798" s="1" t="s">
        <v>10680</v>
      </c>
      <c r="E1798" s="1" t="s">
        <v>10681</v>
      </c>
      <c r="F1798" s="1" t="s">
        <v>10682</v>
      </c>
      <c r="G1798" s="1" t="s">
        <v>10683</v>
      </c>
      <c r="H1798" s="1" t="s">
        <v>10684</v>
      </c>
    </row>
    <row r="1799" spans="1:8" x14ac:dyDescent="0.3">
      <c r="A1799" s="2" t="s">
        <v>10685</v>
      </c>
      <c r="B1799" s="1" t="e">
        <f>-보다</f>
        <v>#NAME?</v>
      </c>
      <c r="C1799" s="1" t="s">
        <v>10686</v>
      </c>
      <c r="D1799" s="1" t="s">
        <v>10687</v>
      </c>
      <c r="E1799" s="1" t="s">
        <v>10688</v>
      </c>
      <c r="F1799" s="1" t="s">
        <v>10689</v>
      </c>
      <c r="H1799" s="1" t="s">
        <v>10690</v>
      </c>
    </row>
    <row r="1800" spans="1:8" x14ac:dyDescent="0.3">
      <c r="A1800" s="2">
        <v>31024</v>
      </c>
      <c r="B1800" s="1" t="s">
        <v>10691</v>
      </c>
    </row>
    <row r="1801" spans="1:8" x14ac:dyDescent="0.3">
      <c r="A1801" s="2" t="s">
        <v>10692</v>
      </c>
      <c r="B1801" s="1" t="e">
        <f>-이/가</f>
        <v>#NAME?</v>
      </c>
      <c r="C1801" s="1" t="s">
        <v>10693</v>
      </c>
      <c r="D1801" s="1" t="s">
        <v>10694</v>
      </c>
      <c r="E1801" s="1" t="s">
        <v>10695</v>
      </c>
      <c r="F1801" s="1" t="s">
        <v>10696</v>
      </c>
      <c r="G1801" s="1" t="s">
        <v>10697</v>
      </c>
      <c r="H1801" s="1" t="s">
        <v>10698</v>
      </c>
    </row>
    <row r="1802" spans="1:8" x14ac:dyDescent="0.3">
      <c r="A1802" s="2" t="s">
        <v>10699</v>
      </c>
      <c r="B1802" s="1" t="e">
        <f>-보다</f>
        <v>#NAME?</v>
      </c>
      <c r="C1802" s="1" t="s">
        <v>10700</v>
      </c>
      <c r="D1802" s="1" t="s">
        <v>10701</v>
      </c>
      <c r="E1802" s="1" t="s">
        <v>10702</v>
      </c>
      <c r="F1802" s="1" t="s">
        <v>10703</v>
      </c>
      <c r="G1802" s="1" t="s">
        <v>10702</v>
      </c>
      <c r="H1802" s="1" t="s">
        <v>10702</v>
      </c>
    </row>
    <row r="1803" spans="1:8" x14ac:dyDescent="0.3">
      <c r="A1803" s="2">
        <v>31025</v>
      </c>
      <c r="B1803" s="1" t="s">
        <v>10704</v>
      </c>
    </row>
    <row r="1804" spans="1:8" x14ac:dyDescent="0.3">
      <c r="A1804" s="2" t="s">
        <v>10705</v>
      </c>
      <c r="B1804" s="1" t="e">
        <f>-이/가</f>
        <v>#NAME?</v>
      </c>
      <c r="C1804" s="1" t="s">
        <v>10706</v>
      </c>
      <c r="D1804" s="1" t="s">
        <v>10707</v>
      </c>
      <c r="E1804" s="1" t="s">
        <v>10708</v>
      </c>
      <c r="F1804" s="1" t="s">
        <v>10709</v>
      </c>
      <c r="G1804" s="1" t="s">
        <v>10710</v>
      </c>
      <c r="H1804" s="1" t="s">
        <v>10711</v>
      </c>
    </row>
    <row r="1805" spans="1:8" x14ac:dyDescent="0.3">
      <c r="A1805" s="2" t="s">
        <v>10712</v>
      </c>
      <c r="B1805" s="1" t="e">
        <f>-보다</f>
        <v>#NAME?</v>
      </c>
      <c r="C1805" s="1" t="s">
        <v>10713</v>
      </c>
      <c r="D1805" s="1" t="s">
        <v>10714</v>
      </c>
      <c r="E1805" s="1" t="s">
        <v>10715</v>
      </c>
      <c r="F1805" s="1" t="s">
        <v>10716</v>
      </c>
      <c r="G1805" s="1" t="s">
        <v>10717</v>
      </c>
      <c r="H1805" s="1" t="s">
        <v>10717</v>
      </c>
    </row>
    <row r="1806" spans="1:8" x14ac:dyDescent="0.3">
      <c r="A1806" s="2">
        <v>31026</v>
      </c>
      <c r="B1806" s="1" t="s">
        <v>10718</v>
      </c>
    </row>
    <row r="1807" spans="1:8" x14ac:dyDescent="0.3">
      <c r="A1807" s="2" t="s">
        <v>10719</v>
      </c>
      <c r="B1807" s="1" t="e">
        <f>-이/가</f>
        <v>#NAME?</v>
      </c>
      <c r="C1807" s="1" t="s">
        <v>10720</v>
      </c>
      <c r="D1807" s="1" t="s">
        <v>10721</v>
      </c>
      <c r="E1807" s="1" t="s">
        <v>10722</v>
      </c>
      <c r="F1807" s="1" t="s">
        <v>10723</v>
      </c>
      <c r="G1807" s="1" t="s">
        <v>10724</v>
      </c>
      <c r="H1807" s="1" t="s">
        <v>10725</v>
      </c>
    </row>
    <row r="1808" spans="1:8" x14ac:dyDescent="0.3">
      <c r="A1808" s="2" t="s">
        <v>10726</v>
      </c>
      <c r="B1808" s="1" t="e">
        <f>-보다</f>
        <v>#NAME?</v>
      </c>
      <c r="C1808" s="1" t="s">
        <v>10727</v>
      </c>
      <c r="E1808" s="1" t="s">
        <v>10728</v>
      </c>
      <c r="F1808" s="1" t="s">
        <v>10729</v>
      </c>
      <c r="G1808" s="1" t="s">
        <v>10730</v>
      </c>
      <c r="H1808" s="1" t="s">
        <v>10731</v>
      </c>
    </row>
    <row r="1809" spans="1:8" x14ac:dyDescent="0.3">
      <c r="A1809" s="2">
        <v>31027</v>
      </c>
      <c r="B1809" s="1" t="s">
        <v>10732</v>
      </c>
    </row>
    <row r="1810" spans="1:8" x14ac:dyDescent="0.3">
      <c r="A1810" s="2" t="s">
        <v>10733</v>
      </c>
      <c r="B1810" s="1" t="e">
        <f>-이/가</f>
        <v>#NAME?</v>
      </c>
      <c r="C1810" s="1" t="s">
        <v>10734</v>
      </c>
      <c r="D1810" s="1" t="s">
        <v>10735</v>
      </c>
      <c r="E1810" s="1" t="s">
        <v>10736</v>
      </c>
      <c r="F1810" s="1" t="s">
        <v>10737</v>
      </c>
      <c r="G1810" s="1" t="s">
        <v>10738</v>
      </c>
      <c r="H1810" s="1" t="s">
        <v>10739</v>
      </c>
    </row>
    <row r="1811" spans="1:8" x14ac:dyDescent="0.3">
      <c r="A1811" s="2" t="s">
        <v>10740</v>
      </c>
      <c r="B1811" s="1" t="e">
        <f>-보다</f>
        <v>#NAME?</v>
      </c>
      <c r="C1811" s="1" t="s">
        <v>10741</v>
      </c>
      <c r="D1811" s="1" t="s">
        <v>10742</v>
      </c>
      <c r="E1811" s="1" t="s">
        <v>10743</v>
      </c>
      <c r="F1811" s="1" t="s">
        <v>10744</v>
      </c>
      <c r="G1811" s="1" t="s">
        <v>10745</v>
      </c>
      <c r="H1811" s="1" t="s">
        <v>10746</v>
      </c>
    </row>
    <row r="1812" spans="1:8" x14ac:dyDescent="0.3">
      <c r="A1812" s="2">
        <v>31028</v>
      </c>
      <c r="B1812" s="1" t="s">
        <v>10747</v>
      </c>
    </row>
    <row r="1813" spans="1:8" x14ac:dyDescent="0.3">
      <c r="A1813" s="2" t="s">
        <v>10748</v>
      </c>
      <c r="B1813" s="1" t="e">
        <f>-이/가</f>
        <v>#NAME?</v>
      </c>
      <c r="C1813" s="1" t="s">
        <v>10749</v>
      </c>
      <c r="E1813" s="1" t="s">
        <v>10750</v>
      </c>
      <c r="F1813" s="1" t="s">
        <v>10751</v>
      </c>
      <c r="G1813" s="1" t="s">
        <v>10752</v>
      </c>
      <c r="H1813" s="1" t="s">
        <v>10753</v>
      </c>
    </row>
    <row r="1814" spans="1:8" x14ac:dyDescent="0.3">
      <c r="A1814" s="2" t="s">
        <v>10754</v>
      </c>
      <c r="B1814" s="1" t="e">
        <f>-보다</f>
        <v>#NAME?</v>
      </c>
      <c r="C1814" s="1" t="s">
        <v>10755</v>
      </c>
      <c r="D1814" s="1" t="s">
        <v>10756</v>
      </c>
      <c r="E1814" s="1" t="s">
        <v>10757</v>
      </c>
      <c r="F1814" s="1" t="s">
        <v>10758</v>
      </c>
      <c r="G1814" s="1" t="s">
        <v>10759</v>
      </c>
      <c r="H1814" s="1" t="s">
        <v>10760</v>
      </c>
    </row>
    <row r="1815" spans="1:8" x14ac:dyDescent="0.3">
      <c r="A1815" s="2">
        <v>31029</v>
      </c>
      <c r="B1815" s="1" t="s">
        <v>10761</v>
      </c>
    </row>
    <row r="1816" spans="1:8" x14ac:dyDescent="0.3">
      <c r="A1816" s="2" t="s">
        <v>10762</v>
      </c>
      <c r="B1816" s="1" t="e">
        <f>-이/가</f>
        <v>#NAME?</v>
      </c>
      <c r="C1816" s="1" t="s">
        <v>10763</v>
      </c>
      <c r="D1816" s="1" t="s">
        <v>10764</v>
      </c>
      <c r="E1816" s="1" t="s">
        <v>10765</v>
      </c>
      <c r="F1816" s="1" t="s">
        <v>10766</v>
      </c>
      <c r="G1816" s="1" t="s">
        <v>10767</v>
      </c>
      <c r="H1816" s="1" t="s">
        <v>10768</v>
      </c>
    </row>
    <row r="1817" spans="1:8" x14ac:dyDescent="0.3">
      <c r="A1817" s="2" t="s">
        <v>10769</v>
      </c>
      <c r="B1817" s="1" t="e">
        <f>-보다</f>
        <v>#NAME?</v>
      </c>
      <c r="C1817" s="1" t="s">
        <v>10770</v>
      </c>
      <c r="D1817" s="1" t="s">
        <v>10771</v>
      </c>
      <c r="E1817" s="1" t="s">
        <v>10772</v>
      </c>
      <c r="F1817" s="1" t="s">
        <v>10773</v>
      </c>
      <c r="G1817" s="1" t="s">
        <v>10774</v>
      </c>
      <c r="H1817" s="1" t="s">
        <v>10775</v>
      </c>
    </row>
    <row r="1818" spans="1:8" x14ac:dyDescent="0.3">
      <c r="A1818" s="2">
        <v>31030</v>
      </c>
      <c r="B1818" s="1" t="s">
        <v>10776</v>
      </c>
    </row>
    <row r="1819" spans="1:8" x14ac:dyDescent="0.3">
      <c r="A1819" s="2" t="s">
        <v>10777</v>
      </c>
      <c r="B1819" s="1" t="e">
        <f>-이/가</f>
        <v>#NAME?</v>
      </c>
      <c r="C1819" s="1" t="s">
        <v>10778</v>
      </c>
      <c r="D1819" s="1" t="s">
        <v>10779</v>
      </c>
      <c r="E1819" s="1" t="s">
        <v>10780</v>
      </c>
      <c r="F1819" s="1" t="s">
        <v>10781</v>
      </c>
      <c r="G1819" s="1" t="s">
        <v>10782</v>
      </c>
      <c r="H1819" s="1" t="s">
        <v>10783</v>
      </c>
    </row>
    <row r="1820" spans="1:8" x14ac:dyDescent="0.3">
      <c r="A1820" s="2" t="s">
        <v>10784</v>
      </c>
      <c r="B1820" s="1" t="e">
        <f>-보다</f>
        <v>#NAME?</v>
      </c>
      <c r="C1820" s="1" t="s">
        <v>10785</v>
      </c>
      <c r="E1820" s="1" t="s">
        <v>10786</v>
      </c>
      <c r="F1820" s="1" t="s">
        <v>10787</v>
      </c>
      <c r="G1820" s="1" t="s">
        <v>10788</v>
      </c>
      <c r="H1820" s="1" t="s">
        <v>10789</v>
      </c>
    </row>
    <row r="1821" spans="1:8" x14ac:dyDescent="0.3">
      <c r="A1821" s="2">
        <v>31031</v>
      </c>
      <c r="B1821" s="1" t="s">
        <v>10790</v>
      </c>
    </row>
    <row r="1822" spans="1:8" x14ac:dyDescent="0.3">
      <c r="A1822" s="2" t="s">
        <v>10791</v>
      </c>
      <c r="B1822" s="1" t="e">
        <f>-이/가</f>
        <v>#NAME?</v>
      </c>
      <c r="C1822" s="1" t="s">
        <v>10792</v>
      </c>
      <c r="E1822" s="1" t="s">
        <v>10793</v>
      </c>
      <c r="F1822" s="1" t="s">
        <v>10794</v>
      </c>
      <c r="G1822" s="1" t="s">
        <v>10795</v>
      </c>
      <c r="H1822" s="1" t="s">
        <v>10796</v>
      </c>
    </row>
    <row r="1823" spans="1:8" x14ac:dyDescent="0.3">
      <c r="A1823" s="2" t="s">
        <v>10797</v>
      </c>
      <c r="B1823" s="1" t="e">
        <f>-보다</f>
        <v>#NAME?</v>
      </c>
      <c r="C1823" s="1" t="s">
        <v>10798</v>
      </c>
      <c r="D1823" s="1" t="s">
        <v>10799</v>
      </c>
      <c r="E1823" s="1" t="s">
        <v>10800</v>
      </c>
      <c r="F1823" s="1" t="s">
        <v>10801</v>
      </c>
      <c r="G1823" s="1" t="s">
        <v>10802</v>
      </c>
      <c r="H1823" s="1" t="s">
        <v>10803</v>
      </c>
    </row>
    <row r="1824" spans="1:8" x14ac:dyDescent="0.3">
      <c r="A1824" s="2">
        <v>31032</v>
      </c>
      <c r="B1824" s="1" t="s">
        <v>10804</v>
      </c>
    </row>
    <row r="1825" spans="1:8" x14ac:dyDescent="0.3">
      <c r="A1825" s="2" t="s">
        <v>10805</v>
      </c>
      <c r="B1825" s="1" t="e">
        <f>-이/가</f>
        <v>#NAME?</v>
      </c>
      <c r="C1825" s="1" t="s">
        <v>10806</v>
      </c>
      <c r="E1825" s="1" t="s">
        <v>10807</v>
      </c>
      <c r="F1825" s="1" t="s">
        <v>10808</v>
      </c>
      <c r="G1825" s="1" t="s">
        <v>10809</v>
      </c>
      <c r="H1825" s="1" t="s">
        <v>10810</v>
      </c>
    </row>
    <row r="1826" spans="1:8" x14ac:dyDescent="0.3">
      <c r="A1826" s="2" t="s">
        <v>10811</v>
      </c>
      <c r="B1826" s="1" t="e">
        <f>-보다</f>
        <v>#NAME?</v>
      </c>
      <c r="C1826" s="1" t="s">
        <v>10812</v>
      </c>
      <c r="D1826" s="1" t="s">
        <v>4147</v>
      </c>
      <c r="E1826" s="1" t="s">
        <v>4147</v>
      </c>
      <c r="F1826" s="1" t="s">
        <v>10813</v>
      </c>
      <c r="G1826" s="1" t="s">
        <v>4147</v>
      </c>
      <c r="H1826" s="1" t="s">
        <v>10814</v>
      </c>
    </row>
    <row r="1827" spans="1:8" x14ac:dyDescent="0.3">
      <c r="A1827" s="2">
        <v>31033</v>
      </c>
      <c r="B1827" s="1" t="s">
        <v>10815</v>
      </c>
    </row>
    <row r="1828" spans="1:8" x14ac:dyDescent="0.3">
      <c r="A1828" s="2" t="s">
        <v>10816</v>
      </c>
      <c r="B1828" s="1" t="e">
        <f>-이/가</f>
        <v>#NAME?</v>
      </c>
      <c r="C1828" s="1" t="s">
        <v>10817</v>
      </c>
      <c r="D1828" s="1" t="s">
        <v>10818</v>
      </c>
      <c r="E1828" s="1" t="s">
        <v>10819</v>
      </c>
      <c r="F1828" s="1" t="s">
        <v>10820</v>
      </c>
      <c r="G1828" s="1" t="s">
        <v>10488</v>
      </c>
      <c r="H1828" s="1" t="s">
        <v>10821</v>
      </c>
    </row>
    <row r="1829" spans="1:8" x14ac:dyDescent="0.3">
      <c r="A1829" s="2" t="s">
        <v>10822</v>
      </c>
      <c r="B1829" s="1" t="e">
        <f>-보다</f>
        <v>#NAME?</v>
      </c>
      <c r="C1829" s="1" t="s">
        <v>10823</v>
      </c>
      <c r="D1829" s="1" t="s">
        <v>10824</v>
      </c>
      <c r="E1829" s="1" t="s">
        <v>10825</v>
      </c>
      <c r="F1829" s="1" t="s">
        <v>10826</v>
      </c>
      <c r="G1829" s="1" t="s">
        <v>10827</v>
      </c>
      <c r="H1829" s="1" t="s">
        <v>10828</v>
      </c>
    </row>
    <row r="1830" spans="1:8" x14ac:dyDescent="0.3">
      <c r="A1830" s="2">
        <v>31034</v>
      </c>
      <c r="B1830" s="1" t="s">
        <v>10829</v>
      </c>
    </row>
    <row r="1831" spans="1:8" x14ac:dyDescent="0.3">
      <c r="A1831" s="2" t="s">
        <v>10830</v>
      </c>
      <c r="B1831" s="1" t="e">
        <f>-이/가</f>
        <v>#NAME?</v>
      </c>
      <c r="C1831" s="1" t="s">
        <v>10831</v>
      </c>
      <c r="D1831" s="1" t="s">
        <v>10832</v>
      </c>
      <c r="E1831" s="1" t="s">
        <v>10833</v>
      </c>
      <c r="F1831" s="1" t="s">
        <v>10834</v>
      </c>
      <c r="G1831" s="1" t="s">
        <v>10835</v>
      </c>
      <c r="H1831" s="1" t="s">
        <v>10836</v>
      </c>
    </row>
    <row r="1832" spans="1:8" x14ac:dyDescent="0.3">
      <c r="A1832" s="2" t="s">
        <v>10837</v>
      </c>
      <c r="B1832" s="1" t="e">
        <f>-보다</f>
        <v>#NAME?</v>
      </c>
      <c r="C1832" s="1" t="s">
        <v>10838</v>
      </c>
      <c r="D1832" s="1" t="s">
        <v>10839</v>
      </c>
      <c r="E1832" s="1" t="s">
        <v>4154</v>
      </c>
      <c r="F1832" s="1" t="s">
        <v>10840</v>
      </c>
      <c r="G1832" s="1" t="s">
        <v>10841</v>
      </c>
      <c r="H1832" s="1" t="s">
        <v>10842</v>
      </c>
    </row>
    <row r="1833" spans="1:8" x14ac:dyDescent="0.3">
      <c r="A1833" s="2">
        <v>31035</v>
      </c>
      <c r="B1833" s="1" t="s">
        <v>10843</v>
      </c>
    </row>
    <row r="1834" spans="1:8" x14ac:dyDescent="0.3">
      <c r="A1834" s="2" t="s">
        <v>10844</v>
      </c>
      <c r="B1834" s="1" t="e">
        <f>-이/가</f>
        <v>#NAME?</v>
      </c>
      <c r="C1834" s="1" t="s">
        <v>10845</v>
      </c>
      <c r="D1834" s="1" t="s">
        <v>10846</v>
      </c>
      <c r="E1834" s="1" t="s">
        <v>10847</v>
      </c>
      <c r="F1834" s="1" t="s">
        <v>10848</v>
      </c>
      <c r="H1834" s="1" t="s">
        <v>10849</v>
      </c>
    </row>
    <row r="1835" spans="1:8" x14ac:dyDescent="0.3">
      <c r="A1835" s="2" t="s">
        <v>10850</v>
      </c>
      <c r="B1835" s="1" t="e">
        <f>-보다</f>
        <v>#NAME?</v>
      </c>
      <c r="C1835" s="1" t="s">
        <v>10851</v>
      </c>
      <c r="F1835" s="1" t="s">
        <v>10852</v>
      </c>
      <c r="G1835" s="1" t="s">
        <v>10853</v>
      </c>
      <c r="H1835" s="1" t="s">
        <v>10854</v>
      </c>
    </row>
    <row r="1836" spans="1:8" x14ac:dyDescent="0.3">
      <c r="A1836" s="2" t="s">
        <v>10855</v>
      </c>
      <c r="B1836" s="1" t="e">
        <f>-을/를</f>
        <v>#NAME?</v>
      </c>
      <c r="C1836" s="1" t="s">
        <v>10856</v>
      </c>
      <c r="D1836" s="1" t="s">
        <v>10857</v>
      </c>
      <c r="F1836" s="1" t="s">
        <v>57</v>
      </c>
      <c r="G1836" s="1" t="s">
        <v>10858</v>
      </c>
    </row>
    <row r="1837" spans="1:8" x14ac:dyDescent="0.3">
      <c r="A1837" s="2">
        <v>31036</v>
      </c>
      <c r="B1837" s="1" t="s">
        <v>10859</v>
      </c>
    </row>
    <row r="1838" spans="1:8" x14ac:dyDescent="0.3">
      <c r="A1838" s="2" t="s">
        <v>10860</v>
      </c>
      <c r="B1838" s="1" t="e">
        <f>-이/가</f>
        <v>#NAME?</v>
      </c>
      <c r="C1838" s="1" t="s">
        <v>10861</v>
      </c>
      <c r="D1838" s="1" t="s">
        <v>10862</v>
      </c>
      <c r="E1838" s="1" t="s">
        <v>10863</v>
      </c>
      <c r="F1838" s="1" t="s">
        <v>57</v>
      </c>
      <c r="G1838" s="1" t="s">
        <v>10864</v>
      </c>
      <c r="H1838" s="1" t="s">
        <v>10865</v>
      </c>
    </row>
    <row r="1839" spans="1:8" x14ac:dyDescent="0.3">
      <c r="A1839" s="2" t="s">
        <v>10866</v>
      </c>
      <c r="B1839" s="1" t="e">
        <f>-보다</f>
        <v>#NAME?</v>
      </c>
      <c r="C1839" s="1" t="s">
        <v>10867</v>
      </c>
      <c r="E1839" s="1" t="s">
        <v>10868</v>
      </c>
      <c r="F1839" s="1" t="s">
        <v>10869</v>
      </c>
      <c r="G1839" s="1" t="s">
        <v>10870</v>
      </c>
      <c r="H1839" s="1" t="s">
        <v>10871</v>
      </c>
    </row>
    <row r="1840" spans="1:8" x14ac:dyDescent="0.3">
      <c r="A1840" s="2" t="s">
        <v>10872</v>
      </c>
      <c r="B1840" s="1" t="e">
        <f>-을/를</f>
        <v>#NAME?</v>
      </c>
      <c r="C1840" s="1" t="s">
        <v>10873</v>
      </c>
      <c r="E1840" s="1" t="s">
        <v>10874</v>
      </c>
      <c r="F1840" s="1" t="s">
        <v>57</v>
      </c>
      <c r="G1840" s="1" t="s">
        <v>10875</v>
      </c>
      <c r="H1840" s="1" t="s">
        <v>10876</v>
      </c>
    </row>
    <row r="1841" spans="1:8" x14ac:dyDescent="0.3">
      <c r="A1841" s="2">
        <v>31037</v>
      </c>
      <c r="B1841" s="1" t="s">
        <v>10877</v>
      </c>
    </row>
    <row r="1842" spans="1:8" x14ac:dyDescent="0.3">
      <c r="A1842" s="2" t="s">
        <v>10878</v>
      </c>
      <c r="B1842" s="1" t="e">
        <f>-이/가</f>
        <v>#NAME?</v>
      </c>
      <c r="C1842" s="1" t="s">
        <v>10879</v>
      </c>
      <c r="D1842" s="1" t="s">
        <v>10880</v>
      </c>
      <c r="E1842" s="1" t="s">
        <v>10881</v>
      </c>
      <c r="F1842" s="1" t="s">
        <v>10882</v>
      </c>
      <c r="G1842" s="1" t="s">
        <v>10883</v>
      </c>
      <c r="H1842" s="1" t="s">
        <v>10884</v>
      </c>
    </row>
    <row r="1843" spans="1:8" x14ac:dyDescent="0.3">
      <c r="A1843" s="2" t="s">
        <v>10885</v>
      </c>
      <c r="B1843" s="1" t="e">
        <f>-보다</f>
        <v>#NAME?</v>
      </c>
      <c r="C1843" s="1" t="s">
        <v>10886</v>
      </c>
      <c r="E1843" s="1" t="s">
        <v>10887</v>
      </c>
      <c r="F1843" s="1" t="s">
        <v>57</v>
      </c>
      <c r="G1843" s="1" t="s">
        <v>10888</v>
      </c>
      <c r="H1843" s="1" t="s">
        <v>10889</v>
      </c>
    </row>
    <row r="1844" spans="1:8" x14ac:dyDescent="0.3">
      <c r="A1844" s="2" t="s">
        <v>10890</v>
      </c>
      <c r="B1844" s="1" t="e">
        <f>-을/를</f>
        <v>#NAME?</v>
      </c>
      <c r="C1844" s="1" t="s">
        <v>10891</v>
      </c>
      <c r="E1844" s="1" t="s">
        <v>10892</v>
      </c>
      <c r="F1844" s="1" t="s">
        <v>57</v>
      </c>
      <c r="G1844" s="1" t="s">
        <v>10893</v>
      </c>
      <c r="H1844" s="1" t="s">
        <v>10894</v>
      </c>
    </row>
    <row r="1845" spans="1:8" x14ac:dyDescent="0.3">
      <c r="A1845" s="2">
        <v>31038</v>
      </c>
      <c r="B1845" s="1" t="s">
        <v>10895</v>
      </c>
    </row>
    <row r="1846" spans="1:8" x14ac:dyDescent="0.3">
      <c r="A1846" s="2" t="s">
        <v>10896</v>
      </c>
      <c r="B1846" s="1" t="e">
        <f>-이/가</f>
        <v>#NAME?</v>
      </c>
      <c r="C1846" s="1" t="s">
        <v>10897</v>
      </c>
      <c r="D1846" s="1" t="s">
        <v>10898</v>
      </c>
      <c r="E1846" s="1" t="s">
        <v>10899</v>
      </c>
      <c r="F1846" s="1" t="s">
        <v>57</v>
      </c>
      <c r="G1846" s="1" t="s">
        <v>10900</v>
      </c>
      <c r="H1846" s="1" t="s">
        <v>10901</v>
      </c>
    </row>
    <row r="1847" spans="1:8" x14ac:dyDescent="0.3">
      <c r="A1847" s="2" t="s">
        <v>10902</v>
      </c>
      <c r="B1847" s="1" t="e">
        <f>-보다</f>
        <v>#NAME?</v>
      </c>
      <c r="C1847" s="1" t="s">
        <v>10903</v>
      </c>
      <c r="E1847" s="1" t="s">
        <v>10904</v>
      </c>
      <c r="F1847" s="1" t="s">
        <v>57</v>
      </c>
      <c r="G1847" s="1" t="s">
        <v>10905</v>
      </c>
      <c r="H1847" s="1" t="s">
        <v>10906</v>
      </c>
    </row>
    <row r="1848" spans="1:8" x14ac:dyDescent="0.3">
      <c r="A1848" s="2" t="s">
        <v>10907</v>
      </c>
      <c r="B1848" s="1" t="e">
        <f>-을/를</f>
        <v>#NAME?</v>
      </c>
      <c r="C1848" s="1" t="s">
        <v>10908</v>
      </c>
      <c r="D1848" s="1" t="s">
        <v>10909</v>
      </c>
      <c r="E1848" s="1" t="s">
        <v>10910</v>
      </c>
      <c r="F1848" s="1" t="s">
        <v>10906</v>
      </c>
      <c r="G1848" s="1" t="s">
        <v>10911</v>
      </c>
      <c r="H1848" s="1" t="s">
        <v>10912</v>
      </c>
    </row>
    <row r="1849" spans="1:8" x14ac:dyDescent="0.3">
      <c r="A1849" s="2">
        <v>31039</v>
      </c>
      <c r="B1849" s="1" t="s">
        <v>10913</v>
      </c>
    </row>
    <row r="1850" spans="1:8" x14ac:dyDescent="0.3">
      <c r="A1850" s="2" t="s">
        <v>10914</v>
      </c>
      <c r="B1850" s="1" t="e">
        <f>-이/가</f>
        <v>#NAME?</v>
      </c>
      <c r="C1850" s="1" t="s">
        <v>10915</v>
      </c>
      <c r="D1850" s="1" t="s">
        <v>10916</v>
      </c>
      <c r="F1850" s="1" t="s">
        <v>57</v>
      </c>
      <c r="G1850" s="1" t="s">
        <v>10917</v>
      </c>
      <c r="H1850" s="1" t="s">
        <v>10918</v>
      </c>
    </row>
    <row r="1851" spans="1:8" x14ac:dyDescent="0.3">
      <c r="A1851" s="2" t="s">
        <v>10919</v>
      </c>
      <c r="B1851" s="1" t="e">
        <f>-보다</f>
        <v>#NAME?</v>
      </c>
      <c r="C1851" s="1" t="s">
        <v>10920</v>
      </c>
      <c r="E1851" s="1" t="s">
        <v>10921</v>
      </c>
      <c r="F1851" s="1" t="s">
        <v>10922</v>
      </c>
      <c r="G1851" s="1" t="s">
        <v>10923</v>
      </c>
      <c r="H1851" s="1" t="s">
        <v>10924</v>
      </c>
    </row>
    <row r="1852" spans="1:8" x14ac:dyDescent="0.3">
      <c r="A1852" s="2" t="s">
        <v>10925</v>
      </c>
      <c r="B1852" s="1" t="e">
        <f>-을/를</f>
        <v>#NAME?</v>
      </c>
      <c r="C1852" s="1" t="s">
        <v>10926</v>
      </c>
      <c r="D1852" s="1" t="s">
        <v>10927</v>
      </c>
      <c r="E1852" s="1" t="s">
        <v>10928</v>
      </c>
      <c r="F1852" s="1" t="s">
        <v>10929</v>
      </c>
      <c r="G1852" s="1" t="s">
        <v>10930</v>
      </c>
      <c r="H1852" s="1" t="s">
        <v>10931</v>
      </c>
    </row>
    <row r="1853" spans="1:8" x14ac:dyDescent="0.3">
      <c r="A1853" s="2">
        <v>31040</v>
      </c>
      <c r="B1853" s="1" t="s">
        <v>10932</v>
      </c>
    </row>
    <row r="1854" spans="1:8" x14ac:dyDescent="0.3">
      <c r="A1854" s="2" t="s">
        <v>10933</v>
      </c>
      <c r="B1854" s="1" t="e">
        <f>-이/가</f>
        <v>#NAME?</v>
      </c>
      <c r="C1854" s="1" t="s">
        <v>10934</v>
      </c>
      <c r="D1854" s="1" t="s">
        <v>10935</v>
      </c>
      <c r="E1854" s="1" t="s">
        <v>10936</v>
      </c>
      <c r="F1854" s="1" t="s">
        <v>10937</v>
      </c>
      <c r="G1854" s="1" t="s">
        <v>10938</v>
      </c>
      <c r="H1854" s="1" t="s">
        <v>10939</v>
      </c>
    </row>
    <row r="1855" spans="1:8" x14ac:dyDescent="0.3">
      <c r="A1855" s="2" t="s">
        <v>10940</v>
      </c>
      <c r="B1855" s="1" t="e">
        <f>-보다</f>
        <v>#NAME?</v>
      </c>
      <c r="C1855" s="1" t="s">
        <v>10941</v>
      </c>
      <c r="E1855" s="1" t="s">
        <v>10942</v>
      </c>
      <c r="F1855" s="1" t="s">
        <v>10943</v>
      </c>
      <c r="G1855" s="1" t="s">
        <v>10944</v>
      </c>
      <c r="H1855" s="1" t="s">
        <v>10945</v>
      </c>
    </row>
    <row r="1856" spans="1:8" x14ac:dyDescent="0.3">
      <c r="A1856" s="2" t="s">
        <v>10946</v>
      </c>
      <c r="B1856" s="1" t="e">
        <f>-을/를</f>
        <v>#NAME?</v>
      </c>
      <c r="C1856" s="1" t="s">
        <v>10947</v>
      </c>
      <c r="F1856" s="1" t="s">
        <v>57</v>
      </c>
      <c r="G1856" s="1" t="s">
        <v>10948</v>
      </c>
      <c r="H1856" s="1" t="s">
        <v>10949</v>
      </c>
    </row>
    <row r="1857" spans="1:8" x14ac:dyDescent="0.3">
      <c r="A1857" s="2">
        <v>31041</v>
      </c>
      <c r="B1857" s="1" t="s">
        <v>10950</v>
      </c>
    </row>
    <row r="1858" spans="1:8" x14ac:dyDescent="0.3">
      <c r="A1858" s="2" t="s">
        <v>10951</v>
      </c>
      <c r="B1858" s="1" t="e">
        <f>-이/가</f>
        <v>#NAME?</v>
      </c>
      <c r="C1858" s="1" t="s">
        <v>10952</v>
      </c>
      <c r="D1858" s="1" t="s">
        <v>10953</v>
      </c>
      <c r="E1858" s="1" t="s">
        <v>10954</v>
      </c>
      <c r="F1858" s="1" t="s">
        <v>57</v>
      </c>
      <c r="G1858" s="1" t="s">
        <v>10955</v>
      </c>
      <c r="H1858" s="1" t="s">
        <v>10956</v>
      </c>
    </row>
    <row r="1859" spans="1:8" x14ac:dyDescent="0.3">
      <c r="A1859" s="2" t="s">
        <v>10957</v>
      </c>
      <c r="B1859" s="1" t="e">
        <f>-보다</f>
        <v>#NAME?</v>
      </c>
      <c r="C1859" s="1" t="s">
        <v>10958</v>
      </c>
      <c r="E1859" s="1" t="s">
        <v>10959</v>
      </c>
      <c r="F1859" s="1" t="s">
        <v>10960</v>
      </c>
      <c r="G1859" s="1" t="s">
        <v>10961</v>
      </c>
      <c r="H1859" s="1" t="s">
        <v>10962</v>
      </c>
    </row>
    <row r="1860" spans="1:8" x14ac:dyDescent="0.3">
      <c r="A1860" s="2" t="s">
        <v>10963</v>
      </c>
      <c r="B1860" s="1" t="e">
        <f>-을/를</f>
        <v>#NAME?</v>
      </c>
      <c r="C1860" s="1" t="s">
        <v>10964</v>
      </c>
      <c r="D1860" s="1" t="s">
        <v>10965</v>
      </c>
      <c r="F1860" s="1" t="s">
        <v>10966</v>
      </c>
      <c r="G1860" s="1" t="s">
        <v>10967</v>
      </c>
      <c r="H1860" s="1" t="s">
        <v>10968</v>
      </c>
    </row>
    <row r="1861" spans="1:8" x14ac:dyDescent="0.3">
      <c r="A1861" s="2">
        <v>31042</v>
      </c>
      <c r="B1861" s="1" t="s">
        <v>10969</v>
      </c>
    </row>
    <row r="1862" spans="1:8" x14ac:dyDescent="0.3">
      <c r="A1862" s="2" t="s">
        <v>10970</v>
      </c>
      <c r="B1862" s="1" t="e">
        <f>-이/가</f>
        <v>#NAME?</v>
      </c>
      <c r="C1862" s="1" t="s">
        <v>10971</v>
      </c>
      <c r="D1862" s="1" t="s">
        <v>10972</v>
      </c>
      <c r="E1862" s="1" t="s">
        <v>10973</v>
      </c>
      <c r="F1862" s="1" t="s">
        <v>10974</v>
      </c>
      <c r="G1862" s="1" t="s">
        <v>10975</v>
      </c>
      <c r="H1862" s="1" t="s">
        <v>10976</v>
      </c>
    </row>
    <row r="1863" spans="1:8" x14ac:dyDescent="0.3">
      <c r="A1863" s="2" t="s">
        <v>10977</v>
      </c>
      <c r="B1863" s="1" t="e">
        <f>-보다</f>
        <v>#NAME?</v>
      </c>
      <c r="C1863" s="1" t="s">
        <v>10978</v>
      </c>
      <c r="D1863" s="1" t="s">
        <v>10979</v>
      </c>
      <c r="E1863" s="1" t="s">
        <v>10980</v>
      </c>
      <c r="F1863" s="1" t="s">
        <v>10972</v>
      </c>
      <c r="G1863" s="1" t="s">
        <v>10981</v>
      </c>
      <c r="H1863" s="1" t="s">
        <v>10982</v>
      </c>
    </row>
    <row r="1864" spans="1:8" x14ac:dyDescent="0.3">
      <c r="A1864" s="2" t="s">
        <v>10983</v>
      </c>
      <c r="B1864" s="1" t="e">
        <f>-을/를</f>
        <v>#NAME?</v>
      </c>
      <c r="C1864" s="1" t="s">
        <v>10984</v>
      </c>
      <c r="G1864" s="1" t="s">
        <v>10985</v>
      </c>
      <c r="H1864" s="1" t="s">
        <v>10986</v>
      </c>
    </row>
    <row r="1865" spans="1:8" x14ac:dyDescent="0.3">
      <c r="A1865" s="2">
        <v>31043</v>
      </c>
      <c r="B1865" s="1" t="s">
        <v>10987</v>
      </c>
    </row>
    <row r="1866" spans="1:8" x14ac:dyDescent="0.3">
      <c r="A1866" s="2" t="s">
        <v>10988</v>
      </c>
      <c r="B1866" s="1" t="e">
        <f>-이/가</f>
        <v>#NAME?</v>
      </c>
      <c r="C1866" s="1" t="s">
        <v>10989</v>
      </c>
      <c r="E1866" s="1" t="s">
        <v>10990</v>
      </c>
      <c r="F1866" s="1" t="s">
        <v>10991</v>
      </c>
      <c r="G1866" s="1" t="s">
        <v>10992</v>
      </c>
      <c r="H1866" s="1" t="s">
        <v>10993</v>
      </c>
    </row>
    <row r="1867" spans="1:8" x14ac:dyDescent="0.3">
      <c r="A1867" s="2" t="s">
        <v>10994</v>
      </c>
      <c r="B1867" s="1" t="e">
        <f>-보다</f>
        <v>#NAME?</v>
      </c>
      <c r="C1867" s="1" t="s">
        <v>10995</v>
      </c>
      <c r="F1867" s="1" t="s">
        <v>57</v>
      </c>
      <c r="G1867" s="1" t="s">
        <v>10996</v>
      </c>
    </row>
    <row r="1868" spans="1:8" x14ac:dyDescent="0.3">
      <c r="A1868" s="2" t="s">
        <v>10997</v>
      </c>
      <c r="B1868" s="1" t="e">
        <f>-을/를</f>
        <v>#NAME?</v>
      </c>
      <c r="D1868" s="1" t="s">
        <v>10998</v>
      </c>
      <c r="F1868" s="1" t="s">
        <v>57</v>
      </c>
      <c r="G1868" s="1" t="s">
        <v>10999</v>
      </c>
    </row>
    <row r="1869" spans="1:8" x14ac:dyDescent="0.3">
      <c r="A1869" s="2">
        <v>31044</v>
      </c>
      <c r="B1869" s="1" t="s">
        <v>11000</v>
      </c>
    </row>
    <row r="1870" spans="1:8" x14ac:dyDescent="0.3">
      <c r="A1870" s="2" t="s">
        <v>11001</v>
      </c>
      <c r="B1870" s="1" t="e">
        <f>-이/가</f>
        <v>#NAME?</v>
      </c>
      <c r="C1870" s="1" t="s">
        <v>11002</v>
      </c>
      <c r="E1870" s="1" t="s">
        <v>11003</v>
      </c>
      <c r="F1870" s="1" t="s">
        <v>11004</v>
      </c>
      <c r="G1870" s="1" t="s">
        <v>11005</v>
      </c>
      <c r="H1870" s="1" t="s">
        <v>11006</v>
      </c>
    </row>
    <row r="1871" spans="1:8" x14ac:dyDescent="0.3">
      <c r="A1871" s="2" t="s">
        <v>11007</v>
      </c>
      <c r="B1871" s="1" t="e">
        <f>-보다</f>
        <v>#NAME?</v>
      </c>
      <c r="C1871" s="1" t="s">
        <v>11008</v>
      </c>
      <c r="D1871" s="1" t="s">
        <v>11009</v>
      </c>
      <c r="F1871" s="1" t="s">
        <v>57</v>
      </c>
      <c r="G1871" s="1" t="s">
        <v>11010</v>
      </c>
      <c r="H1871" s="1" t="s">
        <v>11011</v>
      </c>
    </row>
    <row r="1872" spans="1:8" x14ac:dyDescent="0.3">
      <c r="A1872" s="2" t="s">
        <v>11012</v>
      </c>
      <c r="B1872" s="1" t="e">
        <f>-을/를</f>
        <v>#NAME?</v>
      </c>
      <c r="C1872" s="1" t="s">
        <v>11013</v>
      </c>
      <c r="F1872" s="1" t="s">
        <v>57</v>
      </c>
      <c r="G1872" s="1" t="s">
        <v>11014</v>
      </c>
      <c r="H1872" s="1" t="s">
        <v>11015</v>
      </c>
    </row>
    <row r="1873" spans="1:8" x14ac:dyDescent="0.3">
      <c r="A1873" s="2">
        <v>31045</v>
      </c>
      <c r="B1873" s="1" t="s">
        <v>11016</v>
      </c>
    </row>
    <row r="1874" spans="1:8" x14ac:dyDescent="0.3">
      <c r="A1874" s="2" t="s">
        <v>11017</v>
      </c>
      <c r="B1874" s="1" t="e">
        <f>-이/가</f>
        <v>#NAME?</v>
      </c>
      <c r="C1874" s="1" t="s">
        <v>11018</v>
      </c>
      <c r="E1874" s="1" t="s">
        <v>11019</v>
      </c>
      <c r="G1874" s="1" t="s">
        <v>11020</v>
      </c>
      <c r="H1874" s="1" t="s">
        <v>11021</v>
      </c>
    </row>
    <row r="1875" spans="1:8" x14ac:dyDescent="0.3">
      <c r="A1875" s="2" t="s">
        <v>11022</v>
      </c>
      <c r="B1875" s="1" t="e">
        <f>-보다</f>
        <v>#NAME?</v>
      </c>
      <c r="C1875" s="1" t="s">
        <v>11023</v>
      </c>
      <c r="F1875" s="1" t="s">
        <v>11024</v>
      </c>
      <c r="G1875" s="1" t="s">
        <v>11025</v>
      </c>
      <c r="H1875" s="1" t="s">
        <v>11026</v>
      </c>
    </row>
    <row r="1876" spans="1:8" x14ac:dyDescent="0.3">
      <c r="A1876" s="2" t="s">
        <v>11027</v>
      </c>
      <c r="B1876" s="1" t="e">
        <f>-을/를</f>
        <v>#NAME?</v>
      </c>
      <c r="C1876" s="1" t="s">
        <v>11028</v>
      </c>
      <c r="F1876" s="1" t="s">
        <v>57</v>
      </c>
      <c r="G1876" s="1" t="s">
        <v>11029</v>
      </c>
    </row>
    <row r="1877" spans="1:8" x14ac:dyDescent="0.3">
      <c r="A1877" s="2">
        <v>31046</v>
      </c>
      <c r="B1877" s="1" t="s">
        <v>11030</v>
      </c>
    </row>
    <row r="1878" spans="1:8" x14ac:dyDescent="0.3">
      <c r="A1878" s="2" t="s">
        <v>11031</v>
      </c>
      <c r="B1878" s="1" t="e">
        <f>-이/가</f>
        <v>#NAME?</v>
      </c>
      <c r="C1878" s="1" t="s">
        <v>11032</v>
      </c>
      <c r="D1878" s="1" t="s">
        <v>11033</v>
      </c>
      <c r="E1878" s="1" t="s">
        <v>11034</v>
      </c>
      <c r="F1878" s="1" t="s">
        <v>11035</v>
      </c>
      <c r="G1878" s="1" t="s">
        <v>11036</v>
      </c>
      <c r="H1878" s="1" t="s">
        <v>11037</v>
      </c>
    </row>
    <row r="1879" spans="1:8" x14ac:dyDescent="0.3">
      <c r="A1879" s="2" t="s">
        <v>11038</v>
      </c>
      <c r="B1879" s="1" t="e">
        <f>-보다</f>
        <v>#NAME?</v>
      </c>
      <c r="C1879" s="1" t="s">
        <v>11039</v>
      </c>
      <c r="D1879" s="1" t="s">
        <v>11040</v>
      </c>
      <c r="F1879" s="1" t="s">
        <v>11041</v>
      </c>
      <c r="G1879" s="1" t="s">
        <v>11042</v>
      </c>
      <c r="H1879" s="1" t="s">
        <v>11043</v>
      </c>
    </row>
    <row r="1880" spans="1:8" x14ac:dyDescent="0.3">
      <c r="A1880" s="2" t="s">
        <v>11044</v>
      </c>
      <c r="B1880" s="1" t="e">
        <f>-을/를</f>
        <v>#NAME?</v>
      </c>
      <c r="C1880" s="1" t="s">
        <v>11045</v>
      </c>
      <c r="E1880" s="1" t="s">
        <v>11046</v>
      </c>
      <c r="F1880" s="1" t="s">
        <v>57</v>
      </c>
      <c r="G1880" s="1" t="s">
        <v>11047</v>
      </c>
      <c r="H1880" s="1" t="s">
        <v>11048</v>
      </c>
    </row>
    <row r="1881" spans="1:8" x14ac:dyDescent="0.3">
      <c r="A1881" s="2">
        <v>31047</v>
      </c>
      <c r="B1881" s="1" t="s">
        <v>11049</v>
      </c>
    </row>
    <row r="1882" spans="1:8" x14ac:dyDescent="0.3">
      <c r="A1882" s="2" t="s">
        <v>11050</v>
      </c>
      <c r="B1882" s="1" t="e">
        <f>-이/가</f>
        <v>#NAME?</v>
      </c>
      <c r="C1882" s="1" t="s">
        <v>11051</v>
      </c>
      <c r="E1882" s="1" t="s">
        <v>11052</v>
      </c>
      <c r="F1882" s="1" t="s">
        <v>57</v>
      </c>
      <c r="G1882" s="1" t="s">
        <v>11053</v>
      </c>
      <c r="H1882" s="1" t="s">
        <v>11054</v>
      </c>
    </row>
    <row r="1883" spans="1:8" x14ac:dyDescent="0.3">
      <c r="A1883" s="2" t="s">
        <v>11055</v>
      </c>
      <c r="B1883" s="1" t="e">
        <f>-보다</f>
        <v>#NAME?</v>
      </c>
      <c r="C1883" s="1" t="s">
        <v>11056</v>
      </c>
      <c r="F1883" s="1" t="s">
        <v>11057</v>
      </c>
      <c r="G1883" s="1" t="s">
        <v>11058</v>
      </c>
      <c r="H1883" s="1" t="s">
        <v>11059</v>
      </c>
    </row>
    <row r="1884" spans="1:8" x14ac:dyDescent="0.3">
      <c r="A1884" s="2" t="s">
        <v>11060</v>
      </c>
      <c r="B1884" s="1" t="e">
        <f>-을/를</f>
        <v>#NAME?</v>
      </c>
      <c r="C1884" s="1" t="s">
        <v>11061</v>
      </c>
      <c r="F1884" s="1" t="s">
        <v>57</v>
      </c>
      <c r="G1884" s="1" t="s">
        <v>11062</v>
      </c>
      <c r="H1884" s="1" t="s">
        <v>11063</v>
      </c>
    </row>
    <row r="1885" spans="1:8" x14ac:dyDescent="0.3">
      <c r="A1885" s="2">
        <v>31048</v>
      </c>
      <c r="B1885" s="1" t="s">
        <v>11064</v>
      </c>
    </row>
    <row r="1886" spans="1:8" x14ac:dyDescent="0.3">
      <c r="A1886" s="2" t="s">
        <v>11065</v>
      </c>
      <c r="B1886" s="1" t="e">
        <f>-이/가</f>
        <v>#NAME?</v>
      </c>
      <c r="C1886" s="1" t="s">
        <v>11066</v>
      </c>
      <c r="D1886" s="1" t="s">
        <v>11067</v>
      </c>
      <c r="E1886" s="1" t="s">
        <v>11068</v>
      </c>
      <c r="F1886" s="1" t="s">
        <v>57</v>
      </c>
      <c r="G1886" s="1" t="s">
        <v>11069</v>
      </c>
      <c r="H1886" s="1" t="s">
        <v>11070</v>
      </c>
    </row>
    <row r="1887" spans="1:8" x14ac:dyDescent="0.3">
      <c r="A1887" s="2" t="s">
        <v>11071</v>
      </c>
      <c r="B1887" s="1" t="e">
        <f>-보다</f>
        <v>#NAME?</v>
      </c>
      <c r="C1887" s="1" t="s">
        <v>11072</v>
      </c>
      <c r="D1887" s="1" t="s">
        <v>11073</v>
      </c>
      <c r="E1887" s="1" t="s">
        <v>11074</v>
      </c>
      <c r="F1887" s="1" t="s">
        <v>11075</v>
      </c>
      <c r="G1887" s="1" t="s">
        <v>11076</v>
      </c>
      <c r="H1887" s="1" t="s">
        <v>11077</v>
      </c>
    </row>
    <row r="1888" spans="1:8" x14ac:dyDescent="0.3">
      <c r="A1888" s="2" t="s">
        <v>11078</v>
      </c>
      <c r="B1888" s="1" t="e">
        <f>-을/를</f>
        <v>#NAME?</v>
      </c>
      <c r="C1888" s="1" t="s">
        <v>11079</v>
      </c>
      <c r="E1888" s="1" t="s">
        <v>11080</v>
      </c>
      <c r="F1888" s="1" t="s">
        <v>11081</v>
      </c>
      <c r="G1888" s="1" t="s">
        <v>11082</v>
      </c>
      <c r="H1888" s="1" t="s">
        <v>11083</v>
      </c>
    </row>
    <row r="1889" spans="1:8" x14ac:dyDescent="0.3">
      <c r="A1889" s="2">
        <v>31049</v>
      </c>
      <c r="B1889" s="1" t="s">
        <v>11084</v>
      </c>
      <c r="D1889" s="1" t="s">
        <v>11085</v>
      </c>
    </row>
    <row r="1890" spans="1:8" x14ac:dyDescent="0.3">
      <c r="A1890" s="2" t="s">
        <v>11086</v>
      </c>
      <c r="B1890" s="1" t="e">
        <f>-이/가</f>
        <v>#NAME?</v>
      </c>
      <c r="C1890" s="1" t="s">
        <v>11087</v>
      </c>
      <c r="E1890" s="1" t="s">
        <v>11088</v>
      </c>
      <c r="F1890" s="1" t="s">
        <v>57</v>
      </c>
      <c r="G1890" s="1" t="s">
        <v>11089</v>
      </c>
      <c r="H1890" s="1" t="s">
        <v>11090</v>
      </c>
    </row>
    <row r="1891" spans="1:8" x14ac:dyDescent="0.3">
      <c r="A1891" s="2" t="s">
        <v>11091</v>
      </c>
      <c r="B1891" s="1" t="e">
        <f>-보다</f>
        <v>#NAME?</v>
      </c>
      <c r="C1891" s="1" t="s">
        <v>11092</v>
      </c>
      <c r="D1891" s="1" t="s">
        <v>11093</v>
      </c>
      <c r="E1891" s="1" t="s">
        <v>11094</v>
      </c>
      <c r="F1891" s="1" t="s">
        <v>57</v>
      </c>
      <c r="G1891" s="1" t="s">
        <v>11095</v>
      </c>
      <c r="H1891" s="1" t="s">
        <v>11096</v>
      </c>
    </row>
    <row r="1892" spans="1:8" x14ac:dyDescent="0.3">
      <c r="A1892" s="2" t="s">
        <v>11097</v>
      </c>
      <c r="B1892" s="1" t="e">
        <f>-을/를</f>
        <v>#NAME?</v>
      </c>
      <c r="C1892" s="1" t="s">
        <v>11098</v>
      </c>
      <c r="D1892" s="1" t="s">
        <v>11099</v>
      </c>
      <c r="F1892" s="1" t="s">
        <v>11100</v>
      </c>
      <c r="G1892" s="1" t="s">
        <v>11101</v>
      </c>
    </row>
    <row r="1893" spans="1:8" x14ac:dyDescent="0.3">
      <c r="A1893" s="2">
        <v>31050</v>
      </c>
      <c r="B1893" s="1" t="s">
        <v>11102</v>
      </c>
    </row>
    <row r="1894" spans="1:8" x14ac:dyDescent="0.3">
      <c r="A1894" s="2" t="s">
        <v>11103</v>
      </c>
      <c r="B1894" s="1" t="e">
        <f>-이/가</f>
        <v>#NAME?</v>
      </c>
      <c r="C1894" s="1" t="s">
        <v>11104</v>
      </c>
      <c r="E1894" s="1" t="s">
        <v>11105</v>
      </c>
      <c r="F1894" s="1" t="s">
        <v>11106</v>
      </c>
      <c r="G1894" s="1" t="s">
        <v>11107</v>
      </c>
      <c r="H1894" s="1" t="s">
        <v>11108</v>
      </c>
    </row>
    <row r="1895" spans="1:8" x14ac:dyDescent="0.3">
      <c r="A1895" s="2" t="s">
        <v>11109</v>
      </c>
      <c r="B1895" s="1" t="e">
        <f>-보다</f>
        <v>#NAME?</v>
      </c>
      <c r="C1895" s="1" t="s">
        <v>11110</v>
      </c>
      <c r="D1895" s="1" t="s">
        <v>11106</v>
      </c>
      <c r="E1895" s="1" t="s">
        <v>11111</v>
      </c>
      <c r="F1895" s="1" t="s">
        <v>57</v>
      </c>
      <c r="G1895" s="1" t="s">
        <v>11112</v>
      </c>
      <c r="H1895" s="1" t="s">
        <v>11113</v>
      </c>
    </row>
    <row r="1896" spans="1:8" x14ac:dyDescent="0.3">
      <c r="A1896" s="2" t="s">
        <v>11114</v>
      </c>
      <c r="B1896" s="1" t="e">
        <f>-을/를</f>
        <v>#NAME?</v>
      </c>
      <c r="C1896" s="1" t="s">
        <v>11115</v>
      </c>
      <c r="E1896" s="1" t="s">
        <v>11116</v>
      </c>
      <c r="F1896" s="1" t="s">
        <v>11117</v>
      </c>
      <c r="H1896" s="1" t="s">
        <v>11118</v>
      </c>
    </row>
    <row r="1897" spans="1:8" x14ac:dyDescent="0.3">
      <c r="A1897" s="2">
        <v>31051</v>
      </c>
      <c r="B1897" s="1" t="s">
        <v>11119</v>
      </c>
    </row>
    <row r="1898" spans="1:8" x14ac:dyDescent="0.3">
      <c r="A1898" s="2" t="s">
        <v>11120</v>
      </c>
      <c r="B1898" s="1" t="e">
        <f>-이/가</f>
        <v>#NAME?</v>
      </c>
      <c r="C1898" s="1" t="s">
        <v>11121</v>
      </c>
      <c r="D1898" s="1" t="s">
        <v>11122</v>
      </c>
      <c r="E1898" s="1" t="s">
        <v>11123</v>
      </c>
      <c r="F1898" s="1" t="s">
        <v>11124</v>
      </c>
      <c r="G1898" s="1" t="s">
        <v>11125</v>
      </c>
      <c r="H1898" s="1" t="s">
        <v>11126</v>
      </c>
    </row>
    <row r="1899" spans="1:8" x14ac:dyDescent="0.3">
      <c r="A1899" s="2" t="s">
        <v>11127</v>
      </c>
      <c r="B1899" s="1" t="e">
        <f>-보다</f>
        <v>#NAME?</v>
      </c>
      <c r="C1899" s="1" t="s">
        <v>11128</v>
      </c>
      <c r="E1899" s="1" t="s">
        <v>11129</v>
      </c>
      <c r="F1899" s="1" t="s">
        <v>11130</v>
      </c>
      <c r="G1899" s="1" t="s">
        <v>11131</v>
      </c>
      <c r="H1899" s="1" t="s">
        <v>11132</v>
      </c>
    </row>
    <row r="1900" spans="1:8" x14ac:dyDescent="0.3">
      <c r="A1900" s="2" t="s">
        <v>11133</v>
      </c>
      <c r="B1900" s="1" t="e">
        <f>-을/를</f>
        <v>#NAME?</v>
      </c>
      <c r="C1900" s="1" t="s">
        <v>11134</v>
      </c>
      <c r="E1900" s="1" t="s">
        <v>11135</v>
      </c>
      <c r="F1900" s="1" t="s">
        <v>57</v>
      </c>
      <c r="G1900" s="1" t="s">
        <v>11136</v>
      </c>
      <c r="H1900" s="1" t="s">
        <v>11137</v>
      </c>
    </row>
    <row r="1901" spans="1:8" x14ac:dyDescent="0.3">
      <c r="A1901" s="2">
        <v>31052</v>
      </c>
      <c r="B1901" s="1" t="s">
        <v>11138</v>
      </c>
    </row>
    <row r="1902" spans="1:8" x14ac:dyDescent="0.3">
      <c r="A1902" s="2" t="s">
        <v>11139</v>
      </c>
      <c r="B1902" s="1" t="e">
        <f>-이/가</f>
        <v>#NAME?</v>
      </c>
      <c r="C1902" s="1" t="s">
        <v>11140</v>
      </c>
      <c r="D1902" s="1" t="s">
        <v>11141</v>
      </c>
      <c r="E1902" s="1" t="s">
        <v>11142</v>
      </c>
      <c r="F1902" s="1" t="s">
        <v>11143</v>
      </c>
      <c r="G1902" s="1" t="s">
        <v>11144</v>
      </c>
      <c r="H1902" s="1" t="s">
        <v>11145</v>
      </c>
    </row>
    <row r="1903" spans="1:8" x14ac:dyDescent="0.3">
      <c r="A1903" s="2" t="s">
        <v>11146</v>
      </c>
      <c r="B1903" s="1" t="e">
        <f>-보다</f>
        <v>#NAME?</v>
      </c>
      <c r="C1903" s="1" t="s">
        <v>11147</v>
      </c>
      <c r="D1903" s="1" t="s">
        <v>11148</v>
      </c>
      <c r="E1903" s="1" t="s">
        <v>11149</v>
      </c>
      <c r="F1903" s="1" t="s">
        <v>11150</v>
      </c>
      <c r="G1903" s="1" t="s">
        <v>11151</v>
      </c>
      <c r="H1903" s="1" t="s">
        <v>11152</v>
      </c>
    </row>
    <row r="1904" spans="1:8" x14ac:dyDescent="0.3">
      <c r="A1904" s="2" t="s">
        <v>11153</v>
      </c>
      <c r="B1904" s="1" t="e">
        <f>-을/를</f>
        <v>#NAME?</v>
      </c>
      <c r="C1904" s="1" t="s">
        <v>11154</v>
      </c>
      <c r="E1904" s="1" t="s">
        <v>11155</v>
      </c>
      <c r="F1904" s="1" t="s">
        <v>57</v>
      </c>
      <c r="G1904" s="1" t="s">
        <v>11156</v>
      </c>
      <c r="H1904" s="1" t="s">
        <v>11157</v>
      </c>
    </row>
    <row r="1905" spans="1:8" x14ac:dyDescent="0.3">
      <c r="A1905" s="2">
        <v>31053</v>
      </c>
      <c r="B1905" s="1" t="s">
        <v>11158</v>
      </c>
      <c r="C1905" s="1" t="s">
        <v>11159</v>
      </c>
    </row>
    <row r="1906" spans="1:8" x14ac:dyDescent="0.3">
      <c r="A1906" s="2" t="s">
        <v>11160</v>
      </c>
      <c r="B1906" s="1" t="e">
        <f>-이/가</f>
        <v>#NAME?</v>
      </c>
      <c r="C1906" s="1" t="s">
        <v>11161</v>
      </c>
      <c r="E1906" s="1" t="s">
        <v>11162</v>
      </c>
      <c r="F1906" s="1" t="s">
        <v>11163</v>
      </c>
      <c r="G1906" s="1" t="s">
        <v>11164</v>
      </c>
      <c r="H1906" s="1" t="s">
        <v>11165</v>
      </c>
    </row>
    <row r="1907" spans="1:8" x14ac:dyDescent="0.3">
      <c r="A1907" s="2" t="s">
        <v>11166</v>
      </c>
      <c r="B1907" s="1" t="e">
        <f>-보다</f>
        <v>#NAME?</v>
      </c>
      <c r="C1907" s="1" t="s">
        <v>11167</v>
      </c>
      <c r="E1907" s="1" t="s">
        <v>11168</v>
      </c>
      <c r="F1907" s="1" t="s">
        <v>11169</v>
      </c>
      <c r="G1907" s="1" t="s">
        <v>11170</v>
      </c>
      <c r="H1907" s="1" t="s">
        <v>11171</v>
      </c>
    </row>
    <row r="1908" spans="1:8" x14ac:dyDescent="0.3">
      <c r="A1908" s="2">
        <v>31054</v>
      </c>
      <c r="B1908" s="1" t="s">
        <v>11172</v>
      </c>
    </row>
    <row r="1909" spans="1:8" x14ac:dyDescent="0.3">
      <c r="A1909" s="2" t="s">
        <v>11173</v>
      </c>
      <c r="B1909" s="1" t="e">
        <f>-이/가</f>
        <v>#NAME?</v>
      </c>
      <c r="C1909" s="1" t="s">
        <v>11174</v>
      </c>
      <c r="E1909" s="1" t="s">
        <v>11175</v>
      </c>
      <c r="G1909" s="1" t="s">
        <v>11175</v>
      </c>
      <c r="H1909" s="1" t="s">
        <v>11175</v>
      </c>
    </row>
    <row r="1910" spans="1:8" x14ac:dyDescent="0.3">
      <c r="A1910" s="2" t="s">
        <v>11176</v>
      </c>
      <c r="B1910" s="1" t="e">
        <f>-보다</f>
        <v>#NAME?</v>
      </c>
      <c r="C1910" s="1" t="s">
        <v>11177</v>
      </c>
      <c r="E1910" s="1" t="s">
        <v>11178</v>
      </c>
      <c r="F1910" s="1" t="s">
        <v>11179</v>
      </c>
      <c r="G1910" s="1" t="s">
        <v>11180</v>
      </c>
      <c r="H1910" s="1" t="s">
        <v>11181</v>
      </c>
    </row>
    <row r="1911" spans="1:8" x14ac:dyDescent="0.3">
      <c r="A1911" s="2">
        <v>31055</v>
      </c>
      <c r="B1911" s="1" t="s">
        <v>10662</v>
      </c>
    </row>
    <row r="1912" spans="1:8" x14ac:dyDescent="0.3">
      <c r="A1912" s="2" t="s">
        <v>11182</v>
      </c>
      <c r="B1912" s="1" t="e">
        <f>-이/가</f>
        <v>#NAME?</v>
      </c>
      <c r="C1912" s="1" t="s">
        <v>11183</v>
      </c>
      <c r="D1912" s="1" t="s">
        <v>11184</v>
      </c>
      <c r="E1912" s="1" t="s">
        <v>11185</v>
      </c>
      <c r="F1912" s="1" t="s">
        <v>10666</v>
      </c>
      <c r="G1912" s="1" t="s">
        <v>11186</v>
      </c>
      <c r="H1912" s="1" t="s">
        <v>11187</v>
      </c>
    </row>
    <row r="1913" spans="1:8" x14ac:dyDescent="0.3">
      <c r="A1913" s="2" t="s">
        <v>11188</v>
      </c>
      <c r="B1913" s="1" t="e">
        <f>-보다</f>
        <v>#NAME?</v>
      </c>
      <c r="C1913" s="1" t="s">
        <v>11189</v>
      </c>
      <c r="D1913" s="1" t="s">
        <v>11190</v>
      </c>
      <c r="F1913" s="1" t="s">
        <v>11191</v>
      </c>
      <c r="G1913" s="1" t="s">
        <v>11192</v>
      </c>
      <c r="H1913" s="1" t="s">
        <v>11193</v>
      </c>
    </row>
    <row r="1914" spans="1:8" x14ac:dyDescent="0.3">
      <c r="A1914" s="2">
        <v>31056</v>
      </c>
      <c r="B1914" s="1" t="s">
        <v>11194</v>
      </c>
    </row>
    <row r="1915" spans="1:8" x14ac:dyDescent="0.3">
      <c r="A1915" s="2" t="s">
        <v>11195</v>
      </c>
      <c r="B1915" s="1" t="e">
        <f>-이/가</f>
        <v>#NAME?</v>
      </c>
      <c r="C1915" s="1" t="s">
        <v>11196</v>
      </c>
      <c r="E1915" s="1" t="s">
        <v>11197</v>
      </c>
      <c r="F1915" s="1" t="s">
        <v>11198</v>
      </c>
      <c r="G1915" s="1" t="s">
        <v>11199</v>
      </c>
      <c r="H1915" s="1" t="s">
        <v>11200</v>
      </c>
    </row>
    <row r="1916" spans="1:8" x14ac:dyDescent="0.3">
      <c r="A1916" s="2" t="s">
        <v>11201</v>
      </c>
      <c r="B1916" s="1" t="e">
        <f>-보다</f>
        <v>#NAME?</v>
      </c>
      <c r="C1916" s="1" t="s">
        <v>11202</v>
      </c>
      <c r="D1916" s="1" t="s">
        <v>11203</v>
      </c>
      <c r="F1916" s="1" t="s">
        <v>11204</v>
      </c>
      <c r="G1916" s="1" t="s">
        <v>11205</v>
      </c>
      <c r="H1916" s="1" t="s">
        <v>11206</v>
      </c>
    </row>
    <row r="1917" spans="1:8" x14ac:dyDescent="0.3">
      <c r="A1917" s="2">
        <v>31057</v>
      </c>
      <c r="B1917" s="1" t="s">
        <v>11207</v>
      </c>
    </row>
    <row r="1918" spans="1:8" x14ac:dyDescent="0.3">
      <c r="A1918" s="2" t="s">
        <v>11208</v>
      </c>
      <c r="B1918" s="1" t="e">
        <f>-이/가</f>
        <v>#NAME?</v>
      </c>
      <c r="C1918" s="1" t="s">
        <v>11209</v>
      </c>
      <c r="D1918" s="1" t="s">
        <v>11210</v>
      </c>
      <c r="E1918" s="1" t="s">
        <v>11211</v>
      </c>
      <c r="F1918" s="1" t="s">
        <v>11212</v>
      </c>
      <c r="G1918" s="1" t="s">
        <v>11213</v>
      </c>
      <c r="H1918" s="1" t="s">
        <v>11214</v>
      </c>
    </row>
    <row r="1919" spans="1:8" x14ac:dyDescent="0.3">
      <c r="A1919" s="2" t="s">
        <v>11215</v>
      </c>
      <c r="B1919" s="1" t="e">
        <f>-보다</f>
        <v>#NAME?</v>
      </c>
      <c r="C1919" s="1" t="s">
        <v>11216</v>
      </c>
      <c r="E1919" s="1" t="s">
        <v>11217</v>
      </c>
      <c r="F1919" s="1" t="s">
        <v>11218</v>
      </c>
      <c r="G1919" s="1" t="s">
        <v>11219</v>
      </c>
      <c r="H1919" s="1" t="s">
        <v>11218</v>
      </c>
    </row>
    <row r="1920" spans="1:8" x14ac:dyDescent="0.3">
      <c r="A1920" s="2">
        <v>31058</v>
      </c>
      <c r="B1920" s="1" t="s">
        <v>11220</v>
      </c>
      <c r="D1920" s="1" t="s">
        <v>11221</v>
      </c>
    </row>
    <row r="1921" spans="1:8" x14ac:dyDescent="0.3">
      <c r="A1921" s="2" t="s">
        <v>11222</v>
      </c>
      <c r="B1921" s="1" t="e">
        <f>-이/가</f>
        <v>#NAME?</v>
      </c>
      <c r="C1921" s="1" t="s">
        <v>11223</v>
      </c>
      <c r="D1921" s="1" t="s">
        <v>11224</v>
      </c>
      <c r="E1921" s="1" t="s">
        <v>11225</v>
      </c>
      <c r="F1921" s="1" t="s">
        <v>9262</v>
      </c>
      <c r="G1921" s="1" t="s">
        <v>9262</v>
      </c>
      <c r="H1921" s="1" t="s">
        <v>9262</v>
      </c>
    </row>
    <row r="1922" spans="1:8" x14ac:dyDescent="0.3">
      <c r="A1922" s="2" t="s">
        <v>11226</v>
      </c>
      <c r="B1922" s="1" t="e">
        <f>-보다</f>
        <v>#NAME?</v>
      </c>
      <c r="C1922" s="1" t="s">
        <v>11227</v>
      </c>
      <c r="D1922" s="1" t="s">
        <v>11228</v>
      </c>
      <c r="E1922" s="1" t="s">
        <v>11229</v>
      </c>
      <c r="F1922" s="1" t="s">
        <v>11230</v>
      </c>
      <c r="G1922" s="1" t="s">
        <v>11231</v>
      </c>
      <c r="H1922" s="1" t="s">
        <v>11232</v>
      </c>
    </row>
    <row r="1923" spans="1:8" x14ac:dyDescent="0.3">
      <c r="A1923" s="2">
        <v>31059</v>
      </c>
      <c r="B1923" s="1" t="s">
        <v>11233</v>
      </c>
    </row>
    <row r="1924" spans="1:8" x14ac:dyDescent="0.3">
      <c r="A1924" s="2" t="s">
        <v>11234</v>
      </c>
      <c r="B1924" s="1" t="e">
        <f>-이/가</f>
        <v>#NAME?</v>
      </c>
      <c r="C1924" s="1" t="s">
        <v>11235</v>
      </c>
      <c r="D1924" s="1" t="s">
        <v>11236</v>
      </c>
      <c r="E1924" s="1" t="s">
        <v>11237</v>
      </c>
      <c r="F1924" s="1" t="s">
        <v>11238</v>
      </c>
      <c r="G1924" s="1" t="s">
        <v>11238</v>
      </c>
      <c r="H1924" s="1" t="s">
        <v>11238</v>
      </c>
    </row>
    <row r="1925" spans="1:8" x14ac:dyDescent="0.3">
      <c r="A1925" s="2" t="s">
        <v>11239</v>
      </c>
      <c r="B1925" s="1" t="e">
        <f>-보다</f>
        <v>#NAME?</v>
      </c>
      <c r="C1925" s="1" t="s">
        <v>11240</v>
      </c>
      <c r="E1925" s="1" t="s">
        <v>11241</v>
      </c>
      <c r="F1925" s="1" t="s">
        <v>11242</v>
      </c>
      <c r="G1925" s="1" t="s">
        <v>11242</v>
      </c>
      <c r="H1925" s="1" t="s">
        <v>11243</v>
      </c>
    </row>
    <row r="1926" spans="1:8" x14ac:dyDescent="0.3">
      <c r="A1926" s="2">
        <v>31060</v>
      </c>
      <c r="B1926" s="1" t="s">
        <v>11244</v>
      </c>
    </row>
    <row r="1927" spans="1:8" x14ac:dyDescent="0.3">
      <c r="A1927" s="2" t="s">
        <v>11245</v>
      </c>
      <c r="B1927" s="1" t="e">
        <f>-이/가</f>
        <v>#NAME?</v>
      </c>
      <c r="C1927" s="1" t="s">
        <v>11246</v>
      </c>
      <c r="D1927" s="1" t="s">
        <v>11247</v>
      </c>
      <c r="E1927" s="1" t="s">
        <v>11248</v>
      </c>
      <c r="F1927" s="1" t="s">
        <v>11249</v>
      </c>
      <c r="G1927" s="1" t="s">
        <v>11250</v>
      </c>
      <c r="H1927" s="1" t="s">
        <v>11251</v>
      </c>
    </row>
    <row r="1928" spans="1:8" x14ac:dyDescent="0.3">
      <c r="A1928" s="2" t="s">
        <v>11252</v>
      </c>
      <c r="B1928" s="1" t="e">
        <f>-보다</f>
        <v>#NAME?</v>
      </c>
      <c r="C1928" s="1" t="s">
        <v>11253</v>
      </c>
      <c r="E1928" s="1" t="s">
        <v>11254</v>
      </c>
      <c r="F1928" s="1" t="s">
        <v>11255</v>
      </c>
      <c r="G1928" s="1" t="s">
        <v>11256</v>
      </c>
      <c r="H1928" s="1" t="s">
        <v>11257</v>
      </c>
    </row>
    <row r="1929" spans="1:8" x14ac:dyDescent="0.3">
      <c r="A1929" s="2">
        <v>31061</v>
      </c>
      <c r="B1929" s="1" t="s">
        <v>11258</v>
      </c>
    </row>
    <row r="1930" spans="1:8" x14ac:dyDescent="0.3">
      <c r="A1930" s="2" t="s">
        <v>11259</v>
      </c>
      <c r="B1930" s="1" t="e">
        <f>-이/가</f>
        <v>#NAME?</v>
      </c>
      <c r="C1930" s="1" t="s">
        <v>11260</v>
      </c>
      <c r="D1930" s="1" t="s">
        <v>11261</v>
      </c>
      <c r="E1930" s="1" t="s">
        <v>11262</v>
      </c>
      <c r="F1930" s="1" t="s">
        <v>11263</v>
      </c>
      <c r="G1930" s="1" t="s">
        <v>11264</v>
      </c>
      <c r="H1930" s="1" t="s">
        <v>11265</v>
      </c>
    </row>
    <row r="1931" spans="1:8" x14ac:dyDescent="0.3">
      <c r="A1931" s="2" t="s">
        <v>11266</v>
      </c>
      <c r="B1931" s="1" t="e">
        <f>-보다</f>
        <v>#NAME?</v>
      </c>
      <c r="C1931" s="1" t="s">
        <v>11267</v>
      </c>
      <c r="D1931" s="1" t="s">
        <v>11268</v>
      </c>
      <c r="E1931" s="1" t="s">
        <v>11269</v>
      </c>
      <c r="F1931" s="1" t="s">
        <v>11270</v>
      </c>
      <c r="G1931" s="1" t="s">
        <v>11271</v>
      </c>
      <c r="H1931" s="1" t="s">
        <v>11272</v>
      </c>
    </row>
    <row r="1932" spans="1:8" x14ac:dyDescent="0.3">
      <c r="A1932" s="2">
        <v>31062</v>
      </c>
      <c r="B1932" s="1" t="s">
        <v>11273</v>
      </c>
    </row>
    <row r="1933" spans="1:8" x14ac:dyDescent="0.3">
      <c r="A1933" s="2" t="s">
        <v>11274</v>
      </c>
      <c r="B1933" s="1" t="e">
        <f>-이/가</f>
        <v>#NAME?</v>
      </c>
      <c r="C1933" s="1" t="s">
        <v>11275</v>
      </c>
      <c r="E1933" s="1" t="s">
        <v>11276</v>
      </c>
      <c r="F1933" s="1" t="s">
        <v>11277</v>
      </c>
      <c r="G1933" s="1" t="s">
        <v>11278</v>
      </c>
      <c r="H1933" s="1" t="s">
        <v>11279</v>
      </c>
    </row>
    <row r="1934" spans="1:8" x14ac:dyDescent="0.3">
      <c r="A1934" s="2" t="s">
        <v>11280</v>
      </c>
      <c r="B1934" s="1" t="e">
        <f>-보다</f>
        <v>#NAME?</v>
      </c>
      <c r="C1934" s="1" t="s">
        <v>11281</v>
      </c>
      <c r="D1934" s="1" t="s">
        <v>11282</v>
      </c>
      <c r="F1934" s="1" t="s">
        <v>11283</v>
      </c>
      <c r="G1934" s="1" t="s">
        <v>11284</v>
      </c>
      <c r="H1934" s="1" t="s">
        <v>11270</v>
      </c>
    </row>
    <row r="1935" spans="1:8" x14ac:dyDescent="0.3">
      <c r="A1935" s="2">
        <v>31063</v>
      </c>
      <c r="B1935" s="1" t="s">
        <v>11285</v>
      </c>
    </row>
    <row r="1936" spans="1:8" x14ac:dyDescent="0.3">
      <c r="A1936" s="2" t="s">
        <v>11286</v>
      </c>
      <c r="B1936" s="1" t="e">
        <f>-이/가</f>
        <v>#NAME?</v>
      </c>
      <c r="C1936" s="1" t="s">
        <v>11287</v>
      </c>
      <c r="D1936" s="1" t="s">
        <v>11288</v>
      </c>
      <c r="E1936" s="1" t="s">
        <v>11289</v>
      </c>
      <c r="F1936" s="1" t="s">
        <v>11290</v>
      </c>
      <c r="G1936" s="1" t="s">
        <v>11291</v>
      </c>
      <c r="H1936" s="1" t="s">
        <v>11292</v>
      </c>
    </row>
    <row r="1937" spans="1:8" x14ac:dyDescent="0.3">
      <c r="A1937" s="2" t="s">
        <v>11293</v>
      </c>
      <c r="B1937" s="1" t="e">
        <f>-보다</f>
        <v>#NAME?</v>
      </c>
      <c r="C1937" s="1" t="s">
        <v>11294</v>
      </c>
      <c r="D1937" s="1" t="s">
        <v>11295</v>
      </c>
      <c r="E1937" s="1" t="s">
        <v>11296</v>
      </c>
      <c r="F1937" s="1" t="s">
        <v>11292</v>
      </c>
      <c r="H1937" s="1" t="s">
        <v>11289</v>
      </c>
    </row>
    <row r="1938" spans="1:8" x14ac:dyDescent="0.3">
      <c r="A1938" s="2">
        <v>31064</v>
      </c>
      <c r="B1938" s="1" t="s">
        <v>11297</v>
      </c>
    </row>
    <row r="1939" spans="1:8" x14ac:dyDescent="0.3">
      <c r="A1939" s="2" t="s">
        <v>11298</v>
      </c>
      <c r="B1939" s="1" t="e">
        <f>-이/가</f>
        <v>#NAME?</v>
      </c>
      <c r="C1939" s="1" t="s">
        <v>11299</v>
      </c>
      <c r="E1939" s="1" t="s">
        <v>11300</v>
      </c>
      <c r="F1939" s="1" t="s">
        <v>11301</v>
      </c>
      <c r="G1939" s="1" t="s">
        <v>11302</v>
      </c>
      <c r="H1939" s="1" t="s">
        <v>11303</v>
      </c>
    </row>
    <row r="1940" spans="1:8" x14ac:dyDescent="0.3">
      <c r="A1940" s="2" t="s">
        <v>11304</v>
      </c>
      <c r="B1940" s="1" t="e">
        <f>-보다</f>
        <v>#NAME?</v>
      </c>
      <c r="C1940" s="1" t="s">
        <v>11305</v>
      </c>
      <c r="D1940" s="1" t="s">
        <v>11306</v>
      </c>
      <c r="E1940" s="1" t="s">
        <v>11307</v>
      </c>
      <c r="G1940" s="1" t="s">
        <v>11308</v>
      </c>
      <c r="H1940" s="1" t="s">
        <v>11309</v>
      </c>
    </row>
    <row r="1941" spans="1:8" x14ac:dyDescent="0.3">
      <c r="A1941" s="2">
        <v>31065</v>
      </c>
      <c r="B1941" s="1" t="s">
        <v>11310</v>
      </c>
    </row>
    <row r="1942" spans="1:8" x14ac:dyDescent="0.3">
      <c r="A1942" s="2" t="s">
        <v>11311</v>
      </c>
      <c r="B1942" s="1" t="e">
        <f>-이/가</f>
        <v>#NAME?</v>
      </c>
      <c r="C1942" s="1" t="s">
        <v>11312</v>
      </c>
      <c r="D1942" s="1" t="s">
        <v>11313</v>
      </c>
      <c r="E1942" s="1" t="s">
        <v>11314</v>
      </c>
      <c r="F1942" s="1" t="s">
        <v>11315</v>
      </c>
      <c r="G1942" s="1" t="s">
        <v>11315</v>
      </c>
      <c r="H1942" s="1" t="s">
        <v>11316</v>
      </c>
    </row>
    <row r="1943" spans="1:8" x14ac:dyDescent="0.3">
      <c r="A1943" s="2" t="s">
        <v>11317</v>
      </c>
      <c r="B1943" s="1" t="e">
        <f>-보다</f>
        <v>#NAME?</v>
      </c>
      <c r="C1943" s="1" t="s">
        <v>11318</v>
      </c>
      <c r="D1943" s="1" t="s">
        <v>11319</v>
      </c>
      <c r="E1943" s="1" t="s">
        <v>11320</v>
      </c>
      <c r="F1943" s="1" t="s">
        <v>11321</v>
      </c>
      <c r="G1943" s="1" t="s">
        <v>11322</v>
      </c>
      <c r="H1943" s="1" t="s">
        <v>11322</v>
      </c>
    </row>
    <row r="1944" spans="1:8" x14ac:dyDescent="0.3">
      <c r="A1944" s="2">
        <v>31066</v>
      </c>
      <c r="B1944" s="1" t="s">
        <v>11323</v>
      </c>
    </row>
    <row r="1945" spans="1:8" x14ac:dyDescent="0.3">
      <c r="A1945" s="2" t="s">
        <v>11324</v>
      </c>
      <c r="B1945" s="1" t="e">
        <f>-이/가</f>
        <v>#NAME?</v>
      </c>
      <c r="C1945" s="1" t="s">
        <v>11325</v>
      </c>
      <c r="D1945" s="1" t="s">
        <v>11326</v>
      </c>
      <c r="E1945" s="1" t="s">
        <v>11327</v>
      </c>
      <c r="F1945" s="1" t="s">
        <v>11328</v>
      </c>
      <c r="G1945" s="1" t="s">
        <v>11329</v>
      </c>
      <c r="H1945" s="1" t="s">
        <v>11329</v>
      </c>
    </row>
    <row r="1946" spans="1:8" x14ac:dyDescent="0.3">
      <c r="A1946" s="2" t="s">
        <v>11330</v>
      </c>
      <c r="B1946" s="1" t="e">
        <f>-보다</f>
        <v>#NAME?</v>
      </c>
      <c r="C1946" s="1" t="s">
        <v>11331</v>
      </c>
      <c r="E1946" s="1" t="s">
        <v>11332</v>
      </c>
      <c r="F1946" s="1" t="s">
        <v>11333</v>
      </c>
      <c r="G1946" s="1" t="s">
        <v>11334</v>
      </c>
      <c r="H1946" s="1" t="s">
        <v>11334</v>
      </c>
    </row>
    <row r="1947" spans="1:8" x14ac:dyDescent="0.3">
      <c r="A1947" s="2">
        <v>31067</v>
      </c>
      <c r="B1947" s="1" t="s">
        <v>11335</v>
      </c>
    </row>
    <row r="1948" spans="1:8" x14ac:dyDescent="0.3">
      <c r="A1948" s="2" t="s">
        <v>11336</v>
      </c>
      <c r="B1948" s="1" t="e">
        <f>-이/가</f>
        <v>#NAME?</v>
      </c>
      <c r="C1948" s="1" t="s">
        <v>11337</v>
      </c>
      <c r="E1948" s="1" t="s">
        <v>11338</v>
      </c>
      <c r="F1948" s="1" t="s">
        <v>11339</v>
      </c>
      <c r="G1948" s="1" t="s">
        <v>11339</v>
      </c>
      <c r="H1948" s="1" t="s">
        <v>11339</v>
      </c>
    </row>
    <row r="1949" spans="1:8" x14ac:dyDescent="0.3">
      <c r="A1949" s="2" t="s">
        <v>11340</v>
      </c>
      <c r="B1949" s="1" t="e">
        <f>-보다</f>
        <v>#NAME?</v>
      </c>
      <c r="C1949" s="1" t="s">
        <v>11341</v>
      </c>
      <c r="D1949" s="1" t="s">
        <v>11342</v>
      </c>
      <c r="E1949" s="1" t="s">
        <v>10637</v>
      </c>
      <c r="F1949" s="1" t="s">
        <v>11343</v>
      </c>
      <c r="G1949" s="1" t="s">
        <v>11343</v>
      </c>
      <c r="H1949" s="1" t="s">
        <v>11343</v>
      </c>
    </row>
    <row r="1950" spans="1:8" x14ac:dyDescent="0.3">
      <c r="A1950" s="2">
        <v>31068</v>
      </c>
      <c r="B1950" s="1" t="s">
        <v>11344</v>
      </c>
    </row>
    <row r="1951" spans="1:8" x14ac:dyDescent="0.3">
      <c r="A1951" s="2" t="s">
        <v>11345</v>
      </c>
      <c r="B1951" s="1" t="e">
        <f>-이/가</f>
        <v>#NAME?</v>
      </c>
      <c r="C1951" s="1" t="s">
        <v>11346</v>
      </c>
      <c r="D1951" s="1" t="s">
        <v>11347</v>
      </c>
      <c r="E1951" s="1" t="s">
        <v>11348</v>
      </c>
      <c r="F1951" s="1" t="s">
        <v>57</v>
      </c>
      <c r="G1951" s="1" t="s">
        <v>11349</v>
      </c>
      <c r="H1951" s="1" t="s">
        <v>11350</v>
      </c>
    </row>
    <row r="1952" spans="1:8" x14ac:dyDescent="0.3">
      <c r="A1952" s="2" t="s">
        <v>11351</v>
      </c>
      <c r="B1952" s="1" t="e">
        <f>-보다</f>
        <v>#NAME?</v>
      </c>
      <c r="C1952" s="1" t="s">
        <v>11352</v>
      </c>
      <c r="D1952" s="1" t="s">
        <v>11353</v>
      </c>
      <c r="E1952" s="1" t="s">
        <v>11354</v>
      </c>
      <c r="F1952" s="1" t="s">
        <v>11355</v>
      </c>
      <c r="G1952" s="1" t="s">
        <v>11356</v>
      </c>
      <c r="H1952" s="1" t="s">
        <v>11357</v>
      </c>
    </row>
    <row r="1953" spans="1:8" x14ac:dyDescent="0.3">
      <c r="A1953" s="2">
        <v>31069</v>
      </c>
      <c r="B1953" s="1" t="s">
        <v>11358</v>
      </c>
    </row>
    <row r="1954" spans="1:8" x14ac:dyDescent="0.3">
      <c r="A1954" s="2" t="s">
        <v>11359</v>
      </c>
      <c r="B1954" s="1" t="e">
        <f>-이/가</f>
        <v>#NAME?</v>
      </c>
      <c r="C1954" s="1" t="s">
        <v>11360</v>
      </c>
      <c r="E1954" s="1" t="s">
        <v>11361</v>
      </c>
      <c r="F1954" s="1" t="s">
        <v>11362</v>
      </c>
      <c r="G1954" s="1" t="s">
        <v>11363</v>
      </c>
      <c r="H1954" s="1" t="s">
        <v>11364</v>
      </c>
    </row>
    <row r="1955" spans="1:8" x14ac:dyDescent="0.3">
      <c r="A1955" s="2" t="s">
        <v>11365</v>
      </c>
      <c r="B1955" s="1" t="e">
        <f>-보다</f>
        <v>#NAME?</v>
      </c>
      <c r="C1955" s="1" t="s">
        <v>11366</v>
      </c>
      <c r="D1955" s="1" t="s">
        <v>11367</v>
      </c>
      <c r="F1955" s="1" t="s">
        <v>11368</v>
      </c>
      <c r="G1955" s="1" t="s">
        <v>11369</v>
      </c>
      <c r="H1955" s="1" t="s">
        <v>11370</v>
      </c>
    </row>
    <row r="1956" spans="1:8" x14ac:dyDescent="0.3">
      <c r="A1956" s="2">
        <v>31070</v>
      </c>
      <c r="B1956" s="1" t="s">
        <v>11371</v>
      </c>
    </row>
    <row r="1957" spans="1:8" x14ac:dyDescent="0.3">
      <c r="A1957" s="2" t="s">
        <v>11372</v>
      </c>
      <c r="B1957" s="1" t="e">
        <f>-이/가</f>
        <v>#NAME?</v>
      </c>
      <c r="C1957" s="1" t="s">
        <v>11373</v>
      </c>
      <c r="D1957" s="1" t="s">
        <v>11374</v>
      </c>
      <c r="E1957" s="1" t="s">
        <v>11375</v>
      </c>
      <c r="F1957" s="1" t="s">
        <v>11376</v>
      </c>
      <c r="G1957" s="1" t="s">
        <v>11377</v>
      </c>
      <c r="H1957" s="1" t="s">
        <v>11378</v>
      </c>
    </row>
    <row r="1958" spans="1:8" x14ac:dyDescent="0.3">
      <c r="A1958" s="2" t="s">
        <v>11379</v>
      </c>
      <c r="B1958" s="1" t="e">
        <f>-보다</f>
        <v>#NAME?</v>
      </c>
      <c r="C1958" s="1" t="s">
        <v>11380</v>
      </c>
      <c r="D1958" s="1" t="s">
        <v>11381</v>
      </c>
      <c r="F1958" s="1" t="s">
        <v>11382</v>
      </c>
      <c r="G1958" s="1" t="s">
        <v>11383</v>
      </c>
      <c r="H1958" s="1" t="s">
        <v>11384</v>
      </c>
    </row>
    <row r="1959" spans="1:8" x14ac:dyDescent="0.3">
      <c r="A1959" s="2">
        <v>31071</v>
      </c>
      <c r="B1959" s="1" t="s">
        <v>11385</v>
      </c>
    </row>
    <row r="1960" spans="1:8" x14ac:dyDescent="0.3">
      <c r="A1960" s="2" t="s">
        <v>11386</v>
      </c>
      <c r="B1960" s="1" t="e">
        <f>-이/가</f>
        <v>#NAME?</v>
      </c>
      <c r="C1960" s="1" t="s">
        <v>11387</v>
      </c>
      <c r="E1960" s="1" t="s">
        <v>11388</v>
      </c>
      <c r="F1960" s="1" t="s">
        <v>11389</v>
      </c>
      <c r="G1960" s="1" t="s">
        <v>11390</v>
      </c>
      <c r="H1960" s="1" t="s">
        <v>11391</v>
      </c>
    </row>
    <row r="1961" spans="1:8" x14ac:dyDescent="0.3">
      <c r="A1961" s="2" t="s">
        <v>11392</v>
      </c>
      <c r="B1961" s="1" t="e">
        <f>-보다</f>
        <v>#NAME?</v>
      </c>
      <c r="C1961" s="1" t="s">
        <v>11393</v>
      </c>
      <c r="D1961" s="1" t="s">
        <v>8854</v>
      </c>
      <c r="E1961" s="1" t="s">
        <v>11394</v>
      </c>
      <c r="F1961" s="1" t="s">
        <v>11395</v>
      </c>
      <c r="G1961" s="1" t="s">
        <v>11396</v>
      </c>
      <c r="H1961" s="1" t="s">
        <v>11397</v>
      </c>
    </row>
    <row r="1962" spans="1:8" x14ac:dyDescent="0.3">
      <c r="A1962" s="2">
        <v>31072</v>
      </c>
      <c r="B1962" s="1" t="s">
        <v>11398</v>
      </c>
    </row>
    <row r="1963" spans="1:8" x14ac:dyDescent="0.3">
      <c r="A1963" s="2" t="s">
        <v>11399</v>
      </c>
      <c r="B1963" s="1" t="e">
        <f>-이/가</f>
        <v>#NAME?</v>
      </c>
      <c r="C1963" s="1" t="s">
        <v>11400</v>
      </c>
      <c r="E1963" s="1" t="s">
        <v>11401</v>
      </c>
      <c r="F1963" s="1" t="s">
        <v>11389</v>
      </c>
      <c r="G1963" s="1" t="s">
        <v>11402</v>
      </c>
      <c r="H1963" s="1" t="s">
        <v>11403</v>
      </c>
    </row>
    <row r="1964" spans="1:8" x14ac:dyDescent="0.3">
      <c r="A1964" s="2" t="s">
        <v>11404</v>
      </c>
      <c r="B1964" s="1" t="e">
        <f>-보다</f>
        <v>#NAME?</v>
      </c>
      <c r="C1964" s="1" t="s">
        <v>11405</v>
      </c>
      <c r="D1964" s="1" t="s">
        <v>11406</v>
      </c>
      <c r="E1964" s="1" t="s">
        <v>11407</v>
      </c>
      <c r="F1964" s="1" t="s">
        <v>11407</v>
      </c>
      <c r="G1964" s="1" t="s">
        <v>11408</v>
      </c>
      <c r="H1964" s="1" t="s">
        <v>11409</v>
      </c>
    </row>
    <row r="1965" spans="1:8" x14ac:dyDescent="0.3">
      <c r="A1965" s="2">
        <v>31073</v>
      </c>
      <c r="B1965" s="1" t="s">
        <v>11410</v>
      </c>
    </row>
    <row r="1966" spans="1:8" x14ac:dyDescent="0.3">
      <c r="A1966" s="2" t="s">
        <v>11411</v>
      </c>
      <c r="B1966" s="1" t="e">
        <f>-이/가</f>
        <v>#NAME?</v>
      </c>
      <c r="C1966" s="1" t="s">
        <v>11412</v>
      </c>
      <c r="D1966" s="1" t="s">
        <v>11413</v>
      </c>
      <c r="E1966" s="1" t="s">
        <v>11414</v>
      </c>
      <c r="F1966" s="1" t="s">
        <v>11415</v>
      </c>
      <c r="G1966" s="1" t="s">
        <v>11415</v>
      </c>
      <c r="H1966" s="1" t="s">
        <v>11416</v>
      </c>
    </row>
    <row r="1967" spans="1:8" x14ac:dyDescent="0.3">
      <c r="A1967" s="2" t="s">
        <v>11417</v>
      </c>
      <c r="B1967" s="1" t="e">
        <f>-보다</f>
        <v>#NAME?</v>
      </c>
      <c r="C1967" s="1" t="s">
        <v>11418</v>
      </c>
      <c r="F1967" s="1" t="s">
        <v>11419</v>
      </c>
      <c r="G1967" s="1" t="s">
        <v>11420</v>
      </c>
      <c r="H1967" s="1" t="s">
        <v>11421</v>
      </c>
    </row>
    <row r="1968" spans="1:8" x14ac:dyDescent="0.3">
      <c r="A1968" s="2">
        <v>31074</v>
      </c>
      <c r="B1968" s="1" t="s">
        <v>11422</v>
      </c>
    </row>
    <row r="1969" spans="1:8" x14ac:dyDescent="0.3">
      <c r="A1969" s="2" t="s">
        <v>11423</v>
      </c>
      <c r="B1969" s="1" t="e">
        <f>-이/가</f>
        <v>#NAME?</v>
      </c>
      <c r="C1969" s="1" t="s">
        <v>11424</v>
      </c>
      <c r="D1969" s="1" t="s">
        <v>11425</v>
      </c>
      <c r="E1969" s="1" t="s">
        <v>11426</v>
      </c>
      <c r="F1969" s="1" t="s">
        <v>11427</v>
      </c>
      <c r="G1969" s="1" t="s">
        <v>11428</v>
      </c>
      <c r="H1969" s="1" t="s">
        <v>11429</v>
      </c>
    </row>
    <row r="1970" spans="1:8" x14ac:dyDescent="0.3">
      <c r="A1970" s="2" t="s">
        <v>11430</v>
      </c>
      <c r="B1970" s="1" t="e">
        <f>-보다</f>
        <v>#NAME?</v>
      </c>
      <c r="C1970" s="1" t="s">
        <v>11431</v>
      </c>
      <c r="E1970" s="1" t="s">
        <v>11432</v>
      </c>
      <c r="F1970" s="1" t="s">
        <v>11433</v>
      </c>
      <c r="H1970" s="1" t="s">
        <v>11434</v>
      </c>
    </row>
    <row r="1971" spans="1:8" x14ac:dyDescent="0.3">
      <c r="A1971" s="2">
        <v>31075</v>
      </c>
      <c r="B1971" s="1" t="s">
        <v>11435</v>
      </c>
    </row>
    <row r="1972" spans="1:8" x14ac:dyDescent="0.3">
      <c r="A1972" s="2" t="s">
        <v>11436</v>
      </c>
      <c r="B1972" s="1" t="e">
        <f>-이/가</f>
        <v>#NAME?</v>
      </c>
      <c r="C1972" s="1" t="s">
        <v>11437</v>
      </c>
      <c r="D1972" s="1" t="s">
        <v>11438</v>
      </c>
      <c r="E1972" s="1" t="s">
        <v>11439</v>
      </c>
      <c r="F1972" s="1" t="s">
        <v>9536</v>
      </c>
      <c r="G1972" s="1" t="s">
        <v>11440</v>
      </c>
      <c r="H1972" s="1" t="s">
        <v>11441</v>
      </c>
    </row>
    <row r="1973" spans="1:8" x14ac:dyDescent="0.3">
      <c r="A1973" s="2" t="s">
        <v>11442</v>
      </c>
      <c r="B1973" s="1" t="e">
        <f>-보다</f>
        <v>#NAME?</v>
      </c>
      <c r="C1973" s="1" t="s">
        <v>11443</v>
      </c>
      <c r="D1973" s="1" t="s">
        <v>11444</v>
      </c>
      <c r="E1973" s="1" t="s">
        <v>11445</v>
      </c>
      <c r="F1973" s="1" t="s">
        <v>11445</v>
      </c>
      <c r="G1973" s="1" t="s">
        <v>11446</v>
      </c>
      <c r="H1973" s="1" t="s">
        <v>11445</v>
      </c>
    </row>
    <row r="1974" spans="1:8" x14ac:dyDescent="0.3">
      <c r="A1974" s="2">
        <v>31076</v>
      </c>
      <c r="B1974" s="1" t="s">
        <v>11447</v>
      </c>
    </row>
    <row r="1975" spans="1:8" x14ac:dyDescent="0.3">
      <c r="A1975" s="2" t="s">
        <v>11448</v>
      </c>
      <c r="B1975" s="1" t="e">
        <f>-이/가</f>
        <v>#NAME?</v>
      </c>
      <c r="C1975" s="1" t="s">
        <v>11449</v>
      </c>
      <c r="D1975" s="1" t="s">
        <v>11450</v>
      </c>
      <c r="E1975" s="1" t="s">
        <v>11451</v>
      </c>
      <c r="F1975" s="1" t="s">
        <v>11452</v>
      </c>
      <c r="G1975" s="1" t="s">
        <v>11453</v>
      </c>
      <c r="H1975" s="1" t="s">
        <v>11453</v>
      </c>
    </row>
    <row r="1976" spans="1:8" x14ac:dyDescent="0.3">
      <c r="A1976" s="2" t="s">
        <v>11454</v>
      </c>
      <c r="B1976" s="1" t="e">
        <f>-보다</f>
        <v>#NAME?</v>
      </c>
      <c r="C1976" s="1" t="s">
        <v>11455</v>
      </c>
      <c r="E1976" s="1" t="s">
        <v>11456</v>
      </c>
      <c r="F1976" s="1" t="s">
        <v>11457</v>
      </c>
      <c r="G1976" s="1" t="s">
        <v>11458</v>
      </c>
      <c r="H1976" s="1" t="s">
        <v>11457</v>
      </c>
    </row>
    <row r="1977" spans="1:8" x14ac:dyDescent="0.3">
      <c r="A1977" s="2">
        <v>31077</v>
      </c>
      <c r="B1977" s="1" t="s">
        <v>11459</v>
      </c>
    </row>
    <row r="1978" spans="1:8" x14ac:dyDescent="0.3">
      <c r="A1978" s="2" t="s">
        <v>11460</v>
      </c>
      <c r="B1978" s="1" t="e">
        <f>-이/가</f>
        <v>#NAME?</v>
      </c>
      <c r="C1978" s="1" t="s">
        <v>11461</v>
      </c>
      <c r="F1978" s="1" t="s">
        <v>11462</v>
      </c>
      <c r="G1978" s="1" t="s">
        <v>11463</v>
      </c>
      <c r="H1978" s="1" t="s">
        <v>11464</v>
      </c>
    </row>
    <row r="1979" spans="1:8" x14ac:dyDescent="0.3">
      <c r="A1979" s="2" t="s">
        <v>11465</v>
      </c>
      <c r="B1979" s="1" t="e">
        <f>-보다</f>
        <v>#NAME?</v>
      </c>
      <c r="C1979" s="1" t="s">
        <v>11466</v>
      </c>
      <c r="D1979" s="1" t="s">
        <v>11467</v>
      </c>
      <c r="F1979" s="1" t="s">
        <v>11468</v>
      </c>
      <c r="G1979" s="1" t="s">
        <v>11469</v>
      </c>
      <c r="H1979" s="1" t="s">
        <v>11470</v>
      </c>
    </row>
    <row r="1980" spans="1:8" x14ac:dyDescent="0.3">
      <c r="A1980" s="2">
        <v>31078</v>
      </c>
      <c r="B1980" s="1" t="s">
        <v>11471</v>
      </c>
    </row>
    <row r="1981" spans="1:8" x14ac:dyDescent="0.3">
      <c r="A1981" s="2" t="s">
        <v>11472</v>
      </c>
      <c r="B1981" s="1" t="e">
        <f>-이/가</f>
        <v>#NAME?</v>
      </c>
      <c r="C1981" s="1" t="s">
        <v>11473</v>
      </c>
      <c r="D1981" s="1" t="s">
        <v>11474</v>
      </c>
      <c r="E1981" s="1" t="s">
        <v>9475</v>
      </c>
      <c r="F1981" s="1" t="s">
        <v>11475</v>
      </c>
      <c r="G1981" s="1" t="s">
        <v>11476</v>
      </c>
      <c r="H1981" s="1" t="s">
        <v>11477</v>
      </c>
    </row>
    <row r="1982" spans="1:8" x14ac:dyDescent="0.3">
      <c r="A1982" s="2" t="s">
        <v>11478</v>
      </c>
      <c r="B1982" s="1" t="e">
        <f>-보다</f>
        <v>#NAME?</v>
      </c>
      <c r="C1982" s="1" t="s">
        <v>11479</v>
      </c>
      <c r="E1982" s="1" t="s">
        <v>11480</v>
      </c>
      <c r="F1982" s="1" t="s">
        <v>11481</v>
      </c>
      <c r="H1982" s="1" t="s">
        <v>11482</v>
      </c>
    </row>
    <row r="1983" spans="1:8" x14ac:dyDescent="0.3">
      <c r="A1983" s="2">
        <v>31079</v>
      </c>
      <c r="B1983" s="1" t="s">
        <v>11483</v>
      </c>
    </row>
    <row r="1984" spans="1:8" x14ac:dyDescent="0.3">
      <c r="A1984" s="2" t="s">
        <v>11484</v>
      </c>
      <c r="B1984" s="1" t="e">
        <f>-고</f>
        <v>#NAME?</v>
      </c>
      <c r="C1984" s="1" t="s">
        <v>11485</v>
      </c>
      <c r="D1984" s="1" t="s">
        <v>11486</v>
      </c>
      <c r="E1984" s="1" t="s">
        <v>11487</v>
      </c>
      <c r="F1984" s="1" t="s">
        <v>11488</v>
      </c>
      <c r="G1984" s="1" t="s">
        <v>11489</v>
      </c>
      <c r="H1984" s="1" t="s">
        <v>11490</v>
      </c>
    </row>
    <row r="1985" spans="1:8" x14ac:dyDescent="0.3">
      <c r="A1985" s="2" t="s">
        <v>11491</v>
      </c>
      <c r="B1985" s="1" t="e">
        <f>-더라</f>
        <v>#NAME?</v>
      </c>
      <c r="C1985" s="1" t="s">
        <v>11492</v>
      </c>
      <c r="E1985" s="1" t="s">
        <v>11493</v>
      </c>
      <c r="F1985" s="1" t="s">
        <v>11494</v>
      </c>
      <c r="H1985" s="1" t="s">
        <v>11495</v>
      </c>
    </row>
    <row r="1986" spans="1:8" x14ac:dyDescent="0.3">
      <c r="A1986" s="2">
        <v>31080</v>
      </c>
      <c r="B1986" s="1" t="s">
        <v>11496</v>
      </c>
    </row>
    <row r="1987" spans="1:8" x14ac:dyDescent="0.3">
      <c r="A1987" s="2" t="s">
        <v>11497</v>
      </c>
      <c r="B1987" s="1" t="e">
        <f>-고</f>
        <v>#NAME?</v>
      </c>
      <c r="C1987" s="1" t="s">
        <v>11498</v>
      </c>
      <c r="D1987" s="1" t="s">
        <v>11499</v>
      </c>
      <c r="E1987" s="1" t="s">
        <v>11500</v>
      </c>
      <c r="F1987" s="1" t="s">
        <v>11501</v>
      </c>
      <c r="G1987" s="1" t="s">
        <v>11502</v>
      </c>
      <c r="H1987" s="1" t="s">
        <v>11503</v>
      </c>
    </row>
    <row r="1988" spans="1:8" x14ac:dyDescent="0.3">
      <c r="A1988" s="2" t="s">
        <v>11504</v>
      </c>
      <c r="B1988" s="1" t="e">
        <f>-더라</f>
        <v>#NAME?</v>
      </c>
      <c r="C1988" s="1" t="s">
        <v>11505</v>
      </c>
      <c r="E1988" s="1" t="s">
        <v>11506</v>
      </c>
      <c r="H1988" s="1" t="s">
        <v>11507</v>
      </c>
    </row>
    <row r="1989" spans="1:8" x14ac:dyDescent="0.3">
      <c r="A1989" s="2">
        <v>31081</v>
      </c>
      <c r="B1989" s="1" t="s">
        <v>11508</v>
      </c>
    </row>
    <row r="1990" spans="1:8" x14ac:dyDescent="0.3">
      <c r="A1990" s="2" t="s">
        <v>11509</v>
      </c>
      <c r="B1990" s="1" t="e">
        <f>-고</f>
        <v>#NAME?</v>
      </c>
      <c r="C1990" s="1" t="s">
        <v>11510</v>
      </c>
      <c r="D1990" s="1" t="s">
        <v>11511</v>
      </c>
      <c r="E1990" s="1" t="s">
        <v>11512</v>
      </c>
      <c r="F1990" s="1" t="s">
        <v>11513</v>
      </c>
      <c r="G1990" s="1" t="s">
        <v>11514</v>
      </c>
      <c r="H1990" s="1" t="s">
        <v>11515</v>
      </c>
    </row>
    <row r="1991" spans="1:8" x14ac:dyDescent="0.3">
      <c r="A1991" s="2" t="s">
        <v>11516</v>
      </c>
      <c r="B1991" s="1" t="e">
        <f>-더라</f>
        <v>#NAME?</v>
      </c>
      <c r="C1991" s="1" t="s">
        <v>11517</v>
      </c>
      <c r="E1991" s="1" t="s">
        <v>11518</v>
      </c>
      <c r="F1991" s="1" t="s">
        <v>11519</v>
      </c>
      <c r="H1991" s="1" t="s">
        <v>11520</v>
      </c>
    </row>
    <row r="1992" spans="1:8" x14ac:dyDescent="0.3">
      <c r="A1992" s="2">
        <v>31082</v>
      </c>
      <c r="B1992" s="1" t="s">
        <v>11521</v>
      </c>
    </row>
    <row r="1993" spans="1:8" x14ac:dyDescent="0.3">
      <c r="A1993" s="2" t="s">
        <v>11522</v>
      </c>
      <c r="B1993" s="1" t="e">
        <f>-고</f>
        <v>#NAME?</v>
      </c>
      <c r="C1993" s="1" t="s">
        <v>11523</v>
      </c>
      <c r="D1993" s="1" t="s">
        <v>11524</v>
      </c>
      <c r="F1993" s="1" t="s">
        <v>11525</v>
      </c>
      <c r="G1993" s="1" t="s">
        <v>11526</v>
      </c>
      <c r="H1993" s="1" t="s">
        <v>11527</v>
      </c>
    </row>
    <row r="1994" spans="1:8" x14ac:dyDescent="0.3">
      <c r="A1994" s="2" t="s">
        <v>11528</v>
      </c>
      <c r="B1994" s="1" t="e">
        <f>-더라</f>
        <v>#NAME?</v>
      </c>
      <c r="C1994" s="1" t="s">
        <v>11529</v>
      </c>
      <c r="E1994" s="1" t="s">
        <v>11530</v>
      </c>
      <c r="F1994" s="1" t="s">
        <v>11531</v>
      </c>
      <c r="H1994" s="1" t="s">
        <v>11532</v>
      </c>
    </row>
    <row r="1995" spans="1:8" x14ac:dyDescent="0.3">
      <c r="A1995" s="2">
        <v>31083</v>
      </c>
      <c r="B1995" s="1" t="s">
        <v>11533</v>
      </c>
    </row>
    <row r="1996" spans="1:8" x14ac:dyDescent="0.3">
      <c r="A1996" s="2" t="s">
        <v>11534</v>
      </c>
      <c r="B1996" s="1" t="e">
        <f>-고</f>
        <v>#NAME?</v>
      </c>
      <c r="C1996" s="1" t="s">
        <v>11535</v>
      </c>
      <c r="D1996" s="1" t="s">
        <v>11536</v>
      </c>
      <c r="F1996" s="1" t="s">
        <v>11537</v>
      </c>
      <c r="G1996" s="1" t="s">
        <v>11538</v>
      </c>
      <c r="H1996" s="1" t="s">
        <v>11539</v>
      </c>
    </row>
    <row r="1997" spans="1:8" x14ac:dyDescent="0.3">
      <c r="A1997" s="2" t="s">
        <v>11540</v>
      </c>
      <c r="B1997" s="1" t="e">
        <f>-더라</f>
        <v>#NAME?</v>
      </c>
      <c r="C1997" s="1" t="s">
        <v>11541</v>
      </c>
      <c r="D1997" s="1" t="s">
        <v>11542</v>
      </c>
      <c r="E1997" s="1" t="s">
        <v>11543</v>
      </c>
      <c r="F1997" s="1" t="s">
        <v>11544</v>
      </c>
      <c r="H1997" s="1" t="s">
        <v>11545</v>
      </c>
    </row>
    <row r="1998" spans="1:8" x14ac:dyDescent="0.3">
      <c r="A1998" s="2">
        <v>31084</v>
      </c>
      <c r="B1998" s="1" t="s">
        <v>11546</v>
      </c>
    </row>
    <row r="1999" spans="1:8" x14ac:dyDescent="0.3">
      <c r="A1999" s="2" t="s">
        <v>11547</v>
      </c>
      <c r="B1999" s="1" t="e">
        <f>-고</f>
        <v>#NAME?</v>
      </c>
      <c r="C1999" s="1" t="s">
        <v>11548</v>
      </c>
      <c r="D1999" s="1" t="s">
        <v>11549</v>
      </c>
      <c r="F1999" s="1" t="s">
        <v>11550</v>
      </c>
      <c r="G1999" s="1" t="s">
        <v>11551</v>
      </c>
      <c r="H1999" s="1" t="s">
        <v>11552</v>
      </c>
    </row>
    <row r="2000" spans="1:8" x14ac:dyDescent="0.3">
      <c r="A2000" s="2" t="s">
        <v>11553</v>
      </c>
      <c r="B2000" s="1" t="e">
        <f>-더라</f>
        <v>#NAME?</v>
      </c>
      <c r="C2000" s="1" t="s">
        <v>11554</v>
      </c>
      <c r="E2000" s="1" t="s">
        <v>11530</v>
      </c>
      <c r="F2000" s="1" t="s">
        <v>11531</v>
      </c>
      <c r="H2000" s="1" t="s">
        <v>11555</v>
      </c>
    </row>
    <row r="2001" spans="1:8" x14ac:dyDescent="0.3">
      <c r="A2001" s="2">
        <v>31085</v>
      </c>
      <c r="B2001" s="1" t="s">
        <v>11556</v>
      </c>
    </row>
    <row r="2002" spans="1:8" x14ac:dyDescent="0.3">
      <c r="A2002" s="2" t="s">
        <v>11557</v>
      </c>
      <c r="B2002" s="1" t="e">
        <f>-고</f>
        <v>#NAME?</v>
      </c>
      <c r="C2002" s="1" t="s">
        <v>11558</v>
      </c>
      <c r="D2002" s="1" t="s">
        <v>11559</v>
      </c>
      <c r="E2002" s="1" t="s">
        <v>11560</v>
      </c>
      <c r="F2002" s="1" t="s">
        <v>11561</v>
      </c>
      <c r="G2002" s="1" t="s">
        <v>11562</v>
      </c>
      <c r="H2002" s="1" t="s">
        <v>11563</v>
      </c>
    </row>
    <row r="2003" spans="1:8" x14ac:dyDescent="0.3">
      <c r="A2003" s="2" t="s">
        <v>11564</v>
      </c>
      <c r="B2003" s="1" t="e">
        <f>-더라</f>
        <v>#NAME?</v>
      </c>
      <c r="C2003" s="1" t="s">
        <v>11565</v>
      </c>
      <c r="D2003" s="1" t="s">
        <v>11566</v>
      </c>
      <c r="F2003" s="1" t="s">
        <v>11567</v>
      </c>
      <c r="H2003" s="1" t="s">
        <v>11568</v>
      </c>
    </row>
    <row r="2004" spans="1:8" x14ac:dyDescent="0.3">
      <c r="A2004" s="2">
        <v>31086</v>
      </c>
      <c r="B2004" s="1" t="s">
        <v>11569</v>
      </c>
    </row>
    <row r="2005" spans="1:8" x14ac:dyDescent="0.3">
      <c r="A2005" s="2" t="s">
        <v>11570</v>
      </c>
      <c r="B2005" s="1" t="e">
        <f>-고</f>
        <v>#NAME?</v>
      </c>
      <c r="C2005" s="1" t="s">
        <v>11571</v>
      </c>
      <c r="D2005" s="1" t="s">
        <v>11572</v>
      </c>
      <c r="E2005" s="1" t="s">
        <v>11573</v>
      </c>
      <c r="F2005" s="1" t="s">
        <v>11574</v>
      </c>
      <c r="G2005" s="1" t="s">
        <v>11575</v>
      </c>
      <c r="H2005" s="1" t="s">
        <v>11576</v>
      </c>
    </row>
    <row r="2006" spans="1:8" x14ac:dyDescent="0.3">
      <c r="A2006" s="2" t="s">
        <v>11577</v>
      </c>
      <c r="B2006" s="1" t="e">
        <f>-더라</f>
        <v>#NAME?</v>
      </c>
      <c r="C2006" s="1" t="s">
        <v>11578</v>
      </c>
      <c r="D2006" s="1" t="s">
        <v>11579</v>
      </c>
      <c r="F2006" s="1" t="s">
        <v>11580</v>
      </c>
      <c r="H2006" s="1" t="s">
        <v>11581</v>
      </c>
    </row>
    <row r="2007" spans="1:8" x14ac:dyDescent="0.3">
      <c r="A2007" s="2">
        <v>31087</v>
      </c>
      <c r="B2007" s="1" t="s">
        <v>11582</v>
      </c>
    </row>
    <row r="2008" spans="1:8" x14ac:dyDescent="0.3">
      <c r="A2008" s="2" t="s">
        <v>11583</v>
      </c>
      <c r="B2008" s="1" t="e">
        <f>-고</f>
        <v>#NAME?</v>
      </c>
      <c r="C2008" s="1" t="s">
        <v>11584</v>
      </c>
      <c r="E2008" s="1" t="s">
        <v>11585</v>
      </c>
      <c r="F2008" s="1" t="s">
        <v>11586</v>
      </c>
      <c r="G2008" s="1" t="s">
        <v>11587</v>
      </c>
      <c r="H2008" s="1" t="s">
        <v>11588</v>
      </c>
    </row>
    <row r="2009" spans="1:8" x14ac:dyDescent="0.3">
      <c r="A2009" s="2" t="s">
        <v>11589</v>
      </c>
      <c r="B2009" s="1" t="e">
        <f>-더라</f>
        <v>#NAME?</v>
      </c>
      <c r="C2009" s="1" t="s">
        <v>11590</v>
      </c>
      <c r="D2009" s="1" t="s">
        <v>11591</v>
      </c>
      <c r="E2009" s="1" t="s">
        <v>11592</v>
      </c>
      <c r="F2009" s="1" t="s">
        <v>11593</v>
      </c>
      <c r="H2009" s="1" t="s">
        <v>11594</v>
      </c>
    </row>
    <row r="2010" spans="1:8" x14ac:dyDescent="0.3">
      <c r="A2010" s="2">
        <v>31088</v>
      </c>
      <c r="B2010" s="1" t="s">
        <v>11595</v>
      </c>
      <c r="F2010" s="1" t="s">
        <v>11596</v>
      </c>
    </row>
    <row r="2011" spans="1:8" x14ac:dyDescent="0.3">
      <c r="A2011" s="2" t="s">
        <v>11597</v>
      </c>
      <c r="B2011" s="1" t="e">
        <f>-고</f>
        <v>#NAME?</v>
      </c>
      <c r="C2011" s="1" t="s">
        <v>11598</v>
      </c>
      <c r="D2011" s="1" t="s">
        <v>11599</v>
      </c>
      <c r="E2011" s="1" t="s">
        <v>11600</v>
      </c>
      <c r="F2011" s="1" t="s">
        <v>11601</v>
      </c>
      <c r="G2011" s="1" t="s">
        <v>11602</v>
      </c>
      <c r="H2011" s="1" t="s">
        <v>11603</v>
      </c>
    </row>
    <row r="2012" spans="1:8" x14ac:dyDescent="0.3">
      <c r="A2012" s="2" t="s">
        <v>11604</v>
      </c>
      <c r="B2012" s="1" t="e">
        <f>-더라</f>
        <v>#NAME?</v>
      </c>
      <c r="C2012" s="1" t="s">
        <v>11605</v>
      </c>
      <c r="E2012" s="1" t="s">
        <v>11606</v>
      </c>
      <c r="F2012" s="1" t="s">
        <v>11607</v>
      </c>
      <c r="H2012" s="1" t="s">
        <v>11608</v>
      </c>
    </row>
    <row r="2013" spans="1:8" x14ac:dyDescent="0.3">
      <c r="A2013" s="2">
        <v>32001</v>
      </c>
      <c r="B2013" s="1" t="s">
        <v>11609</v>
      </c>
    </row>
    <row r="2014" spans="1:8" x14ac:dyDescent="0.3">
      <c r="A2014" s="2" t="s">
        <v>11610</v>
      </c>
      <c r="B2014" s="1" t="e">
        <f>-지</f>
        <v>#NAME?</v>
      </c>
      <c r="C2014" s="1" t="s">
        <v>11611</v>
      </c>
      <c r="D2014" s="1" t="s">
        <v>11612</v>
      </c>
      <c r="E2014" s="1" t="s">
        <v>11613</v>
      </c>
      <c r="F2014" s="1" t="s">
        <v>11614</v>
      </c>
      <c r="G2014" s="1" t="s">
        <v>11615</v>
      </c>
      <c r="H2014" s="1" t="s">
        <v>11616</v>
      </c>
    </row>
    <row r="2015" spans="1:8" x14ac:dyDescent="0.3">
      <c r="A2015" s="2" t="s">
        <v>11617</v>
      </c>
      <c r="B2015" s="1" t="e">
        <f>-고</f>
        <v>#NAME?</v>
      </c>
      <c r="C2015" s="1" t="s">
        <v>11618</v>
      </c>
      <c r="E2015" s="1" t="s">
        <v>11619</v>
      </c>
      <c r="F2015" s="1" t="s">
        <v>57</v>
      </c>
      <c r="G2015" s="1" t="s">
        <v>11620</v>
      </c>
      <c r="H2015" s="1" t="s">
        <v>11621</v>
      </c>
    </row>
    <row r="2016" spans="1:8" x14ac:dyDescent="0.3">
      <c r="A2016" s="2" t="s">
        <v>11622</v>
      </c>
      <c r="B2016" s="1" t="e">
        <f>-더라</f>
        <v>#NAME?</v>
      </c>
      <c r="C2016" s="1" t="s">
        <v>11623</v>
      </c>
      <c r="E2016" s="1" t="s">
        <v>11624</v>
      </c>
      <c r="F2016" s="1" t="s">
        <v>11625</v>
      </c>
      <c r="G2016" s="1" t="s">
        <v>11624</v>
      </c>
      <c r="H2016" s="1" t="s">
        <v>11624</v>
      </c>
    </row>
    <row r="2017" spans="1:8" x14ac:dyDescent="0.3">
      <c r="A2017" s="2" t="s">
        <v>11626</v>
      </c>
      <c r="B2017" s="1" t="e">
        <f>-으니까</f>
        <v>#NAME?</v>
      </c>
      <c r="C2017" s="1" t="s">
        <v>11627</v>
      </c>
      <c r="E2017" s="1" t="s">
        <v>11628</v>
      </c>
      <c r="F2017" s="1" t="s">
        <v>11629</v>
      </c>
      <c r="G2017" s="1" t="s">
        <v>11630</v>
      </c>
      <c r="H2017" s="1" t="s">
        <v>11631</v>
      </c>
    </row>
    <row r="2018" spans="1:8" x14ac:dyDescent="0.3">
      <c r="A2018" s="2" t="s">
        <v>11632</v>
      </c>
      <c r="B2018" s="1" t="e">
        <f ca="1">-아/어(-았/었다)</f>
        <v>#NAME?</v>
      </c>
      <c r="C2018" s="1" t="s">
        <v>11633</v>
      </c>
      <c r="D2018" s="1" t="s">
        <v>11634</v>
      </c>
      <c r="E2018" s="1" t="s">
        <v>11635</v>
      </c>
      <c r="F2018" s="1" t="s">
        <v>11636</v>
      </c>
      <c r="G2018" s="1" t="s">
        <v>11637</v>
      </c>
      <c r="H2018" s="1" t="s">
        <v>11629</v>
      </c>
    </row>
    <row r="2019" spans="1:8" x14ac:dyDescent="0.3">
      <c r="A2019" s="2">
        <v>32002</v>
      </c>
      <c r="B2019" s="1" t="s">
        <v>11638</v>
      </c>
    </row>
    <row r="2020" spans="1:8" x14ac:dyDescent="0.3">
      <c r="A2020" s="2" t="s">
        <v>11639</v>
      </c>
      <c r="B2020" s="1" t="e">
        <f>-지</f>
        <v>#NAME?</v>
      </c>
      <c r="C2020" s="1" t="s">
        <v>11640</v>
      </c>
      <c r="D2020" s="1" t="s">
        <v>11641</v>
      </c>
      <c r="E2020" s="1" t="s">
        <v>11642</v>
      </c>
      <c r="F2020" s="1" t="s">
        <v>11643</v>
      </c>
      <c r="G2020" s="1" t="s">
        <v>11644</v>
      </c>
      <c r="H2020" s="1" t="s">
        <v>11645</v>
      </c>
    </row>
    <row r="2021" spans="1:8" x14ac:dyDescent="0.3">
      <c r="A2021" s="2" t="s">
        <v>11646</v>
      </c>
      <c r="B2021" s="1" t="e">
        <f>-고</f>
        <v>#NAME?</v>
      </c>
      <c r="C2021" s="1" t="s">
        <v>11647</v>
      </c>
      <c r="E2021" s="1" t="s">
        <v>11648</v>
      </c>
      <c r="F2021" s="1" t="s">
        <v>11649</v>
      </c>
      <c r="G2021" s="1" t="s">
        <v>11650</v>
      </c>
      <c r="H2021" s="1" t="s">
        <v>11650</v>
      </c>
    </row>
    <row r="2022" spans="1:8" x14ac:dyDescent="0.3">
      <c r="A2022" s="2" t="s">
        <v>11651</v>
      </c>
      <c r="B2022" s="1" t="e">
        <f>-더라</f>
        <v>#NAME?</v>
      </c>
      <c r="C2022" s="1" t="s">
        <v>11652</v>
      </c>
      <c r="F2022" s="1" t="s">
        <v>11653</v>
      </c>
      <c r="G2022" s="1" t="s">
        <v>11654</v>
      </c>
      <c r="H2022" s="1" t="s">
        <v>11654</v>
      </c>
    </row>
    <row r="2023" spans="1:8" x14ac:dyDescent="0.3">
      <c r="A2023" s="2" t="s">
        <v>11655</v>
      </c>
      <c r="B2023" s="1" t="e">
        <f>-으니까</f>
        <v>#NAME?</v>
      </c>
      <c r="C2023" s="1" t="s">
        <v>11656</v>
      </c>
      <c r="E2023" s="1" t="s">
        <v>11657</v>
      </c>
      <c r="F2023" s="1" t="s">
        <v>57</v>
      </c>
      <c r="G2023" s="1" t="s">
        <v>11658</v>
      </c>
      <c r="H2023" s="1" t="s">
        <v>11659</v>
      </c>
    </row>
    <row r="2024" spans="1:8" x14ac:dyDescent="0.3">
      <c r="A2024" s="2" t="s">
        <v>11660</v>
      </c>
      <c r="B2024" s="1" t="e">
        <f ca="1">-아/어(-았/었다)</f>
        <v>#NAME?</v>
      </c>
      <c r="C2024" s="1" t="s">
        <v>11661</v>
      </c>
      <c r="D2024" s="1" t="s">
        <v>11662</v>
      </c>
      <c r="E2024" s="1" t="s">
        <v>11663</v>
      </c>
      <c r="F2024" s="1" t="s">
        <v>11664</v>
      </c>
      <c r="G2024" s="1" t="s">
        <v>11665</v>
      </c>
      <c r="H2024" s="1" t="s">
        <v>11666</v>
      </c>
    </row>
    <row r="2025" spans="1:8" x14ac:dyDescent="0.3">
      <c r="A2025" s="2">
        <v>32003</v>
      </c>
      <c r="B2025" s="1" t="s">
        <v>11667</v>
      </c>
    </row>
    <row r="2026" spans="1:8" x14ac:dyDescent="0.3">
      <c r="A2026" s="2" t="s">
        <v>11668</v>
      </c>
      <c r="B2026" s="1" t="e">
        <f>-지</f>
        <v>#NAME?</v>
      </c>
      <c r="C2026" s="1" t="s">
        <v>11669</v>
      </c>
      <c r="D2026" s="1" t="s">
        <v>11670</v>
      </c>
      <c r="E2026" s="1" t="s">
        <v>11671</v>
      </c>
      <c r="F2026" s="1" t="s">
        <v>11672</v>
      </c>
      <c r="G2026" s="1" t="s">
        <v>11673</v>
      </c>
      <c r="H2026" s="1" t="s">
        <v>11674</v>
      </c>
    </row>
    <row r="2027" spans="1:8" x14ac:dyDescent="0.3">
      <c r="A2027" s="2" t="s">
        <v>11675</v>
      </c>
      <c r="B2027" s="1" t="e">
        <f>-고</f>
        <v>#NAME?</v>
      </c>
      <c r="C2027" s="1" t="s">
        <v>11676</v>
      </c>
      <c r="D2027" s="1" t="s">
        <v>11677</v>
      </c>
      <c r="E2027" s="1" t="s">
        <v>11678</v>
      </c>
      <c r="F2027" s="1" t="s">
        <v>11679</v>
      </c>
      <c r="G2027" s="1" t="s">
        <v>11680</v>
      </c>
      <c r="H2027" s="1" t="s">
        <v>11681</v>
      </c>
    </row>
    <row r="2028" spans="1:8" x14ac:dyDescent="0.3">
      <c r="A2028" s="2" t="s">
        <v>11682</v>
      </c>
      <c r="B2028" s="1" t="e">
        <f>-더라</f>
        <v>#NAME?</v>
      </c>
      <c r="C2028" s="1" t="s">
        <v>11683</v>
      </c>
      <c r="E2028" s="1" t="s">
        <v>11684</v>
      </c>
      <c r="F2028" s="1" t="s">
        <v>11685</v>
      </c>
      <c r="G2028" s="1" t="s">
        <v>11686</v>
      </c>
      <c r="H2028" s="1" t="s">
        <v>11686</v>
      </c>
    </row>
    <row r="2029" spans="1:8" x14ac:dyDescent="0.3">
      <c r="A2029" s="2" t="s">
        <v>11687</v>
      </c>
      <c r="B2029" s="1" t="e">
        <f>-으니까</f>
        <v>#NAME?</v>
      </c>
      <c r="C2029" s="1" t="s">
        <v>11688</v>
      </c>
      <c r="D2029" s="1" t="s">
        <v>11689</v>
      </c>
      <c r="E2029" s="1" t="s">
        <v>11690</v>
      </c>
      <c r="F2029" s="1" t="s">
        <v>11691</v>
      </c>
      <c r="G2029" s="1" t="s">
        <v>11692</v>
      </c>
      <c r="H2029" s="1" t="s">
        <v>11693</v>
      </c>
    </row>
    <row r="2030" spans="1:8" x14ac:dyDescent="0.3">
      <c r="A2030" s="2" t="s">
        <v>11694</v>
      </c>
      <c r="B2030" s="1" t="e">
        <f ca="1">-아/어(-았/었다)</f>
        <v>#NAME?</v>
      </c>
      <c r="C2030" s="1" t="s">
        <v>11695</v>
      </c>
      <c r="D2030" s="1" t="s">
        <v>11696</v>
      </c>
      <c r="E2030" s="1" t="s">
        <v>11697</v>
      </c>
      <c r="F2030" s="1" t="s">
        <v>11698</v>
      </c>
      <c r="G2030" s="1" t="s">
        <v>11699</v>
      </c>
      <c r="H2030" s="1" t="s">
        <v>11700</v>
      </c>
    </row>
    <row r="2031" spans="1:8" x14ac:dyDescent="0.3">
      <c r="A2031" s="2">
        <v>32004</v>
      </c>
      <c r="B2031" s="1" t="s">
        <v>11701</v>
      </c>
    </row>
    <row r="2032" spans="1:8" x14ac:dyDescent="0.3">
      <c r="A2032" s="2" t="s">
        <v>11702</v>
      </c>
      <c r="B2032" s="1" t="e">
        <f>-지</f>
        <v>#NAME?</v>
      </c>
      <c r="C2032" s="1" t="s">
        <v>11703</v>
      </c>
      <c r="D2032" s="1" t="s">
        <v>11704</v>
      </c>
      <c r="E2032" s="1" t="s">
        <v>11705</v>
      </c>
      <c r="F2032" s="1" t="s">
        <v>11706</v>
      </c>
      <c r="G2032" s="1" t="s">
        <v>11707</v>
      </c>
      <c r="H2032" s="1" t="s">
        <v>11708</v>
      </c>
    </row>
    <row r="2033" spans="1:8" x14ac:dyDescent="0.3">
      <c r="A2033" s="2" t="s">
        <v>11709</v>
      </c>
      <c r="B2033" s="1" t="e">
        <f>-고</f>
        <v>#NAME?</v>
      </c>
      <c r="C2033" s="1" t="s">
        <v>11710</v>
      </c>
      <c r="E2033" s="1" t="s">
        <v>11711</v>
      </c>
      <c r="F2033" s="1" t="s">
        <v>11712</v>
      </c>
      <c r="G2033" s="1" t="s">
        <v>11713</v>
      </c>
      <c r="H2033" s="1" t="s">
        <v>11714</v>
      </c>
    </row>
    <row r="2034" spans="1:8" x14ac:dyDescent="0.3">
      <c r="A2034" s="2" t="s">
        <v>11715</v>
      </c>
      <c r="B2034" s="1" t="e">
        <f>-더라</f>
        <v>#NAME?</v>
      </c>
      <c r="C2034" s="1" t="s">
        <v>11716</v>
      </c>
      <c r="E2034" s="1" t="s">
        <v>11717</v>
      </c>
      <c r="G2034" s="1" t="s">
        <v>11718</v>
      </c>
      <c r="H2034" s="1" t="s">
        <v>11719</v>
      </c>
    </row>
    <row r="2035" spans="1:8" x14ac:dyDescent="0.3">
      <c r="A2035" s="2" t="s">
        <v>11720</v>
      </c>
      <c r="B2035" s="1" t="e">
        <f>-으니까</f>
        <v>#NAME?</v>
      </c>
      <c r="C2035" s="1" t="s">
        <v>11721</v>
      </c>
      <c r="E2035" s="1" t="s">
        <v>11722</v>
      </c>
      <c r="F2035" s="1" t="s">
        <v>11723</v>
      </c>
      <c r="G2035" s="1" t="s">
        <v>11724</v>
      </c>
      <c r="H2035" s="1" t="s">
        <v>11725</v>
      </c>
    </row>
    <row r="2036" spans="1:8" x14ac:dyDescent="0.3">
      <c r="A2036" s="2" t="s">
        <v>11726</v>
      </c>
      <c r="B2036" s="1" t="e">
        <f ca="1">-아/어(-았/었다)</f>
        <v>#NAME?</v>
      </c>
      <c r="C2036" s="1" t="s">
        <v>11727</v>
      </c>
      <c r="D2036" s="1" t="s">
        <v>11728</v>
      </c>
      <c r="E2036" s="1" t="s">
        <v>11729</v>
      </c>
      <c r="F2036" s="1" t="s">
        <v>11728</v>
      </c>
      <c r="G2036" s="1" t="s">
        <v>11728</v>
      </c>
      <c r="H2036" s="1" t="s">
        <v>11730</v>
      </c>
    </row>
    <row r="2037" spans="1:8" x14ac:dyDescent="0.3">
      <c r="A2037" s="2">
        <v>32005</v>
      </c>
      <c r="B2037" s="1" t="s">
        <v>11731</v>
      </c>
    </row>
    <row r="2038" spans="1:8" x14ac:dyDescent="0.3">
      <c r="A2038" s="2" t="s">
        <v>11732</v>
      </c>
      <c r="B2038" s="1" t="e">
        <f>-지</f>
        <v>#NAME?</v>
      </c>
      <c r="C2038" s="1" t="s">
        <v>11733</v>
      </c>
      <c r="D2038" s="1" t="s">
        <v>11734</v>
      </c>
      <c r="E2038" s="1" t="s">
        <v>11735</v>
      </c>
      <c r="G2038" s="1" t="s">
        <v>11736</v>
      </c>
      <c r="H2038" s="1" t="s">
        <v>11737</v>
      </c>
    </row>
    <row r="2039" spans="1:8" x14ac:dyDescent="0.3">
      <c r="A2039" s="2" t="s">
        <v>11738</v>
      </c>
      <c r="B2039" s="1" t="e">
        <f>-고</f>
        <v>#NAME?</v>
      </c>
      <c r="C2039" s="1" t="s">
        <v>11739</v>
      </c>
      <c r="D2039" s="1" t="s">
        <v>11740</v>
      </c>
      <c r="E2039" s="1" t="s">
        <v>11741</v>
      </c>
      <c r="F2039" s="1" t="s">
        <v>11742</v>
      </c>
      <c r="G2039" s="1" t="s">
        <v>11743</v>
      </c>
      <c r="H2039" s="1" t="s">
        <v>11744</v>
      </c>
    </row>
    <row r="2040" spans="1:8" x14ac:dyDescent="0.3">
      <c r="A2040" s="2" t="s">
        <v>11745</v>
      </c>
      <c r="B2040" s="1" t="e">
        <f>-더라</f>
        <v>#NAME?</v>
      </c>
      <c r="C2040" s="1" t="s">
        <v>11746</v>
      </c>
      <c r="D2040" s="1" t="s">
        <v>11747</v>
      </c>
      <c r="E2040" s="1" t="s">
        <v>11748</v>
      </c>
      <c r="F2040" s="1" t="s">
        <v>11749</v>
      </c>
      <c r="G2040" s="1" t="s">
        <v>11750</v>
      </c>
      <c r="H2040" s="1" t="s">
        <v>11750</v>
      </c>
    </row>
    <row r="2041" spans="1:8" x14ac:dyDescent="0.3">
      <c r="A2041" s="2" t="s">
        <v>11751</v>
      </c>
      <c r="B2041" s="1" t="e">
        <f>-으니까</f>
        <v>#NAME?</v>
      </c>
      <c r="C2041" s="1" t="s">
        <v>11752</v>
      </c>
      <c r="D2041" s="1" t="s">
        <v>11753</v>
      </c>
      <c r="E2041" s="1" t="s">
        <v>11754</v>
      </c>
      <c r="F2041" s="1" t="s">
        <v>11755</v>
      </c>
      <c r="G2041" s="1" t="s">
        <v>11756</v>
      </c>
      <c r="H2041" s="1" t="s">
        <v>11757</v>
      </c>
    </row>
    <row r="2042" spans="1:8" x14ac:dyDescent="0.3">
      <c r="A2042" s="2" t="s">
        <v>11758</v>
      </c>
      <c r="B2042" s="1" t="e">
        <f ca="1">-아/어(-았/었다)</f>
        <v>#NAME?</v>
      </c>
      <c r="C2042" s="1" t="s">
        <v>11759</v>
      </c>
      <c r="D2042" s="1" t="s">
        <v>11760</v>
      </c>
      <c r="E2042" s="1" t="s">
        <v>11761</v>
      </c>
      <c r="F2042" s="1" t="s">
        <v>11762</v>
      </c>
      <c r="G2042" s="1" t="s">
        <v>11763</v>
      </c>
      <c r="H2042" s="1" t="s">
        <v>11764</v>
      </c>
    </row>
    <row r="2043" spans="1:8" x14ac:dyDescent="0.3">
      <c r="A2043" s="2">
        <v>32006</v>
      </c>
      <c r="B2043" s="1" t="s">
        <v>11765</v>
      </c>
      <c r="G2043" s="1" t="s">
        <v>11766</v>
      </c>
    </row>
    <row r="2044" spans="1:8" x14ac:dyDescent="0.3">
      <c r="A2044" s="2" t="s">
        <v>11767</v>
      </c>
      <c r="B2044" s="1" t="e">
        <f>-지</f>
        <v>#NAME?</v>
      </c>
      <c r="C2044" s="1" t="s">
        <v>11768</v>
      </c>
      <c r="E2044" s="1" t="s">
        <v>11769</v>
      </c>
      <c r="F2044" s="1" t="s">
        <v>57</v>
      </c>
      <c r="G2044" s="1" t="s">
        <v>11770</v>
      </c>
      <c r="H2044" s="1" t="s">
        <v>11771</v>
      </c>
    </row>
    <row r="2045" spans="1:8" x14ac:dyDescent="0.3">
      <c r="A2045" s="2" t="s">
        <v>11772</v>
      </c>
      <c r="B2045" s="1" t="e">
        <f>-고</f>
        <v>#NAME?</v>
      </c>
      <c r="C2045" s="1" t="s">
        <v>11773</v>
      </c>
      <c r="E2045" s="1" t="s">
        <v>11620</v>
      </c>
      <c r="F2045" s="1" t="s">
        <v>11774</v>
      </c>
      <c r="G2045" s="1" t="s">
        <v>11620</v>
      </c>
      <c r="H2045" s="1" t="s">
        <v>11775</v>
      </c>
    </row>
    <row r="2046" spans="1:8" x14ac:dyDescent="0.3">
      <c r="A2046" s="2" t="s">
        <v>11776</v>
      </c>
      <c r="B2046" s="1" t="e">
        <f>-더라</f>
        <v>#NAME?</v>
      </c>
      <c r="C2046" s="1" t="s">
        <v>11777</v>
      </c>
      <c r="F2046" s="1" t="s">
        <v>57</v>
      </c>
      <c r="G2046" s="1" t="s">
        <v>11778</v>
      </c>
      <c r="H2046" s="1" t="s">
        <v>11779</v>
      </c>
    </row>
    <row r="2047" spans="1:8" x14ac:dyDescent="0.3">
      <c r="A2047" s="2" t="s">
        <v>11780</v>
      </c>
      <c r="B2047" s="1" t="e">
        <f>-으니까</f>
        <v>#NAME?</v>
      </c>
      <c r="C2047" s="1" t="s">
        <v>11781</v>
      </c>
      <c r="F2047" s="1" t="s">
        <v>11782</v>
      </c>
      <c r="G2047" s="1" t="s">
        <v>11783</v>
      </c>
      <c r="H2047" s="1" t="s">
        <v>11784</v>
      </c>
    </row>
    <row r="2048" spans="1:8" x14ac:dyDescent="0.3">
      <c r="A2048" s="2" t="s">
        <v>11785</v>
      </c>
      <c r="B2048" s="1" t="e">
        <f ca="1">-아/어(-았/었다)</f>
        <v>#NAME?</v>
      </c>
      <c r="C2048" s="1" t="s">
        <v>11786</v>
      </c>
      <c r="D2048" s="1" t="s">
        <v>11787</v>
      </c>
      <c r="E2048" s="1" t="s">
        <v>11788</v>
      </c>
      <c r="F2048" s="1" t="s">
        <v>11789</v>
      </c>
      <c r="G2048" s="1" t="s">
        <v>11790</v>
      </c>
      <c r="H2048" s="1" t="s">
        <v>11791</v>
      </c>
    </row>
    <row r="2049" spans="1:8" x14ac:dyDescent="0.3">
      <c r="A2049" s="2">
        <v>32007</v>
      </c>
      <c r="B2049" s="1" t="s">
        <v>11792</v>
      </c>
    </row>
    <row r="2050" spans="1:8" x14ac:dyDescent="0.3">
      <c r="A2050" s="2" t="s">
        <v>11793</v>
      </c>
      <c r="B2050" s="1" t="e">
        <f>-지</f>
        <v>#NAME?</v>
      </c>
      <c r="C2050" s="1" t="s">
        <v>11794</v>
      </c>
      <c r="E2050" s="1" t="s">
        <v>11795</v>
      </c>
      <c r="F2050" s="1" t="s">
        <v>11796</v>
      </c>
      <c r="G2050" s="1" t="s">
        <v>11797</v>
      </c>
      <c r="H2050" s="1" t="s">
        <v>11798</v>
      </c>
    </row>
    <row r="2051" spans="1:8" x14ac:dyDescent="0.3">
      <c r="A2051" s="2" t="s">
        <v>11799</v>
      </c>
      <c r="B2051" s="1" t="e">
        <f>-고</f>
        <v>#NAME?</v>
      </c>
      <c r="C2051" s="1" t="s">
        <v>11800</v>
      </c>
      <c r="E2051" s="1" t="s">
        <v>11801</v>
      </c>
      <c r="F2051" s="1" t="s">
        <v>11802</v>
      </c>
      <c r="G2051" s="1" t="s">
        <v>11803</v>
      </c>
      <c r="H2051" s="1" t="s">
        <v>11804</v>
      </c>
    </row>
    <row r="2052" spans="1:8" x14ac:dyDescent="0.3">
      <c r="A2052" s="2" t="s">
        <v>11805</v>
      </c>
      <c r="B2052" s="1" t="e">
        <f>-더라</f>
        <v>#NAME?</v>
      </c>
      <c r="E2052" s="1" t="s">
        <v>11806</v>
      </c>
      <c r="F2052" s="1" t="s">
        <v>11807</v>
      </c>
      <c r="G2052" s="1" t="s">
        <v>11806</v>
      </c>
      <c r="H2052" s="1" t="s">
        <v>11808</v>
      </c>
    </row>
    <row r="2053" spans="1:8" x14ac:dyDescent="0.3">
      <c r="A2053" s="2" t="s">
        <v>11809</v>
      </c>
      <c r="B2053" s="1" t="e">
        <f>-으니까</f>
        <v>#NAME?</v>
      </c>
      <c r="C2053" s="1" t="s">
        <v>11810</v>
      </c>
      <c r="F2053" s="1" t="s">
        <v>11811</v>
      </c>
      <c r="G2053" s="1" t="s">
        <v>11812</v>
      </c>
      <c r="H2053" s="1" t="s">
        <v>11813</v>
      </c>
    </row>
    <row r="2054" spans="1:8" x14ac:dyDescent="0.3">
      <c r="A2054" s="2" t="s">
        <v>11814</v>
      </c>
      <c r="B2054" s="1" t="e">
        <f ca="1">-아/어(-았/었다)</f>
        <v>#NAME?</v>
      </c>
      <c r="C2054" s="1" t="s">
        <v>11815</v>
      </c>
      <c r="D2054" s="1" t="s">
        <v>11816</v>
      </c>
      <c r="E2054" s="1" t="s">
        <v>11817</v>
      </c>
      <c r="F2054" s="1" t="s">
        <v>11818</v>
      </c>
      <c r="G2054" s="1" t="s">
        <v>11819</v>
      </c>
      <c r="H2054" s="1" t="s">
        <v>11820</v>
      </c>
    </row>
    <row r="2055" spans="1:8" x14ac:dyDescent="0.3">
      <c r="A2055" s="2">
        <v>32008</v>
      </c>
      <c r="B2055" s="1" t="s">
        <v>11821</v>
      </c>
    </row>
    <row r="2056" spans="1:8" x14ac:dyDescent="0.3">
      <c r="A2056" s="2" t="s">
        <v>11822</v>
      </c>
      <c r="B2056" s="1" t="e">
        <f>-지</f>
        <v>#NAME?</v>
      </c>
      <c r="C2056" s="1" t="s">
        <v>11823</v>
      </c>
      <c r="D2056" s="1" t="s">
        <v>11824</v>
      </c>
      <c r="E2056" s="1" t="s">
        <v>11825</v>
      </c>
      <c r="F2056" s="1" t="s">
        <v>11826</v>
      </c>
      <c r="G2056" s="1" t="s">
        <v>11827</v>
      </c>
      <c r="H2056" s="1" t="s">
        <v>11828</v>
      </c>
    </row>
    <row r="2057" spans="1:8" x14ac:dyDescent="0.3">
      <c r="A2057" s="2" t="s">
        <v>11829</v>
      </c>
      <c r="B2057" s="1" t="e">
        <f>-고</f>
        <v>#NAME?</v>
      </c>
      <c r="C2057" s="1" t="s">
        <v>11830</v>
      </c>
      <c r="E2057" s="1" t="s">
        <v>11831</v>
      </c>
      <c r="F2057" s="1" t="s">
        <v>11832</v>
      </c>
      <c r="G2057" s="1" t="s">
        <v>11833</v>
      </c>
      <c r="H2057" s="1" t="s">
        <v>11834</v>
      </c>
    </row>
    <row r="2058" spans="1:8" x14ac:dyDescent="0.3">
      <c r="A2058" s="2" t="s">
        <v>11835</v>
      </c>
      <c r="B2058" s="1" t="e">
        <f>-더라</f>
        <v>#NAME?</v>
      </c>
      <c r="C2058" s="1" t="s">
        <v>11836</v>
      </c>
      <c r="F2058" s="1" t="s">
        <v>11837</v>
      </c>
      <c r="G2058" s="1" t="s">
        <v>11838</v>
      </c>
      <c r="H2058" s="1" t="s">
        <v>11839</v>
      </c>
    </row>
    <row r="2059" spans="1:8" x14ac:dyDescent="0.3">
      <c r="A2059" s="2" t="s">
        <v>11840</v>
      </c>
      <c r="B2059" s="1" t="e">
        <f>-으니까</f>
        <v>#NAME?</v>
      </c>
      <c r="C2059" s="1" t="s">
        <v>11841</v>
      </c>
      <c r="D2059" s="1" t="s">
        <v>11842</v>
      </c>
      <c r="E2059" s="1" t="s">
        <v>11843</v>
      </c>
      <c r="F2059" s="1" t="s">
        <v>11844</v>
      </c>
      <c r="G2059" s="1" t="s">
        <v>11845</v>
      </c>
      <c r="H2059" s="1" t="s">
        <v>11846</v>
      </c>
    </row>
    <row r="2060" spans="1:8" x14ac:dyDescent="0.3">
      <c r="A2060" s="2" t="s">
        <v>11847</v>
      </c>
      <c r="B2060" s="1" t="e">
        <f ca="1">-아/어(-았/었다)</f>
        <v>#NAME?</v>
      </c>
      <c r="C2060" s="1" t="s">
        <v>11848</v>
      </c>
      <c r="D2060" s="1" t="s">
        <v>11849</v>
      </c>
      <c r="E2060" s="1" t="s">
        <v>11850</v>
      </c>
      <c r="F2060" s="1" t="s">
        <v>11850</v>
      </c>
      <c r="G2060" s="1" t="s">
        <v>11850</v>
      </c>
      <c r="H2060" s="1" t="s">
        <v>11851</v>
      </c>
    </row>
    <row r="2061" spans="1:8" x14ac:dyDescent="0.3">
      <c r="A2061" s="2">
        <v>32009</v>
      </c>
      <c r="B2061" s="1" t="s">
        <v>11852</v>
      </c>
    </row>
    <row r="2062" spans="1:8" x14ac:dyDescent="0.3">
      <c r="A2062" s="2" t="s">
        <v>11853</v>
      </c>
      <c r="B2062" s="1" t="e">
        <f>-지</f>
        <v>#NAME?</v>
      </c>
      <c r="C2062" s="1" t="s">
        <v>11854</v>
      </c>
      <c r="E2062" s="1" t="s">
        <v>11855</v>
      </c>
      <c r="F2062" s="1" t="s">
        <v>11856</v>
      </c>
      <c r="G2062" s="1" t="s">
        <v>11857</v>
      </c>
      <c r="H2062" s="1" t="s">
        <v>11858</v>
      </c>
    </row>
    <row r="2063" spans="1:8" x14ac:dyDescent="0.3">
      <c r="A2063" s="2" t="s">
        <v>11859</v>
      </c>
      <c r="B2063" s="1" t="e">
        <f>-고</f>
        <v>#NAME?</v>
      </c>
      <c r="C2063" s="1" t="s">
        <v>11860</v>
      </c>
      <c r="D2063" s="1" t="s">
        <v>11861</v>
      </c>
      <c r="E2063" s="1" t="s">
        <v>11862</v>
      </c>
      <c r="F2063" s="1" t="s">
        <v>11863</v>
      </c>
      <c r="G2063" s="1" t="s">
        <v>11864</v>
      </c>
      <c r="H2063" s="1" t="s">
        <v>11865</v>
      </c>
    </row>
    <row r="2064" spans="1:8" x14ac:dyDescent="0.3">
      <c r="A2064" s="2" t="s">
        <v>11866</v>
      </c>
      <c r="B2064" s="1" t="e">
        <f>-더라</f>
        <v>#NAME?</v>
      </c>
      <c r="C2064" s="1" t="s">
        <v>11867</v>
      </c>
      <c r="E2064" s="1" t="s">
        <v>11868</v>
      </c>
      <c r="G2064" s="1" t="s">
        <v>11868</v>
      </c>
      <c r="H2064" s="1" t="s">
        <v>11868</v>
      </c>
    </row>
    <row r="2065" spans="1:8" x14ac:dyDescent="0.3">
      <c r="A2065" s="2" t="s">
        <v>11869</v>
      </c>
      <c r="B2065" s="1" t="e">
        <f>-으니까</f>
        <v>#NAME?</v>
      </c>
      <c r="C2065" s="1" t="s">
        <v>11870</v>
      </c>
      <c r="E2065" s="1" t="s">
        <v>11871</v>
      </c>
      <c r="F2065" s="1" t="s">
        <v>11872</v>
      </c>
      <c r="G2065" s="1" t="s">
        <v>11873</v>
      </c>
      <c r="H2065" s="1" t="s">
        <v>11874</v>
      </c>
    </row>
    <row r="2066" spans="1:8" x14ac:dyDescent="0.3">
      <c r="A2066" s="2" t="s">
        <v>11875</v>
      </c>
      <c r="B2066" s="1" t="e">
        <f ca="1">-아/어(-았/었다)</f>
        <v>#NAME?</v>
      </c>
      <c r="C2066" s="1" t="s">
        <v>11876</v>
      </c>
      <c r="D2066" s="1" t="s">
        <v>11877</v>
      </c>
      <c r="E2066" s="1" t="s">
        <v>11878</v>
      </c>
      <c r="F2066" s="1" t="s">
        <v>11879</v>
      </c>
      <c r="G2066" s="1" t="s">
        <v>11880</v>
      </c>
      <c r="H2066" s="1" t="s">
        <v>11881</v>
      </c>
    </row>
    <row r="2067" spans="1:8" x14ac:dyDescent="0.3">
      <c r="A2067" s="2">
        <v>32010</v>
      </c>
      <c r="B2067" s="1" t="s">
        <v>11882</v>
      </c>
    </row>
    <row r="2068" spans="1:8" x14ac:dyDescent="0.3">
      <c r="A2068" s="2" t="s">
        <v>11883</v>
      </c>
      <c r="B2068" s="1" t="e">
        <f>-지</f>
        <v>#NAME?</v>
      </c>
      <c r="C2068" s="1" t="s">
        <v>11884</v>
      </c>
      <c r="E2068" s="1" t="s">
        <v>11885</v>
      </c>
      <c r="F2068" s="1" t="s">
        <v>11886</v>
      </c>
      <c r="G2068" s="1" t="s">
        <v>11885</v>
      </c>
      <c r="H2068" s="1" t="s">
        <v>11887</v>
      </c>
    </row>
    <row r="2069" spans="1:8" x14ac:dyDescent="0.3">
      <c r="A2069" s="2" t="s">
        <v>11888</v>
      </c>
      <c r="B2069" s="1" t="e">
        <f>-고</f>
        <v>#NAME?</v>
      </c>
      <c r="C2069" s="1" t="s">
        <v>11889</v>
      </c>
      <c r="D2069" s="1" t="s">
        <v>11890</v>
      </c>
      <c r="E2069" s="1" t="s">
        <v>11891</v>
      </c>
      <c r="F2069" s="1" t="s">
        <v>11892</v>
      </c>
      <c r="G2069" s="1" t="s">
        <v>11893</v>
      </c>
      <c r="H2069" s="1" t="s">
        <v>11893</v>
      </c>
    </row>
    <row r="2070" spans="1:8" x14ac:dyDescent="0.3">
      <c r="A2070" s="2" t="s">
        <v>11894</v>
      </c>
      <c r="B2070" s="1" t="e">
        <f>-더라</f>
        <v>#NAME?</v>
      </c>
      <c r="C2070" s="1" t="s">
        <v>11895</v>
      </c>
      <c r="D2070" s="1" t="s">
        <v>11896</v>
      </c>
      <c r="E2070" s="1" t="s">
        <v>11897</v>
      </c>
      <c r="F2070" s="1" t="s">
        <v>11885</v>
      </c>
      <c r="G2070" s="1" t="s">
        <v>11898</v>
      </c>
      <c r="H2070" s="1" t="s">
        <v>11899</v>
      </c>
    </row>
    <row r="2071" spans="1:8" x14ac:dyDescent="0.3">
      <c r="A2071" s="2" t="s">
        <v>11900</v>
      </c>
      <c r="B2071" s="1" t="e">
        <f>-으니까</f>
        <v>#NAME?</v>
      </c>
      <c r="C2071" s="1" t="s">
        <v>11901</v>
      </c>
      <c r="E2071" s="1" t="s">
        <v>11902</v>
      </c>
      <c r="F2071" s="1" t="s">
        <v>11903</v>
      </c>
      <c r="G2071" s="1" t="s">
        <v>11904</v>
      </c>
      <c r="H2071" s="1" t="s">
        <v>11905</v>
      </c>
    </row>
    <row r="2072" spans="1:8" x14ac:dyDescent="0.3">
      <c r="A2072" s="2" t="s">
        <v>11906</v>
      </c>
      <c r="B2072" s="1" t="e">
        <f ca="1">-아/어(-았/었다)</f>
        <v>#NAME?</v>
      </c>
      <c r="C2072" s="1" t="s">
        <v>11907</v>
      </c>
      <c r="E2072" s="1" t="s">
        <v>11908</v>
      </c>
      <c r="F2072" s="1" t="s">
        <v>11909</v>
      </c>
      <c r="G2072" s="1" t="s">
        <v>11910</v>
      </c>
      <c r="H2072" s="1" t="s">
        <v>11911</v>
      </c>
    </row>
    <row r="2073" spans="1:8" x14ac:dyDescent="0.3">
      <c r="A2073" s="2">
        <v>32011</v>
      </c>
      <c r="B2073" s="1" t="s">
        <v>11912</v>
      </c>
    </row>
    <row r="2074" spans="1:8" x14ac:dyDescent="0.3">
      <c r="A2074" s="2" t="s">
        <v>11913</v>
      </c>
      <c r="B2074" s="1" t="e">
        <f>-지</f>
        <v>#NAME?</v>
      </c>
      <c r="C2074" s="1" t="s">
        <v>11914</v>
      </c>
      <c r="D2074" s="1" t="s">
        <v>11915</v>
      </c>
      <c r="E2074" s="1" t="s">
        <v>11916</v>
      </c>
      <c r="F2074" s="1" t="s">
        <v>11917</v>
      </c>
      <c r="G2074" s="1" t="s">
        <v>11918</v>
      </c>
      <c r="H2074" s="1" t="s">
        <v>11919</v>
      </c>
    </row>
    <row r="2075" spans="1:8" x14ac:dyDescent="0.3">
      <c r="A2075" s="2" t="s">
        <v>11920</v>
      </c>
      <c r="B2075" s="1" t="e">
        <f>-고</f>
        <v>#NAME?</v>
      </c>
      <c r="C2075" s="1" t="s">
        <v>11921</v>
      </c>
      <c r="E2075" s="1" t="s">
        <v>11922</v>
      </c>
      <c r="F2075" s="1" t="s">
        <v>11923</v>
      </c>
      <c r="G2075" s="1" t="s">
        <v>11924</v>
      </c>
      <c r="H2075" s="1" t="s">
        <v>11924</v>
      </c>
    </row>
    <row r="2076" spans="1:8" x14ac:dyDescent="0.3">
      <c r="A2076" s="2" t="s">
        <v>11925</v>
      </c>
      <c r="B2076" s="1" t="e">
        <f>-더라</f>
        <v>#NAME?</v>
      </c>
      <c r="C2076" s="1" t="s">
        <v>11926</v>
      </c>
      <c r="E2076" s="1" t="s">
        <v>11927</v>
      </c>
      <c r="F2076" s="1" t="s">
        <v>11928</v>
      </c>
      <c r="G2076" s="1" t="s">
        <v>11929</v>
      </c>
      <c r="H2076" s="1" t="s">
        <v>11930</v>
      </c>
    </row>
    <row r="2077" spans="1:8" x14ac:dyDescent="0.3">
      <c r="A2077" s="2" t="s">
        <v>11931</v>
      </c>
      <c r="B2077" s="1" t="e">
        <f>-으니까</f>
        <v>#NAME?</v>
      </c>
      <c r="C2077" s="1" t="s">
        <v>11932</v>
      </c>
      <c r="D2077" s="1" t="s">
        <v>11933</v>
      </c>
      <c r="E2077" s="1" t="s">
        <v>11934</v>
      </c>
      <c r="F2077" s="1" t="s">
        <v>11935</v>
      </c>
      <c r="G2077" s="1" t="s">
        <v>11936</v>
      </c>
      <c r="H2077" s="1" t="s">
        <v>11937</v>
      </c>
    </row>
    <row r="2078" spans="1:8" x14ac:dyDescent="0.3">
      <c r="A2078" s="2" t="s">
        <v>11938</v>
      </c>
      <c r="B2078" s="1" t="e">
        <f ca="1">-아/어(-았/었다)</f>
        <v>#NAME?</v>
      </c>
      <c r="C2078" s="1" t="s">
        <v>11939</v>
      </c>
      <c r="D2078" s="1" t="s">
        <v>11940</v>
      </c>
      <c r="E2078" s="1" t="s">
        <v>11941</v>
      </c>
      <c r="F2078" s="1" t="s">
        <v>11942</v>
      </c>
      <c r="G2078" s="1" t="s">
        <v>11942</v>
      </c>
      <c r="H2078" s="1" t="s">
        <v>11943</v>
      </c>
    </row>
    <row r="2079" spans="1:8" x14ac:dyDescent="0.3">
      <c r="A2079" s="2">
        <v>32012</v>
      </c>
      <c r="B2079" s="1" t="s">
        <v>11944</v>
      </c>
    </row>
    <row r="2080" spans="1:8" x14ac:dyDescent="0.3">
      <c r="A2080" s="2" t="s">
        <v>11945</v>
      </c>
      <c r="B2080" s="1" t="e">
        <f>-지</f>
        <v>#NAME?</v>
      </c>
      <c r="C2080" s="1" t="s">
        <v>11946</v>
      </c>
      <c r="E2080" s="1" t="s">
        <v>11947</v>
      </c>
      <c r="F2080" s="1" t="s">
        <v>11948</v>
      </c>
      <c r="G2080" s="1" t="s">
        <v>11949</v>
      </c>
      <c r="H2080" s="1" t="s">
        <v>11950</v>
      </c>
    </row>
    <row r="2081" spans="1:8" x14ac:dyDescent="0.3">
      <c r="A2081" s="2" t="s">
        <v>11951</v>
      </c>
      <c r="B2081" s="1" t="e">
        <f>-고</f>
        <v>#NAME?</v>
      </c>
      <c r="C2081" s="1" t="s">
        <v>11952</v>
      </c>
      <c r="E2081" s="1" t="s">
        <v>11953</v>
      </c>
      <c r="F2081" s="1" t="s">
        <v>11954</v>
      </c>
      <c r="G2081" s="1" t="s">
        <v>11955</v>
      </c>
      <c r="H2081" s="1" t="s">
        <v>11956</v>
      </c>
    </row>
    <row r="2082" spans="1:8" x14ac:dyDescent="0.3">
      <c r="A2082" s="2" t="s">
        <v>11957</v>
      </c>
      <c r="B2082" s="1" t="e">
        <f>-더라</f>
        <v>#NAME?</v>
      </c>
      <c r="C2082" s="1" t="s">
        <v>11958</v>
      </c>
      <c r="E2082" s="1" t="s">
        <v>11959</v>
      </c>
      <c r="F2082" s="1" t="s">
        <v>11960</v>
      </c>
      <c r="G2082" s="1" t="s">
        <v>11961</v>
      </c>
      <c r="H2082" s="1" t="s">
        <v>11961</v>
      </c>
    </row>
    <row r="2083" spans="1:8" x14ac:dyDescent="0.3">
      <c r="A2083" s="2" t="s">
        <v>11962</v>
      </c>
      <c r="B2083" s="1" t="e">
        <f>-으니까</f>
        <v>#NAME?</v>
      </c>
      <c r="C2083" s="1" t="s">
        <v>11963</v>
      </c>
      <c r="E2083" s="1" t="s">
        <v>11964</v>
      </c>
      <c r="F2083" s="1" t="s">
        <v>11965</v>
      </c>
      <c r="G2083" s="1" t="s">
        <v>11966</v>
      </c>
      <c r="H2083" s="1" t="s">
        <v>11967</v>
      </c>
    </row>
    <row r="2084" spans="1:8" x14ac:dyDescent="0.3">
      <c r="A2084" s="2" t="s">
        <v>11968</v>
      </c>
      <c r="B2084" s="1" t="e">
        <f ca="1">-아/어(-았/었다)</f>
        <v>#NAME?</v>
      </c>
      <c r="C2084" s="1" t="s">
        <v>11969</v>
      </c>
      <c r="D2084" s="1" t="s">
        <v>11970</v>
      </c>
      <c r="E2084" s="1" t="s">
        <v>11971</v>
      </c>
      <c r="F2084" s="1" t="s">
        <v>11972</v>
      </c>
      <c r="G2084" s="1" t="s">
        <v>11973</v>
      </c>
      <c r="H2084" s="1" t="s">
        <v>11974</v>
      </c>
    </row>
    <row r="2085" spans="1:8" x14ac:dyDescent="0.3">
      <c r="A2085" s="2">
        <v>32013</v>
      </c>
      <c r="B2085" s="1" t="s">
        <v>11975</v>
      </c>
    </row>
    <row r="2086" spans="1:8" x14ac:dyDescent="0.3">
      <c r="A2086" s="2" t="s">
        <v>11976</v>
      </c>
      <c r="B2086" s="1" t="e">
        <f>-지</f>
        <v>#NAME?</v>
      </c>
      <c r="C2086" s="1" t="s">
        <v>11977</v>
      </c>
      <c r="D2086" s="1" t="s">
        <v>11978</v>
      </c>
      <c r="E2086" s="1" t="s">
        <v>11979</v>
      </c>
      <c r="F2086" s="1" t="s">
        <v>11980</v>
      </c>
      <c r="G2086" s="1" t="s">
        <v>11979</v>
      </c>
      <c r="H2086" s="1" t="s">
        <v>11981</v>
      </c>
    </row>
    <row r="2087" spans="1:8" x14ac:dyDescent="0.3">
      <c r="A2087" s="2" t="s">
        <v>11982</v>
      </c>
      <c r="B2087" s="1" t="e">
        <f>-고</f>
        <v>#NAME?</v>
      </c>
      <c r="C2087" s="1" t="s">
        <v>11983</v>
      </c>
      <c r="D2087" s="1" t="s">
        <v>3896</v>
      </c>
      <c r="E2087" s="1" t="s">
        <v>11984</v>
      </c>
      <c r="F2087" s="1" t="s">
        <v>11985</v>
      </c>
      <c r="G2087" s="1" t="s">
        <v>11986</v>
      </c>
      <c r="H2087" s="1" t="s">
        <v>11987</v>
      </c>
    </row>
    <row r="2088" spans="1:8" x14ac:dyDescent="0.3">
      <c r="A2088" s="2" t="s">
        <v>11988</v>
      </c>
      <c r="B2088" s="1" t="e">
        <f>-더라</f>
        <v>#NAME?</v>
      </c>
      <c r="C2088" s="1" t="s">
        <v>11989</v>
      </c>
      <c r="E2088" s="1" t="s">
        <v>11990</v>
      </c>
      <c r="F2088" s="1" t="s">
        <v>11991</v>
      </c>
      <c r="G2088" s="1" t="s">
        <v>11992</v>
      </c>
      <c r="H2088" s="1" t="s">
        <v>11992</v>
      </c>
    </row>
    <row r="2089" spans="1:8" x14ac:dyDescent="0.3">
      <c r="A2089" s="2" t="s">
        <v>11993</v>
      </c>
      <c r="B2089" s="1" t="e">
        <f>-으니까</f>
        <v>#NAME?</v>
      </c>
      <c r="C2089" s="1" t="s">
        <v>11994</v>
      </c>
      <c r="D2089" s="1" t="s">
        <v>11995</v>
      </c>
      <c r="E2089" s="1" t="s">
        <v>11996</v>
      </c>
      <c r="F2089" s="1" t="s">
        <v>11997</v>
      </c>
      <c r="G2089" s="1" t="s">
        <v>11998</v>
      </c>
      <c r="H2089" s="1" t="s">
        <v>11999</v>
      </c>
    </row>
    <row r="2090" spans="1:8" x14ac:dyDescent="0.3">
      <c r="A2090" s="2" t="s">
        <v>12000</v>
      </c>
      <c r="B2090" s="1" t="e">
        <f ca="1">-아/어(-았/었다)</f>
        <v>#NAME?</v>
      </c>
      <c r="C2090" s="1" t="s">
        <v>12001</v>
      </c>
      <c r="D2090" s="1" t="s">
        <v>12002</v>
      </c>
      <c r="E2090" s="1" t="s">
        <v>12003</v>
      </c>
      <c r="F2090" s="1" t="s">
        <v>12004</v>
      </c>
      <c r="G2090" s="1" t="s">
        <v>12004</v>
      </c>
      <c r="H2090" s="1" t="s">
        <v>12005</v>
      </c>
    </row>
    <row r="2091" spans="1:8" x14ac:dyDescent="0.3">
      <c r="A2091" s="2">
        <v>32014</v>
      </c>
      <c r="B2091" s="1" t="s">
        <v>12006</v>
      </c>
    </row>
    <row r="2092" spans="1:8" x14ac:dyDescent="0.3">
      <c r="A2092" s="2" t="s">
        <v>12007</v>
      </c>
      <c r="B2092" s="1" t="e">
        <f>-지</f>
        <v>#NAME?</v>
      </c>
      <c r="C2092" s="1" t="s">
        <v>12008</v>
      </c>
      <c r="D2092" s="1" t="s">
        <v>12009</v>
      </c>
      <c r="E2092" s="1" t="s">
        <v>12010</v>
      </c>
      <c r="F2092" s="1" t="s">
        <v>12011</v>
      </c>
      <c r="G2092" s="1" t="s">
        <v>12012</v>
      </c>
      <c r="H2092" s="1" t="s">
        <v>12013</v>
      </c>
    </row>
    <row r="2093" spans="1:8" x14ac:dyDescent="0.3">
      <c r="A2093" s="2" t="s">
        <v>12014</v>
      </c>
      <c r="B2093" s="1" t="e">
        <f>-고</f>
        <v>#NAME?</v>
      </c>
      <c r="C2093" s="1" t="s">
        <v>12015</v>
      </c>
      <c r="D2093" s="1" t="s">
        <v>12016</v>
      </c>
      <c r="E2093" s="1" t="s">
        <v>12017</v>
      </c>
      <c r="F2093" s="1" t="s">
        <v>12018</v>
      </c>
      <c r="G2093" s="1" t="s">
        <v>12019</v>
      </c>
      <c r="H2093" s="1" t="s">
        <v>12020</v>
      </c>
    </row>
    <row r="2094" spans="1:8" x14ac:dyDescent="0.3">
      <c r="A2094" s="2" t="s">
        <v>12021</v>
      </c>
      <c r="B2094" s="1" t="e">
        <f>-더라</f>
        <v>#NAME?</v>
      </c>
      <c r="C2094" s="1" t="s">
        <v>12022</v>
      </c>
      <c r="E2094" s="1" t="s">
        <v>12023</v>
      </c>
      <c r="G2094" s="1" t="s">
        <v>12024</v>
      </c>
      <c r="H2094" s="1" t="s">
        <v>12025</v>
      </c>
    </row>
    <row r="2095" spans="1:8" x14ac:dyDescent="0.3">
      <c r="A2095" s="2" t="s">
        <v>12026</v>
      </c>
      <c r="B2095" s="1" t="e">
        <f>-으니까</f>
        <v>#NAME?</v>
      </c>
      <c r="C2095" s="1" t="s">
        <v>12027</v>
      </c>
      <c r="G2095" s="1" t="s">
        <v>12028</v>
      </c>
      <c r="H2095" s="1" t="s">
        <v>12029</v>
      </c>
    </row>
    <row r="2096" spans="1:8" x14ac:dyDescent="0.3">
      <c r="A2096" s="2" t="s">
        <v>12030</v>
      </c>
      <c r="B2096" s="1" t="e">
        <f ca="1">-아/어(-았/었다)</f>
        <v>#NAME?</v>
      </c>
      <c r="C2096" s="1" t="s">
        <v>12031</v>
      </c>
      <c r="D2096" s="1" t="s">
        <v>12032</v>
      </c>
      <c r="E2096" s="1" t="s">
        <v>12033</v>
      </c>
      <c r="F2096" s="1" t="s">
        <v>12034</v>
      </c>
      <c r="G2096" s="1" t="s">
        <v>12034</v>
      </c>
      <c r="H2096" s="1" t="s">
        <v>12035</v>
      </c>
    </row>
    <row r="2097" spans="1:8" x14ac:dyDescent="0.3">
      <c r="A2097" s="2">
        <v>32015</v>
      </c>
      <c r="B2097" s="1" t="s">
        <v>12036</v>
      </c>
    </row>
    <row r="2098" spans="1:8" x14ac:dyDescent="0.3">
      <c r="A2098" s="2" t="s">
        <v>12037</v>
      </c>
      <c r="B2098" s="1" t="e">
        <f>-지</f>
        <v>#NAME?</v>
      </c>
      <c r="C2098" s="1" t="s">
        <v>12038</v>
      </c>
      <c r="F2098" s="1" t="s">
        <v>12039</v>
      </c>
      <c r="G2098" s="1" t="s">
        <v>12040</v>
      </c>
      <c r="H2098" s="1" t="s">
        <v>12041</v>
      </c>
    </row>
    <row r="2099" spans="1:8" x14ac:dyDescent="0.3">
      <c r="A2099" s="2" t="s">
        <v>12042</v>
      </c>
      <c r="B2099" s="1" t="e">
        <f>-고</f>
        <v>#NAME?</v>
      </c>
      <c r="C2099" s="1" t="s">
        <v>12043</v>
      </c>
      <c r="E2099" s="1" t="s">
        <v>12044</v>
      </c>
      <c r="G2099" s="1" t="s">
        <v>12039</v>
      </c>
      <c r="H2099" s="1" t="s">
        <v>12045</v>
      </c>
    </row>
    <row r="2100" spans="1:8" x14ac:dyDescent="0.3">
      <c r="A2100" s="2" t="s">
        <v>12046</v>
      </c>
      <c r="B2100" s="1" t="e">
        <f>-더라</f>
        <v>#NAME?</v>
      </c>
      <c r="E2100" s="1" t="s">
        <v>12047</v>
      </c>
      <c r="F2100" s="1" t="s">
        <v>12048</v>
      </c>
      <c r="G2100" s="1" t="s">
        <v>12049</v>
      </c>
      <c r="H2100" s="1" t="s">
        <v>12049</v>
      </c>
    </row>
    <row r="2101" spans="1:8" x14ac:dyDescent="0.3">
      <c r="A2101" s="2" t="s">
        <v>12050</v>
      </c>
      <c r="B2101" s="1" t="e">
        <f>-으니까</f>
        <v>#NAME?</v>
      </c>
      <c r="C2101" s="1" t="s">
        <v>12051</v>
      </c>
      <c r="D2101" s="1" t="s">
        <v>12052</v>
      </c>
      <c r="E2101" s="1" t="s">
        <v>12053</v>
      </c>
      <c r="F2101" s="1" t="s">
        <v>12054</v>
      </c>
      <c r="G2101" s="1" t="s">
        <v>12055</v>
      </c>
      <c r="H2101" s="1" t="s">
        <v>12056</v>
      </c>
    </row>
    <row r="2102" spans="1:8" x14ac:dyDescent="0.3">
      <c r="A2102" s="2" t="s">
        <v>12057</v>
      </c>
      <c r="B2102" s="1" t="e">
        <f ca="1">-아/어(-았/었다)</f>
        <v>#NAME?</v>
      </c>
      <c r="C2102" s="1" t="s">
        <v>12058</v>
      </c>
      <c r="D2102" s="1" t="s">
        <v>12059</v>
      </c>
      <c r="E2102" s="1" t="s">
        <v>12060</v>
      </c>
      <c r="F2102" s="1" t="s">
        <v>12060</v>
      </c>
      <c r="G2102" s="1" t="s">
        <v>12061</v>
      </c>
      <c r="H2102" s="1" t="s">
        <v>12060</v>
      </c>
    </row>
    <row r="2103" spans="1:8" x14ac:dyDescent="0.3">
      <c r="A2103" s="2">
        <v>32016</v>
      </c>
      <c r="B2103" s="1" t="s">
        <v>12062</v>
      </c>
    </row>
    <row r="2104" spans="1:8" x14ac:dyDescent="0.3">
      <c r="A2104" s="2" t="s">
        <v>12063</v>
      </c>
      <c r="B2104" s="1" t="e">
        <f>-지</f>
        <v>#NAME?</v>
      </c>
      <c r="C2104" s="1" t="s">
        <v>12064</v>
      </c>
      <c r="D2104" s="1" t="s">
        <v>12065</v>
      </c>
      <c r="E2104" s="1" t="s">
        <v>12066</v>
      </c>
      <c r="F2104" s="1" t="s">
        <v>12067</v>
      </c>
      <c r="G2104" s="1" t="s">
        <v>12068</v>
      </c>
      <c r="H2104" s="1" t="s">
        <v>12069</v>
      </c>
    </row>
    <row r="2105" spans="1:8" x14ac:dyDescent="0.3">
      <c r="A2105" s="2" t="s">
        <v>12070</v>
      </c>
      <c r="B2105" s="1" t="e">
        <f>-고</f>
        <v>#NAME?</v>
      </c>
      <c r="C2105" s="1" t="s">
        <v>12071</v>
      </c>
      <c r="E2105" s="1" t="s">
        <v>12072</v>
      </c>
      <c r="F2105" s="1" t="s">
        <v>57</v>
      </c>
      <c r="G2105" s="1" t="s">
        <v>12073</v>
      </c>
      <c r="H2105" s="1" t="s">
        <v>12074</v>
      </c>
    </row>
    <row r="2106" spans="1:8" x14ac:dyDescent="0.3">
      <c r="A2106" s="2" t="s">
        <v>12075</v>
      </c>
      <c r="B2106" s="1" t="e">
        <f>-더라</f>
        <v>#NAME?</v>
      </c>
      <c r="C2106" s="1" t="s">
        <v>12076</v>
      </c>
      <c r="F2106" s="1" t="s">
        <v>12077</v>
      </c>
      <c r="G2106" s="1" t="s">
        <v>12078</v>
      </c>
      <c r="H2106" s="1" t="s">
        <v>12079</v>
      </c>
    </row>
    <row r="2107" spans="1:8" x14ac:dyDescent="0.3">
      <c r="A2107" s="2" t="s">
        <v>12080</v>
      </c>
      <c r="B2107" s="1" t="e">
        <f>-으니까</f>
        <v>#NAME?</v>
      </c>
      <c r="C2107" s="1" t="s">
        <v>12081</v>
      </c>
      <c r="E2107" s="1" t="s">
        <v>12082</v>
      </c>
      <c r="F2107" s="1" t="s">
        <v>12083</v>
      </c>
      <c r="G2107" s="1" t="s">
        <v>12084</v>
      </c>
      <c r="H2107" s="1" t="s">
        <v>12085</v>
      </c>
    </row>
    <row r="2108" spans="1:8" x14ac:dyDescent="0.3">
      <c r="A2108" s="2" t="s">
        <v>12086</v>
      </c>
      <c r="B2108" s="1" t="e">
        <f ca="1">-아/어(-았/었다)</f>
        <v>#NAME?</v>
      </c>
      <c r="C2108" s="1" t="s">
        <v>12087</v>
      </c>
      <c r="D2108" s="1" t="s">
        <v>12088</v>
      </c>
      <c r="E2108" s="1" t="s">
        <v>12089</v>
      </c>
      <c r="F2108" s="1" t="s">
        <v>12090</v>
      </c>
      <c r="G2108" s="1" t="s">
        <v>12088</v>
      </c>
      <c r="H2108" s="1" t="s">
        <v>12091</v>
      </c>
    </row>
    <row r="2109" spans="1:8" x14ac:dyDescent="0.3">
      <c r="A2109" s="2">
        <v>32017</v>
      </c>
      <c r="B2109" s="1" t="s">
        <v>12092</v>
      </c>
    </row>
    <row r="2110" spans="1:8" x14ac:dyDescent="0.3">
      <c r="A2110" s="2" t="s">
        <v>12093</v>
      </c>
      <c r="B2110" s="1" t="e">
        <f>-지</f>
        <v>#NAME?</v>
      </c>
      <c r="C2110" s="1" t="s">
        <v>12094</v>
      </c>
      <c r="F2110" s="1" t="s">
        <v>57</v>
      </c>
      <c r="G2110" s="1" t="s">
        <v>12095</v>
      </c>
      <c r="H2110" s="1" t="s">
        <v>12096</v>
      </c>
    </row>
    <row r="2111" spans="1:8" x14ac:dyDescent="0.3">
      <c r="A2111" s="2" t="s">
        <v>12097</v>
      </c>
      <c r="B2111" s="1" t="e">
        <f>-고</f>
        <v>#NAME?</v>
      </c>
      <c r="C2111" s="1" t="s">
        <v>12098</v>
      </c>
      <c r="E2111" s="1" t="s">
        <v>12099</v>
      </c>
      <c r="F2111" s="1" t="s">
        <v>57</v>
      </c>
      <c r="G2111" s="1" t="s">
        <v>12100</v>
      </c>
      <c r="H2111" s="1" t="s">
        <v>12101</v>
      </c>
    </row>
    <row r="2112" spans="1:8" x14ac:dyDescent="0.3">
      <c r="A2112" s="2" t="s">
        <v>12102</v>
      </c>
      <c r="B2112" s="1" t="e">
        <f>-더라</f>
        <v>#NAME?</v>
      </c>
      <c r="C2112" s="1" t="s">
        <v>12103</v>
      </c>
      <c r="E2112" s="1" t="s">
        <v>12104</v>
      </c>
      <c r="F2112" s="1" t="s">
        <v>12105</v>
      </c>
      <c r="G2112" s="1" t="s">
        <v>12106</v>
      </c>
      <c r="H2112" s="1" t="s">
        <v>12107</v>
      </c>
    </row>
    <row r="2113" spans="1:8" x14ac:dyDescent="0.3">
      <c r="A2113" s="2" t="s">
        <v>12108</v>
      </c>
      <c r="B2113" s="1" t="e">
        <f>-으니까</f>
        <v>#NAME?</v>
      </c>
      <c r="C2113" s="1" t="s">
        <v>12109</v>
      </c>
      <c r="E2113" s="1" t="s">
        <v>12110</v>
      </c>
      <c r="F2113" s="1" t="s">
        <v>12111</v>
      </c>
      <c r="G2113" s="1" t="s">
        <v>12112</v>
      </c>
      <c r="H2113" s="1" t="s">
        <v>12113</v>
      </c>
    </row>
    <row r="2114" spans="1:8" x14ac:dyDescent="0.3">
      <c r="A2114" s="2" t="s">
        <v>12114</v>
      </c>
      <c r="B2114" s="1" t="e">
        <f ca="1">-아/어(-았/었다)</f>
        <v>#NAME?</v>
      </c>
      <c r="C2114" s="1" t="s">
        <v>12115</v>
      </c>
      <c r="D2114" s="1" t="s">
        <v>12116</v>
      </c>
      <c r="E2114" s="1" t="s">
        <v>12117</v>
      </c>
      <c r="F2114" s="1" t="s">
        <v>12118</v>
      </c>
      <c r="G2114" s="1" t="s">
        <v>12119</v>
      </c>
      <c r="H2114" s="1" t="s">
        <v>12118</v>
      </c>
    </row>
    <row r="2115" spans="1:8" x14ac:dyDescent="0.3">
      <c r="A2115" s="2">
        <v>32018</v>
      </c>
      <c r="B2115" s="1" t="s">
        <v>12120</v>
      </c>
    </row>
    <row r="2116" spans="1:8" x14ac:dyDescent="0.3">
      <c r="A2116" s="2" t="s">
        <v>12121</v>
      </c>
      <c r="B2116" s="1" t="e">
        <f>-지</f>
        <v>#NAME?</v>
      </c>
      <c r="C2116" s="1" t="s">
        <v>12122</v>
      </c>
      <c r="E2116" s="1" t="s">
        <v>12123</v>
      </c>
      <c r="F2116" s="1" t="s">
        <v>12124</v>
      </c>
      <c r="G2116" s="1" t="s">
        <v>12125</v>
      </c>
      <c r="H2116" s="1" t="s">
        <v>12126</v>
      </c>
    </row>
    <row r="2117" spans="1:8" x14ac:dyDescent="0.3">
      <c r="A2117" s="2" t="s">
        <v>12127</v>
      </c>
      <c r="B2117" s="1" t="e">
        <f>-고</f>
        <v>#NAME?</v>
      </c>
      <c r="C2117" s="1" t="s">
        <v>12128</v>
      </c>
      <c r="D2117" s="1" t="s">
        <v>12129</v>
      </c>
      <c r="E2117" s="1" t="s">
        <v>12130</v>
      </c>
      <c r="F2117" s="1" t="s">
        <v>12131</v>
      </c>
      <c r="G2117" s="1" t="s">
        <v>12132</v>
      </c>
      <c r="H2117" s="1" t="s">
        <v>12133</v>
      </c>
    </row>
    <row r="2118" spans="1:8" x14ac:dyDescent="0.3">
      <c r="A2118" s="2" t="s">
        <v>12134</v>
      </c>
      <c r="B2118" s="1" t="e">
        <f>-더라</f>
        <v>#NAME?</v>
      </c>
      <c r="C2118" s="1" t="s">
        <v>12135</v>
      </c>
      <c r="E2118" s="1" t="s">
        <v>12125</v>
      </c>
      <c r="F2118" s="1" t="s">
        <v>12125</v>
      </c>
      <c r="G2118" s="1" t="s">
        <v>12136</v>
      </c>
      <c r="H2118" s="1" t="s">
        <v>12137</v>
      </c>
    </row>
    <row r="2119" spans="1:8" x14ac:dyDescent="0.3">
      <c r="A2119" s="2" t="s">
        <v>12138</v>
      </c>
      <c r="B2119" s="1" t="e">
        <f>-으니까</f>
        <v>#NAME?</v>
      </c>
      <c r="C2119" s="1" t="s">
        <v>12139</v>
      </c>
      <c r="E2119" s="1" t="s">
        <v>12140</v>
      </c>
      <c r="F2119" s="1" t="s">
        <v>12141</v>
      </c>
      <c r="G2119" s="1" t="s">
        <v>12142</v>
      </c>
      <c r="H2119" s="1" t="s">
        <v>12143</v>
      </c>
    </row>
    <row r="2120" spans="1:8" x14ac:dyDescent="0.3">
      <c r="A2120" s="2" t="s">
        <v>12144</v>
      </c>
      <c r="B2120" s="1" t="e">
        <f ca="1">-아/어(-았/었다)</f>
        <v>#NAME?</v>
      </c>
      <c r="C2120" s="1" t="s">
        <v>12145</v>
      </c>
      <c r="D2120" s="1" t="s">
        <v>12146</v>
      </c>
      <c r="E2120" s="1" t="s">
        <v>12147</v>
      </c>
      <c r="F2120" s="1" t="s">
        <v>12148</v>
      </c>
      <c r="G2120" s="1" t="s">
        <v>12149</v>
      </c>
      <c r="H2120" s="1" t="s">
        <v>12150</v>
      </c>
    </row>
    <row r="2121" spans="1:8" x14ac:dyDescent="0.3">
      <c r="A2121" s="2">
        <v>32019</v>
      </c>
      <c r="B2121" s="1" t="s">
        <v>12151</v>
      </c>
    </row>
    <row r="2122" spans="1:8" x14ac:dyDescent="0.3">
      <c r="A2122" s="2" t="s">
        <v>12152</v>
      </c>
      <c r="B2122" s="1" t="e">
        <f>-지</f>
        <v>#NAME?</v>
      </c>
      <c r="C2122" s="1" t="s">
        <v>12153</v>
      </c>
      <c r="D2122" s="1" t="s">
        <v>12154</v>
      </c>
      <c r="E2122" s="1" t="s">
        <v>12155</v>
      </c>
      <c r="F2122" s="1" t="s">
        <v>12156</v>
      </c>
      <c r="G2122" s="1" t="s">
        <v>12157</v>
      </c>
      <c r="H2122" s="1" t="s">
        <v>12158</v>
      </c>
    </row>
    <row r="2123" spans="1:8" x14ac:dyDescent="0.3">
      <c r="A2123" s="2" t="s">
        <v>12159</v>
      </c>
      <c r="B2123" s="1" t="e">
        <f>-고</f>
        <v>#NAME?</v>
      </c>
      <c r="C2123" s="1" t="s">
        <v>12160</v>
      </c>
      <c r="E2123" s="1" t="s">
        <v>12161</v>
      </c>
      <c r="F2123" s="1" t="s">
        <v>12162</v>
      </c>
      <c r="G2123" s="1" t="s">
        <v>12163</v>
      </c>
      <c r="H2123" s="1" t="s">
        <v>12164</v>
      </c>
    </row>
    <row r="2124" spans="1:8" x14ac:dyDescent="0.3">
      <c r="A2124" s="2" t="s">
        <v>12165</v>
      </c>
      <c r="B2124" s="1" t="e">
        <f>-더라</f>
        <v>#NAME?</v>
      </c>
      <c r="C2124" s="1" t="s">
        <v>12166</v>
      </c>
      <c r="E2124" s="1" t="s">
        <v>12167</v>
      </c>
      <c r="F2124" s="1" t="s">
        <v>12168</v>
      </c>
      <c r="G2124" s="1" t="s">
        <v>12169</v>
      </c>
    </row>
    <row r="2125" spans="1:8" x14ac:dyDescent="0.3">
      <c r="A2125" s="2" t="s">
        <v>12170</v>
      </c>
      <c r="B2125" s="1" t="e">
        <f>-으니까</f>
        <v>#NAME?</v>
      </c>
      <c r="C2125" s="1" t="s">
        <v>12171</v>
      </c>
      <c r="E2125" s="1" t="s">
        <v>12172</v>
      </c>
      <c r="F2125" s="1" t="s">
        <v>12173</v>
      </c>
      <c r="G2125" s="1" t="s">
        <v>12174</v>
      </c>
      <c r="H2125" s="1" t="s">
        <v>12175</v>
      </c>
    </row>
    <row r="2126" spans="1:8" x14ac:dyDescent="0.3">
      <c r="A2126" s="2" t="s">
        <v>12176</v>
      </c>
      <c r="B2126" s="1" t="e">
        <f ca="1">-아/어(-았/었다)</f>
        <v>#NAME?</v>
      </c>
      <c r="C2126" s="1" t="s">
        <v>12177</v>
      </c>
      <c r="D2126" s="1" t="s">
        <v>12178</v>
      </c>
      <c r="E2126" s="1" t="s">
        <v>12179</v>
      </c>
      <c r="F2126" s="1" t="s">
        <v>12180</v>
      </c>
      <c r="G2126" s="1" t="s">
        <v>12180</v>
      </c>
      <c r="H2126" s="1" t="s">
        <v>12181</v>
      </c>
    </row>
    <row r="2127" spans="1:8" x14ac:dyDescent="0.3">
      <c r="A2127" s="2">
        <v>32020</v>
      </c>
      <c r="B2127" s="1" t="s">
        <v>12182</v>
      </c>
    </row>
    <row r="2128" spans="1:8" x14ac:dyDescent="0.3">
      <c r="A2128" s="2" t="s">
        <v>12183</v>
      </c>
      <c r="B2128" s="1" t="e">
        <f>-지</f>
        <v>#NAME?</v>
      </c>
      <c r="C2128" s="1" t="s">
        <v>12184</v>
      </c>
      <c r="D2128" s="1" t="s">
        <v>12185</v>
      </c>
      <c r="E2128" s="1" t="s">
        <v>12186</v>
      </c>
      <c r="F2128" s="1" t="s">
        <v>12187</v>
      </c>
      <c r="G2128" s="1" t="s">
        <v>12188</v>
      </c>
      <c r="H2128" s="1" t="s">
        <v>12189</v>
      </c>
    </row>
    <row r="2129" spans="1:8" x14ac:dyDescent="0.3">
      <c r="A2129" s="2" t="s">
        <v>12190</v>
      </c>
      <c r="B2129" s="1" t="e">
        <f>-고</f>
        <v>#NAME?</v>
      </c>
      <c r="C2129" s="1" t="s">
        <v>12191</v>
      </c>
      <c r="D2129" s="1" t="s">
        <v>12192</v>
      </c>
      <c r="E2129" s="1" t="s">
        <v>12193</v>
      </c>
      <c r="F2129" s="1" t="s">
        <v>12194</v>
      </c>
      <c r="G2129" s="1" t="s">
        <v>12195</v>
      </c>
      <c r="H2129" s="1" t="s">
        <v>12196</v>
      </c>
    </row>
    <row r="2130" spans="1:8" x14ac:dyDescent="0.3">
      <c r="A2130" s="2" t="s">
        <v>12197</v>
      </c>
      <c r="B2130" s="1" t="e">
        <f>-더라</f>
        <v>#NAME?</v>
      </c>
      <c r="E2130" s="1" t="s">
        <v>12198</v>
      </c>
      <c r="F2130" s="1" t="s">
        <v>12199</v>
      </c>
      <c r="G2130" s="1" t="s">
        <v>12200</v>
      </c>
    </row>
    <row r="2131" spans="1:8" x14ac:dyDescent="0.3">
      <c r="A2131" s="2" t="s">
        <v>12201</v>
      </c>
      <c r="B2131" s="1" t="e">
        <f>-으니까</f>
        <v>#NAME?</v>
      </c>
      <c r="C2131" s="1" t="s">
        <v>12202</v>
      </c>
      <c r="E2131" s="1" t="s">
        <v>12203</v>
      </c>
      <c r="F2131" s="1" t="s">
        <v>12204</v>
      </c>
      <c r="G2131" s="1" t="s">
        <v>12205</v>
      </c>
      <c r="H2131" s="1" t="s">
        <v>12206</v>
      </c>
    </row>
    <row r="2132" spans="1:8" x14ac:dyDescent="0.3">
      <c r="A2132" s="2" t="s">
        <v>12207</v>
      </c>
      <c r="B2132" s="1" t="e">
        <f ca="1">-아/어(-았/었다)</f>
        <v>#NAME?</v>
      </c>
      <c r="C2132" s="1" t="s">
        <v>12208</v>
      </c>
      <c r="E2132" s="1" t="s">
        <v>12209</v>
      </c>
      <c r="F2132" s="1" t="s">
        <v>12210</v>
      </c>
      <c r="G2132" s="1" t="s">
        <v>12211</v>
      </c>
      <c r="H2132" s="1" t="s">
        <v>12212</v>
      </c>
    </row>
    <row r="2133" spans="1:8" x14ac:dyDescent="0.3">
      <c r="A2133" s="2">
        <v>32021</v>
      </c>
      <c r="B2133" s="1" t="s">
        <v>12213</v>
      </c>
    </row>
    <row r="2134" spans="1:8" x14ac:dyDescent="0.3">
      <c r="A2134" s="2" t="s">
        <v>12214</v>
      </c>
      <c r="B2134" s="1" t="e">
        <f>-지</f>
        <v>#NAME?</v>
      </c>
      <c r="C2134" s="1" t="s">
        <v>12215</v>
      </c>
      <c r="D2134" s="1" t="s">
        <v>12216</v>
      </c>
      <c r="E2134" s="1" t="s">
        <v>12217</v>
      </c>
      <c r="F2134" s="1" t="s">
        <v>12218</v>
      </c>
      <c r="G2134" s="1" t="s">
        <v>12219</v>
      </c>
      <c r="H2134" s="1" t="s">
        <v>12220</v>
      </c>
    </row>
    <row r="2135" spans="1:8" x14ac:dyDescent="0.3">
      <c r="A2135" s="2" t="s">
        <v>12221</v>
      </c>
      <c r="B2135" s="1" t="e">
        <f>-고</f>
        <v>#NAME?</v>
      </c>
      <c r="C2135" s="1" t="s">
        <v>12222</v>
      </c>
      <c r="D2135" s="1" t="s">
        <v>12223</v>
      </c>
      <c r="E2135" s="1" t="s">
        <v>12224</v>
      </c>
      <c r="F2135" s="1" t="s">
        <v>57</v>
      </c>
      <c r="G2135" s="1" t="s">
        <v>12225</v>
      </c>
      <c r="H2135" s="1" t="s">
        <v>4454</v>
      </c>
    </row>
    <row r="2136" spans="1:8" x14ac:dyDescent="0.3">
      <c r="A2136" s="2" t="s">
        <v>12226</v>
      </c>
      <c r="B2136" s="1" t="e">
        <f>-더라</f>
        <v>#NAME?</v>
      </c>
      <c r="C2136" s="1" t="s">
        <v>12227</v>
      </c>
      <c r="D2136" s="1" t="s">
        <v>12228</v>
      </c>
      <c r="E2136" s="1" t="s">
        <v>12229</v>
      </c>
      <c r="F2136" s="1" t="s">
        <v>12230</v>
      </c>
      <c r="G2136" s="1" t="s">
        <v>12231</v>
      </c>
      <c r="H2136" s="1" t="s">
        <v>12232</v>
      </c>
    </row>
    <row r="2137" spans="1:8" x14ac:dyDescent="0.3">
      <c r="A2137" s="2" t="s">
        <v>12233</v>
      </c>
      <c r="B2137" s="1" t="e">
        <f>-으니까</f>
        <v>#NAME?</v>
      </c>
      <c r="C2137" s="1" t="s">
        <v>12234</v>
      </c>
      <c r="E2137" s="1" t="s">
        <v>12235</v>
      </c>
      <c r="F2137" s="1" t="s">
        <v>57</v>
      </c>
      <c r="G2137" s="1" t="s">
        <v>12236</v>
      </c>
      <c r="H2137" s="1" t="s">
        <v>12237</v>
      </c>
    </row>
    <row r="2138" spans="1:8" x14ac:dyDescent="0.3">
      <c r="A2138" s="2" t="s">
        <v>12238</v>
      </c>
      <c r="B2138" s="1" t="e">
        <f ca="1">-아/어(-았/었다)</f>
        <v>#NAME?</v>
      </c>
      <c r="C2138" s="1" t="s">
        <v>12239</v>
      </c>
      <c r="D2138" s="1" t="s">
        <v>12240</v>
      </c>
      <c r="E2138" s="1" t="s">
        <v>12241</v>
      </c>
      <c r="F2138" s="1" t="s">
        <v>12242</v>
      </c>
      <c r="G2138" s="1" t="s">
        <v>12243</v>
      </c>
      <c r="H2138" s="1" t="s">
        <v>12244</v>
      </c>
    </row>
    <row r="2139" spans="1:8" x14ac:dyDescent="0.3">
      <c r="A2139" s="2">
        <v>32022</v>
      </c>
      <c r="B2139" s="1" t="s">
        <v>12245</v>
      </c>
    </row>
    <row r="2140" spans="1:8" x14ac:dyDescent="0.3">
      <c r="A2140" s="2" t="s">
        <v>12246</v>
      </c>
      <c r="B2140" s="1" t="e">
        <f>-지</f>
        <v>#NAME?</v>
      </c>
      <c r="C2140" s="1" t="s">
        <v>12247</v>
      </c>
      <c r="D2140" s="1" t="s">
        <v>12248</v>
      </c>
      <c r="E2140" s="1" t="s">
        <v>12249</v>
      </c>
      <c r="F2140" s="1" t="s">
        <v>12250</v>
      </c>
      <c r="G2140" s="1" t="s">
        <v>12251</v>
      </c>
      <c r="H2140" s="1" t="s">
        <v>12252</v>
      </c>
    </row>
    <row r="2141" spans="1:8" x14ac:dyDescent="0.3">
      <c r="A2141" s="2" t="s">
        <v>12253</v>
      </c>
      <c r="B2141" s="1" t="e">
        <f>-고</f>
        <v>#NAME?</v>
      </c>
      <c r="C2141" s="1" t="s">
        <v>12254</v>
      </c>
      <c r="E2141" s="1" t="s">
        <v>12255</v>
      </c>
      <c r="F2141" s="1" t="s">
        <v>12256</v>
      </c>
      <c r="G2141" s="1" t="s">
        <v>12257</v>
      </c>
      <c r="H2141" s="1" t="s">
        <v>12258</v>
      </c>
    </row>
    <row r="2142" spans="1:8" x14ac:dyDescent="0.3">
      <c r="A2142" s="2" t="s">
        <v>12259</v>
      </c>
      <c r="B2142" s="1" t="e">
        <f>-더라</f>
        <v>#NAME?</v>
      </c>
      <c r="C2142" s="1" t="s">
        <v>12260</v>
      </c>
      <c r="E2142" s="1" t="s">
        <v>12261</v>
      </c>
      <c r="F2142" s="1" t="s">
        <v>57</v>
      </c>
      <c r="G2142" s="1" t="s">
        <v>12262</v>
      </c>
    </row>
    <row r="2143" spans="1:8" x14ac:dyDescent="0.3">
      <c r="A2143" s="2" t="s">
        <v>12263</v>
      </c>
      <c r="B2143" s="1" t="e">
        <f>-으니까</f>
        <v>#NAME?</v>
      </c>
      <c r="C2143" s="1" t="s">
        <v>12264</v>
      </c>
      <c r="E2143" s="1" t="s">
        <v>12265</v>
      </c>
      <c r="F2143" s="1" t="s">
        <v>12266</v>
      </c>
      <c r="G2143" s="1" t="s">
        <v>12267</v>
      </c>
      <c r="H2143" s="1" t="s">
        <v>12268</v>
      </c>
    </row>
    <row r="2144" spans="1:8" x14ac:dyDescent="0.3">
      <c r="A2144" s="2" t="s">
        <v>12269</v>
      </c>
      <c r="B2144" s="1" t="e">
        <f ca="1">-아/어(-았/었다)</f>
        <v>#NAME?</v>
      </c>
      <c r="C2144" s="1" t="s">
        <v>12270</v>
      </c>
      <c r="D2144" s="1" t="s">
        <v>12271</v>
      </c>
      <c r="E2144" s="1" t="s">
        <v>12272</v>
      </c>
      <c r="F2144" s="1" t="s">
        <v>12273</v>
      </c>
      <c r="G2144" s="1" t="s">
        <v>12273</v>
      </c>
      <c r="H2144" s="1" t="s">
        <v>12273</v>
      </c>
    </row>
    <row r="2145" spans="1:8" x14ac:dyDescent="0.3">
      <c r="A2145" s="2">
        <v>32023</v>
      </c>
      <c r="B2145" s="1" t="s">
        <v>12274</v>
      </c>
    </row>
    <row r="2146" spans="1:8" x14ac:dyDescent="0.3">
      <c r="A2146" s="2" t="s">
        <v>12275</v>
      </c>
      <c r="B2146" s="1" t="e">
        <f>-지</f>
        <v>#NAME?</v>
      </c>
      <c r="C2146" s="1" t="s">
        <v>12276</v>
      </c>
      <c r="D2146" s="1" t="s">
        <v>57</v>
      </c>
      <c r="E2146" s="1" t="s">
        <v>12277</v>
      </c>
      <c r="F2146" s="1" t="s">
        <v>57</v>
      </c>
      <c r="G2146" s="1" t="s">
        <v>12278</v>
      </c>
      <c r="H2146" s="1" t="s">
        <v>12279</v>
      </c>
    </row>
    <row r="2147" spans="1:8" x14ac:dyDescent="0.3">
      <c r="A2147" s="2" t="s">
        <v>12280</v>
      </c>
      <c r="B2147" s="1" t="e">
        <f>-고</f>
        <v>#NAME?</v>
      </c>
      <c r="C2147" s="1" t="s">
        <v>12281</v>
      </c>
      <c r="E2147" s="1" t="s">
        <v>12282</v>
      </c>
      <c r="F2147" s="1" t="s">
        <v>57</v>
      </c>
      <c r="G2147" s="1" t="s">
        <v>12283</v>
      </c>
      <c r="H2147" s="1" t="s">
        <v>12284</v>
      </c>
    </row>
    <row r="2148" spans="1:8" x14ac:dyDescent="0.3">
      <c r="A2148" s="2" t="s">
        <v>12285</v>
      </c>
      <c r="B2148" s="1" t="e">
        <f>-더라</f>
        <v>#NAME?</v>
      </c>
      <c r="C2148" s="1" t="s">
        <v>12286</v>
      </c>
      <c r="E2148" s="1" t="s">
        <v>12287</v>
      </c>
      <c r="F2148" s="1" t="s">
        <v>57</v>
      </c>
      <c r="G2148" s="1" t="s">
        <v>12288</v>
      </c>
      <c r="H2148" s="1" t="s">
        <v>12289</v>
      </c>
    </row>
    <row r="2149" spans="1:8" x14ac:dyDescent="0.3">
      <c r="A2149" s="2" t="s">
        <v>12290</v>
      </c>
      <c r="B2149" s="1" t="e">
        <f>-으니까</f>
        <v>#NAME?</v>
      </c>
      <c r="C2149" s="1" t="s">
        <v>12291</v>
      </c>
      <c r="E2149" s="1" t="s">
        <v>12292</v>
      </c>
      <c r="F2149" s="1" t="s">
        <v>57</v>
      </c>
      <c r="G2149" s="1" t="s">
        <v>12293</v>
      </c>
      <c r="H2149" s="1" t="s">
        <v>12294</v>
      </c>
    </row>
    <row r="2150" spans="1:8" x14ac:dyDescent="0.3">
      <c r="A2150" s="2" t="s">
        <v>12295</v>
      </c>
      <c r="B2150" s="1" t="e">
        <f ca="1">-아/어(-았/었다)</f>
        <v>#NAME?</v>
      </c>
      <c r="C2150" s="1" t="s">
        <v>12296</v>
      </c>
      <c r="E2150" s="1" t="s">
        <v>12297</v>
      </c>
      <c r="F2150" s="1" t="s">
        <v>57</v>
      </c>
      <c r="G2150" s="1" t="s">
        <v>12298</v>
      </c>
      <c r="H2150" s="1" t="s">
        <v>12299</v>
      </c>
    </row>
    <row r="2151" spans="1:8" x14ac:dyDescent="0.3">
      <c r="A2151" s="2">
        <v>32024</v>
      </c>
      <c r="B2151" s="1" t="s">
        <v>12300</v>
      </c>
    </row>
    <row r="2152" spans="1:8" x14ac:dyDescent="0.3">
      <c r="A2152" s="2" t="s">
        <v>12301</v>
      </c>
      <c r="B2152" s="1" t="e">
        <f>-지</f>
        <v>#NAME?</v>
      </c>
      <c r="C2152" s="1" t="s">
        <v>12302</v>
      </c>
      <c r="E2152" s="1" t="s">
        <v>12303</v>
      </c>
      <c r="F2152" s="1" t="s">
        <v>12304</v>
      </c>
      <c r="G2152" s="1" t="s">
        <v>12305</v>
      </c>
      <c r="H2152" s="1" t="s">
        <v>12306</v>
      </c>
    </row>
    <row r="2153" spans="1:8" x14ac:dyDescent="0.3">
      <c r="A2153" s="2" t="s">
        <v>12307</v>
      </c>
      <c r="B2153" s="1" t="e">
        <f>-고</f>
        <v>#NAME?</v>
      </c>
      <c r="C2153" s="1" t="s">
        <v>12308</v>
      </c>
      <c r="E2153" s="1" t="s">
        <v>12309</v>
      </c>
      <c r="F2153" s="1" t="s">
        <v>12310</v>
      </c>
      <c r="G2153" s="1" t="s">
        <v>12311</v>
      </c>
      <c r="H2153" s="1" t="s">
        <v>12312</v>
      </c>
    </row>
    <row r="2154" spans="1:8" x14ac:dyDescent="0.3">
      <c r="A2154" s="2" t="s">
        <v>12313</v>
      </c>
      <c r="B2154" s="1" t="e">
        <f>-더라</f>
        <v>#NAME?</v>
      </c>
      <c r="C2154" s="1" t="s">
        <v>12314</v>
      </c>
      <c r="E2154" s="1" t="s">
        <v>12315</v>
      </c>
      <c r="F2154" s="1" t="s">
        <v>12316</v>
      </c>
      <c r="G2154" s="1" t="s">
        <v>12317</v>
      </c>
      <c r="H2154" s="1" t="s">
        <v>12318</v>
      </c>
    </row>
    <row r="2155" spans="1:8" x14ac:dyDescent="0.3">
      <c r="A2155" s="2" t="s">
        <v>12319</v>
      </c>
      <c r="B2155" s="1" t="e">
        <f>-으니까</f>
        <v>#NAME?</v>
      </c>
      <c r="C2155" s="1" t="s">
        <v>12320</v>
      </c>
      <c r="D2155" s="1" t="s">
        <v>12321</v>
      </c>
      <c r="E2155" s="1" t="s">
        <v>12322</v>
      </c>
      <c r="F2155" s="1" t="s">
        <v>12323</v>
      </c>
      <c r="G2155" s="1" t="s">
        <v>12324</v>
      </c>
      <c r="H2155" s="1" t="s">
        <v>12325</v>
      </c>
    </row>
    <row r="2156" spans="1:8" x14ac:dyDescent="0.3">
      <c r="A2156" s="2" t="s">
        <v>12326</v>
      </c>
      <c r="B2156" s="1" t="e">
        <f ca="1">-아/어(-았/었다)</f>
        <v>#NAME?</v>
      </c>
      <c r="C2156" s="1" t="s">
        <v>12327</v>
      </c>
      <c r="D2156" s="1" t="s">
        <v>12328</v>
      </c>
      <c r="E2156" s="1" t="s">
        <v>12329</v>
      </c>
      <c r="F2156" s="1" t="s">
        <v>12330</v>
      </c>
      <c r="G2156" s="1" t="s">
        <v>12331</v>
      </c>
      <c r="H2156" s="1" t="s">
        <v>12332</v>
      </c>
    </row>
    <row r="2157" spans="1:8" x14ac:dyDescent="0.3">
      <c r="A2157" s="2">
        <v>32025</v>
      </c>
      <c r="B2157" s="1" t="s">
        <v>12333</v>
      </c>
    </row>
    <row r="2158" spans="1:8" x14ac:dyDescent="0.3">
      <c r="A2158" s="2" t="s">
        <v>12334</v>
      </c>
      <c r="B2158" s="1" t="e">
        <f>-지</f>
        <v>#NAME?</v>
      </c>
      <c r="C2158" s="1" t="s">
        <v>12335</v>
      </c>
      <c r="D2158" s="1" t="s">
        <v>12336</v>
      </c>
      <c r="E2158" s="1" t="s">
        <v>12337</v>
      </c>
      <c r="F2158" s="1" t="s">
        <v>12338</v>
      </c>
      <c r="G2158" s="1" t="s">
        <v>12339</v>
      </c>
      <c r="H2158" s="1" t="s">
        <v>12340</v>
      </c>
    </row>
    <row r="2159" spans="1:8" x14ac:dyDescent="0.3">
      <c r="A2159" s="2" t="s">
        <v>12341</v>
      </c>
      <c r="B2159" s="1" t="e">
        <f>-고</f>
        <v>#NAME?</v>
      </c>
      <c r="C2159" s="1" t="s">
        <v>12342</v>
      </c>
      <c r="D2159" s="1" t="s">
        <v>12343</v>
      </c>
      <c r="E2159" s="1" t="s">
        <v>12344</v>
      </c>
      <c r="G2159" s="1" t="s">
        <v>12345</v>
      </c>
      <c r="H2159" s="1" t="s">
        <v>12346</v>
      </c>
    </row>
    <row r="2160" spans="1:8" x14ac:dyDescent="0.3">
      <c r="A2160" s="2" t="s">
        <v>12347</v>
      </c>
      <c r="B2160" s="1" t="e">
        <f>-더라</f>
        <v>#NAME?</v>
      </c>
      <c r="C2160" s="1" t="s">
        <v>12348</v>
      </c>
      <c r="E2160" s="1" t="s">
        <v>12349</v>
      </c>
      <c r="F2160" s="1" t="s">
        <v>12350</v>
      </c>
      <c r="G2160" s="1" t="s">
        <v>12351</v>
      </c>
      <c r="H2160" s="1" t="s">
        <v>12352</v>
      </c>
    </row>
    <row r="2161" spans="1:8" x14ac:dyDescent="0.3">
      <c r="A2161" s="2" t="s">
        <v>12353</v>
      </c>
      <c r="B2161" s="1" t="e">
        <f>-으니까</f>
        <v>#NAME?</v>
      </c>
      <c r="C2161" s="1" t="s">
        <v>12354</v>
      </c>
      <c r="E2161" s="1" t="s">
        <v>12355</v>
      </c>
      <c r="F2161" s="1" t="s">
        <v>12356</v>
      </c>
      <c r="G2161" s="1" t="s">
        <v>12357</v>
      </c>
      <c r="H2161" s="1" t="s">
        <v>12358</v>
      </c>
    </row>
    <row r="2162" spans="1:8" x14ac:dyDescent="0.3">
      <c r="A2162" s="2" t="s">
        <v>12359</v>
      </c>
      <c r="B2162" s="1" t="e">
        <f ca="1">-아/어(-았/었다)</f>
        <v>#NAME?</v>
      </c>
      <c r="C2162" s="1" t="s">
        <v>12360</v>
      </c>
      <c r="E2162" s="1" t="s">
        <v>12361</v>
      </c>
      <c r="F2162" s="1" t="s">
        <v>12362</v>
      </c>
      <c r="G2162" s="1" t="s">
        <v>12363</v>
      </c>
      <c r="H2162" s="1" t="s">
        <v>12364</v>
      </c>
    </row>
    <row r="2163" spans="1:8" x14ac:dyDescent="0.3">
      <c r="A2163" s="2">
        <v>32026</v>
      </c>
      <c r="B2163" s="1" t="s">
        <v>12365</v>
      </c>
    </row>
    <row r="2164" spans="1:8" x14ac:dyDescent="0.3">
      <c r="A2164" s="2" t="s">
        <v>12366</v>
      </c>
      <c r="B2164" s="1" t="e">
        <f>-지</f>
        <v>#NAME?</v>
      </c>
      <c r="C2164" s="1" t="s">
        <v>12367</v>
      </c>
      <c r="D2164" s="1" t="s">
        <v>12368</v>
      </c>
      <c r="E2164" s="1" t="s">
        <v>12369</v>
      </c>
      <c r="F2164" s="1" t="s">
        <v>12370</v>
      </c>
      <c r="G2164" s="1" t="s">
        <v>12371</v>
      </c>
      <c r="H2164" s="1" t="s">
        <v>12372</v>
      </c>
    </row>
    <row r="2165" spans="1:8" x14ac:dyDescent="0.3">
      <c r="A2165" s="2" t="s">
        <v>12373</v>
      </c>
      <c r="B2165" s="1" t="e">
        <f>-고</f>
        <v>#NAME?</v>
      </c>
      <c r="C2165" s="1" t="s">
        <v>12374</v>
      </c>
      <c r="E2165" s="1" t="s">
        <v>12375</v>
      </c>
      <c r="G2165" s="1" t="s">
        <v>12376</v>
      </c>
      <c r="H2165" s="1" t="s">
        <v>12377</v>
      </c>
    </row>
    <row r="2166" spans="1:8" x14ac:dyDescent="0.3">
      <c r="A2166" s="2" t="s">
        <v>12378</v>
      </c>
      <c r="B2166" s="1" t="e">
        <f>-더라</f>
        <v>#NAME?</v>
      </c>
      <c r="C2166" s="1" t="s">
        <v>12379</v>
      </c>
      <c r="E2166" s="1" t="s">
        <v>12380</v>
      </c>
      <c r="F2166" s="1" t="s">
        <v>12381</v>
      </c>
      <c r="G2166" s="1" t="s">
        <v>12382</v>
      </c>
      <c r="H2166" s="1" t="s">
        <v>12383</v>
      </c>
    </row>
    <row r="2167" spans="1:8" x14ac:dyDescent="0.3">
      <c r="A2167" s="2" t="s">
        <v>12384</v>
      </c>
      <c r="B2167" s="1" t="e">
        <f>-으니까</f>
        <v>#NAME?</v>
      </c>
      <c r="C2167" s="1" t="s">
        <v>12385</v>
      </c>
      <c r="E2167" s="1" t="s">
        <v>12386</v>
      </c>
      <c r="F2167" s="1" t="s">
        <v>12387</v>
      </c>
      <c r="G2167" s="1" t="s">
        <v>12388</v>
      </c>
      <c r="H2167" s="1" t="s">
        <v>12389</v>
      </c>
    </row>
    <row r="2168" spans="1:8" x14ac:dyDescent="0.3">
      <c r="A2168" s="2" t="s">
        <v>12390</v>
      </c>
      <c r="B2168" s="1" t="e">
        <f ca="1">-아/어(-았/었다)</f>
        <v>#NAME?</v>
      </c>
      <c r="C2168" s="1" t="s">
        <v>12391</v>
      </c>
      <c r="D2168" s="1" t="s">
        <v>12392</v>
      </c>
      <c r="E2168" s="1" t="s">
        <v>12393</v>
      </c>
      <c r="F2168" s="1" t="s">
        <v>12394</v>
      </c>
      <c r="G2168" s="1" t="s">
        <v>12393</v>
      </c>
      <c r="H2168" s="1" t="s">
        <v>12393</v>
      </c>
    </row>
    <row r="2169" spans="1:8" x14ac:dyDescent="0.3">
      <c r="A2169" s="2">
        <v>32027</v>
      </c>
      <c r="B2169" s="1" t="s">
        <v>12395</v>
      </c>
    </row>
    <row r="2170" spans="1:8" x14ac:dyDescent="0.3">
      <c r="A2170" s="2" t="s">
        <v>12396</v>
      </c>
      <c r="B2170" s="1" t="e">
        <f>-지</f>
        <v>#NAME?</v>
      </c>
      <c r="C2170" s="1" t="s">
        <v>12397</v>
      </c>
      <c r="D2170" s="1" t="s">
        <v>12398</v>
      </c>
      <c r="E2170" s="1" t="s">
        <v>12399</v>
      </c>
      <c r="F2170" s="1" t="s">
        <v>57</v>
      </c>
      <c r="G2170" s="1" t="s">
        <v>12400</v>
      </c>
      <c r="H2170" s="1" t="s">
        <v>12401</v>
      </c>
    </row>
    <row r="2171" spans="1:8" x14ac:dyDescent="0.3">
      <c r="A2171" s="2" t="s">
        <v>12402</v>
      </c>
      <c r="B2171" s="1" t="e">
        <f>-고</f>
        <v>#NAME?</v>
      </c>
      <c r="C2171" s="1" t="s">
        <v>12403</v>
      </c>
      <c r="F2171" s="1" t="s">
        <v>12404</v>
      </c>
      <c r="G2171" s="1" t="s">
        <v>12405</v>
      </c>
      <c r="H2171" s="1" t="s">
        <v>12406</v>
      </c>
    </row>
    <row r="2172" spans="1:8" x14ac:dyDescent="0.3">
      <c r="A2172" s="2" t="s">
        <v>12407</v>
      </c>
      <c r="B2172" s="1" t="e">
        <f>-더라</f>
        <v>#NAME?</v>
      </c>
      <c r="C2172" s="1" t="s">
        <v>12408</v>
      </c>
      <c r="D2172" s="1" t="s">
        <v>12409</v>
      </c>
      <c r="E2172" s="1" t="s">
        <v>12410</v>
      </c>
      <c r="F2172" s="1" t="s">
        <v>12411</v>
      </c>
      <c r="G2172" s="1" t="s">
        <v>12412</v>
      </c>
      <c r="H2172" s="1" t="s">
        <v>12413</v>
      </c>
    </row>
    <row r="2173" spans="1:8" x14ac:dyDescent="0.3">
      <c r="A2173" s="2" t="s">
        <v>12414</v>
      </c>
      <c r="B2173" s="1" t="e">
        <f>-으니까</f>
        <v>#NAME?</v>
      </c>
      <c r="C2173" s="1" t="s">
        <v>12415</v>
      </c>
      <c r="D2173" s="1" t="s">
        <v>12416</v>
      </c>
      <c r="E2173" s="1" t="s">
        <v>12417</v>
      </c>
      <c r="F2173" s="1" t="s">
        <v>12418</v>
      </c>
      <c r="G2173" s="1" t="s">
        <v>12419</v>
      </c>
      <c r="H2173" s="1" t="s">
        <v>12420</v>
      </c>
    </row>
    <row r="2174" spans="1:8" x14ac:dyDescent="0.3">
      <c r="A2174" s="2" t="s">
        <v>12421</v>
      </c>
      <c r="B2174" s="1" t="e">
        <f ca="1">-아/어(-았/었다)</f>
        <v>#NAME?</v>
      </c>
      <c r="C2174" s="1" t="s">
        <v>12422</v>
      </c>
      <c r="D2174" s="1" t="s">
        <v>12423</v>
      </c>
      <c r="E2174" s="1" t="s">
        <v>12424</v>
      </c>
      <c r="F2174" s="1" t="s">
        <v>12425</v>
      </c>
      <c r="G2174" s="1" t="s">
        <v>12426</v>
      </c>
      <c r="H2174" s="1" t="s">
        <v>12427</v>
      </c>
    </row>
    <row r="2175" spans="1:8" x14ac:dyDescent="0.3">
      <c r="A2175" s="2">
        <v>32028</v>
      </c>
      <c r="B2175" s="1" t="s">
        <v>12428</v>
      </c>
    </row>
    <row r="2176" spans="1:8" x14ac:dyDescent="0.3">
      <c r="A2176" s="2" t="s">
        <v>12429</v>
      </c>
      <c r="B2176" s="1" t="e">
        <f>-지</f>
        <v>#NAME?</v>
      </c>
      <c r="C2176" s="1" t="s">
        <v>12430</v>
      </c>
      <c r="D2176" s="1" t="s">
        <v>12431</v>
      </c>
      <c r="F2176" s="1" t="s">
        <v>12432</v>
      </c>
      <c r="G2176" s="1" t="s">
        <v>12433</v>
      </c>
      <c r="H2176" s="1" t="s">
        <v>12434</v>
      </c>
    </row>
    <row r="2177" spans="1:8" x14ac:dyDescent="0.3">
      <c r="A2177" s="2" t="s">
        <v>12435</v>
      </c>
      <c r="B2177" s="1" t="e">
        <f>-고</f>
        <v>#NAME?</v>
      </c>
      <c r="C2177" s="1" t="s">
        <v>12436</v>
      </c>
      <c r="D2177" s="1" t="s">
        <v>12437</v>
      </c>
      <c r="E2177" s="1" t="s">
        <v>12438</v>
      </c>
      <c r="F2177" s="1" t="s">
        <v>12439</v>
      </c>
      <c r="G2177" s="1" t="s">
        <v>12440</v>
      </c>
      <c r="H2177" s="1" t="s">
        <v>12441</v>
      </c>
    </row>
    <row r="2178" spans="1:8" x14ac:dyDescent="0.3">
      <c r="A2178" s="2" t="s">
        <v>12442</v>
      </c>
      <c r="B2178" s="1" t="e">
        <f>-더라</f>
        <v>#NAME?</v>
      </c>
      <c r="C2178" s="1" t="s">
        <v>12443</v>
      </c>
      <c r="F2178" s="1" t="s">
        <v>12444</v>
      </c>
      <c r="G2178" s="1" t="s">
        <v>12445</v>
      </c>
      <c r="H2178" s="1" t="s">
        <v>12446</v>
      </c>
    </row>
    <row r="2179" spans="1:8" x14ac:dyDescent="0.3">
      <c r="A2179" s="2" t="s">
        <v>12447</v>
      </c>
      <c r="B2179" s="1" t="e">
        <f>-으니까</f>
        <v>#NAME?</v>
      </c>
      <c r="C2179" s="1" t="s">
        <v>12448</v>
      </c>
      <c r="D2179" s="1" t="s">
        <v>12449</v>
      </c>
      <c r="E2179" s="1" t="s">
        <v>12450</v>
      </c>
      <c r="F2179" s="1" t="s">
        <v>12451</v>
      </c>
      <c r="G2179" s="1" t="s">
        <v>12452</v>
      </c>
      <c r="H2179" s="1" t="s">
        <v>12453</v>
      </c>
    </row>
    <row r="2180" spans="1:8" x14ac:dyDescent="0.3">
      <c r="A2180" s="2" t="s">
        <v>12454</v>
      </c>
      <c r="B2180" s="1" t="e">
        <f ca="1">-아/어(-았/었다)</f>
        <v>#NAME?</v>
      </c>
      <c r="C2180" s="1" t="s">
        <v>12455</v>
      </c>
      <c r="D2180" s="1" t="s">
        <v>12456</v>
      </c>
      <c r="E2180" s="1" t="s">
        <v>12457</v>
      </c>
      <c r="F2180" s="1" t="s">
        <v>12458</v>
      </c>
      <c r="G2180" s="1" t="s">
        <v>12459</v>
      </c>
      <c r="H2180" s="1" t="s">
        <v>12460</v>
      </c>
    </row>
    <row r="2181" spans="1:8" x14ac:dyDescent="0.3">
      <c r="A2181" s="2">
        <v>32029</v>
      </c>
      <c r="B2181" s="1" t="s">
        <v>12461</v>
      </c>
    </row>
    <row r="2182" spans="1:8" x14ac:dyDescent="0.3">
      <c r="A2182" s="2" t="s">
        <v>12462</v>
      </c>
      <c r="B2182" s="1" t="e">
        <f>-지</f>
        <v>#NAME?</v>
      </c>
      <c r="C2182" s="1" t="s">
        <v>12463</v>
      </c>
      <c r="D2182" s="1" t="s">
        <v>12464</v>
      </c>
      <c r="E2182" s="1" t="s">
        <v>12465</v>
      </c>
      <c r="F2182" s="1" t="s">
        <v>12466</v>
      </c>
      <c r="G2182" s="1" t="s">
        <v>12467</v>
      </c>
      <c r="H2182" s="1" t="s">
        <v>12468</v>
      </c>
    </row>
    <row r="2183" spans="1:8" x14ac:dyDescent="0.3">
      <c r="A2183" s="2" t="s">
        <v>12469</v>
      </c>
      <c r="B2183" s="1" t="e">
        <f>-고</f>
        <v>#NAME?</v>
      </c>
      <c r="C2183" s="1" t="s">
        <v>12470</v>
      </c>
      <c r="E2183" s="1" t="s">
        <v>12471</v>
      </c>
      <c r="G2183" s="1" t="s">
        <v>12472</v>
      </c>
      <c r="H2183" s="1" t="s">
        <v>12473</v>
      </c>
    </row>
    <row r="2184" spans="1:8" x14ac:dyDescent="0.3">
      <c r="A2184" s="2" t="s">
        <v>12474</v>
      </c>
      <c r="B2184" s="1" t="e">
        <f>-더라</f>
        <v>#NAME?</v>
      </c>
      <c r="C2184" s="1" t="s">
        <v>12475</v>
      </c>
      <c r="G2184" s="1" t="s">
        <v>12476</v>
      </c>
      <c r="H2184" s="1" t="s">
        <v>12476</v>
      </c>
    </row>
    <row r="2185" spans="1:8" x14ac:dyDescent="0.3">
      <c r="A2185" s="2" t="s">
        <v>12477</v>
      </c>
      <c r="B2185" s="1" t="e">
        <f>-으니까</f>
        <v>#NAME?</v>
      </c>
      <c r="C2185" s="1" t="s">
        <v>12478</v>
      </c>
      <c r="E2185" s="1" t="s">
        <v>12479</v>
      </c>
      <c r="F2185" s="1" t="s">
        <v>12480</v>
      </c>
      <c r="G2185" s="1" t="s">
        <v>12481</v>
      </c>
      <c r="H2185" s="1" t="s">
        <v>12482</v>
      </c>
    </row>
    <row r="2186" spans="1:8" x14ac:dyDescent="0.3">
      <c r="A2186" s="2" t="s">
        <v>12483</v>
      </c>
      <c r="B2186" s="1" t="e">
        <f ca="1">-아/어(-았/었다)</f>
        <v>#NAME?</v>
      </c>
      <c r="C2186" s="1" t="s">
        <v>12484</v>
      </c>
      <c r="D2186" s="1" t="s">
        <v>12485</v>
      </c>
      <c r="E2186" s="1" t="s">
        <v>12486</v>
      </c>
      <c r="F2186" s="1" t="s">
        <v>12487</v>
      </c>
      <c r="G2186" s="1" t="s">
        <v>12488</v>
      </c>
      <c r="H2186" s="1" t="s">
        <v>12489</v>
      </c>
    </row>
    <row r="2187" spans="1:8" x14ac:dyDescent="0.3">
      <c r="A2187" s="2">
        <v>32030</v>
      </c>
      <c r="B2187" s="1" t="s">
        <v>12490</v>
      </c>
    </row>
    <row r="2188" spans="1:8" x14ac:dyDescent="0.3">
      <c r="A2188" s="2" t="s">
        <v>12491</v>
      </c>
      <c r="B2188" s="1" t="e">
        <f>-지</f>
        <v>#NAME?</v>
      </c>
      <c r="C2188" s="1" t="s">
        <v>12492</v>
      </c>
      <c r="E2188" s="1" t="s">
        <v>12493</v>
      </c>
      <c r="F2188" s="1" t="s">
        <v>12494</v>
      </c>
      <c r="G2188" s="1" t="s">
        <v>12495</v>
      </c>
      <c r="H2188" s="1" t="s">
        <v>12496</v>
      </c>
    </row>
    <row r="2189" spans="1:8" x14ac:dyDescent="0.3">
      <c r="A2189" s="2" t="s">
        <v>12497</v>
      </c>
      <c r="B2189" s="1" t="e">
        <f>-고</f>
        <v>#NAME?</v>
      </c>
      <c r="C2189" s="1" t="s">
        <v>12498</v>
      </c>
      <c r="E2189" s="1" t="s">
        <v>12495</v>
      </c>
      <c r="F2189" s="1" t="s">
        <v>12499</v>
      </c>
      <c r="G2189" s="1" t="s">
        <v>12500</v>
      </c>
      <c r="H2189" s="1" t="s">
        <v>12501</v>
      </c>
    </row>
    <row r="2190" spans="1:8" x14ac:dyDescent="0.3">
      <c r="A2190" s="2" t="s">
        <v>12502</v>
      </c>
      <c r="B2190" s="1" t="e">
        <f>-더라</f>
        <v>#NAME?</v>
      </c>
      <c r="C2190" s="1" t="s">
        <v>12503</v>
      </c>
      <c r="E2190" s="1" t="s">
        <v>12504</v>
      </c>
      <c r="F2190" s="1" t="s">
        <v>12505</v>
      </c>
      <c r="G2190" s="1" t="s">
        <v>12506</v>
      </c>
      <c r="H2190" s="1" t="s">
        <v>12504</v>
      </c>
    </row>
    <row r="2191" spans="1:8" x14ac:dyDescent="0.3">
      <c r="A2191" s="2" t="s">
        <v>12507</v>
      </c>
      <c r="B2191" s="1" t="e">
        <f>-으니까</f>
        <v>#NAME?</v>
      </c>
      <c r="C2191" s="1" t="s">
        <v>12508</v>
      </c>
      <c r="F2191" s="1" t="s">
        <v>12509</v>
      </c>
      <c r="G2191" s="1" t="s">
        <v>12510</v>
      </c>
      <c r="H2191" s="1" t="s">
        <v>12511</v>
      </c>
    </row>
    <row r="2192" spans="1:8" x14ac:dyDescent="0.3">
      <c r="A2192" s="2" t="s">
        <v>12512</v>
      </c>
      <c r="B2192" s="1" t="e">
        <f ca="1">-아/어(-았/었다)</f>
        <v>#NAME?</v>
      </c>
      <c r="C2192" s="1" t="s">
        <v>12513</v>
      </c>
      <c r="D2192" s="1" t="s">
        <v>12514</v>
      </c>
      <c r="E2192" s="1" t="s">
        <v>12515</v>
      </c>
      <c r="F2192" s="1" t="s">
        <v>12516</v>
      </c>
      <c r="G2192" s="1" t="s">
        <v>12515</v>
      </c>
      <c r="H2192" s="1" t="s">
        <v>12517</v>
      </c>
    </row>
    <row r="2193" spans="1:8" x14ac:dyDescent="0.3">
      <c r="A2193" s="2">
        <v>32031</v>
      </c>
      <c r="B2193" s="1" t="s">
        <v>12518</v>
      </c>
    </row>
    <row r="2194" spans="1:8" x14ac:dyDescent="0.3">
      <c r="A2194" s="2" t="s">
        <v>12519</v>
      </c>
      <c r="B2194" s="1" t="e">
        <f>-지</f>
        <v>#NAME?</v>
      </c>
      <c r="C2194" s="1" t="s">
        <v>12520</v>
      </c>
      <c r="D2194" s="1" t="s">
        <v>12521</v>
      </c>
      <c r="E2194" s="1" t="s">
        <v>12522</v>
      </c>
      <c r="F2194" s="1" t="s">
        <v>12523</v>
      </c>
      <c r="G2194" s="1" t="s">
        <v>12524</v>
      </c>
      <c r="H2194" s="1" t="s">
        <v>12525</v>
      </c>
    </row>
    <row r="2195" spans="1:8" x14ac:dyDescent="0.3">
      <c r="A2195" s="2" t="s">
        <v>12526</v>
      </c>
      <c r="B2195" s="1" t="e">
        <f>-고</f>
        <v>#NAME?</v>
      </c>
      <c r="C2195" s="1" t="s">
        <v>12527</v>
      </c>
      <c r="E2195" s="1" t="s">
        <v>12528</v>
      </c>
      <c r="F2195" s="1" t="s">
        <v>12529</v>
      </c>
      <c r="G2195" s="1" t="s">
        <v>12530</v>
      </c>
      <c r="H2195" s="1" t="s">
        <v>12530</v>
      </c>
    </row>
    <row r="2196" spans="1:8" x14ac:dyDescent="0.3">
      <c r="A2196" s="2" t="s">
        <v>12531</v>
      </c>
      <c r="B2196" s="1" t="e">
        <f>-더라</f>
        <v>#NAME?</v>
      </c>
      <c r="C2196" s="1" t="s">
        <v>12532</v>
      </c>
      <c r="E2196" s="1" t="s">
        <v>12533</v>
      </c>
      <c r="F2196" s="1" t="s">
        <v>12534</v>
      </c>
      <c r="G2196" s="1" t="s">
        <v>12533</v>
      </c>
      <c r="H2196" s="1" t="s">
        <v>12533</v>
      </c>
    </row>
    <row r="2197" spans="1:8" x14ac:dyDescent="0.3">
      <c r="A2197" s="2" t="s">
        <v>12535</v>
      </c>
      <c r="B2197" s="1" t="e">
        <f>-으니까</f>
        <v>#NAME?</v>
      </c>
      <c r="C2197" s="1" t="s">
        <v>12536</v>
      </c>
      <c r="E2197" s="1" t="s">
        <v>12537</v>
      </c>
      <c r="F2197" s="1" t="s">
        <v>12538</v>
      </c>
      <c r="G2197" s="1" t="s">
        <v>12539</v>
      </c>
      <c r="H2197" s="1" t="s">
        <v>12540</v>
      </c>
    </row>
    <row r="2198" spans="1:8" x14ac:dyDescent="0.3">
      <c r="A2198" s="2" t="s">
        <v>12541</v>
      </c>
      <c r="B2198" s="1" t="e">
        <f ca="1">-아/어(-았/었다)</f>
        <v>#NAME?</v>
      </c>
      <c r="C2198" s="1" t="s">
        <v>12542</v>
      </c>
      <c r="D2198" s="1" t="s">
        <v>12543</v>
      </c>
      <c r="E2198" s="1" t="s">
        <v>12544</v>
      </c>
      <c r="F2198" s="1" t="s">
        <v>12545</v>
      </c>
      <c r="G2198" s="1" t="s">
        <v>12544</v>
      </c>
      <c r="H2198" s="1" t="s">
        <v>12544</v>
      </c>
    </row>
    <row r="2199" spans="1:8" x14ac:dyDescent="0.3">
      <c r="A2199" s="2">
        <v>32032</v>
      </c>
      <c r="B2199" s="1" t="s">
        <v>12546</v>
      </c>
    </row>
    <row r="2200" spans="1:8" x14ac:dyDescent="0.3">
      <c r="A2200" s="2" t="s">
        <v>12547</v>
      </c>
      <c r="B2200" s="1" t="e">
        <f>-지</f>
        <v>#NAME?</v>
      </c>
      <c r="C2200" s="1" t="s">
        <v>12548</v>
      </c>
      <c r="D2200" s="1" t="s">
        <v>12549</v>
      </c>
      <c r="E2200" s="1" t="s">
        <v>12550</v>
      </c>
      <c r="F2200" s="1" t="s">
        <v>12551</v>
      </c>
      <c r="G2200" s="1" t="s">
        <v>12552</v>
      </c>
      <c r="H2200" s="1" t="s">
        <v>12553</v>
      </c>
    </row>
    <row r="2201" spans="1:8" x14ac:dyDescent="0.3">
      <c r="A2201" s="2" t="s">
        <v>12554</v>
      </c>
      <c r="B2201" s="1" t="e">
        <f>-고</f>
        <v>#NAME?</v>
      </c>
      <c r="C2201" s="1" t="s">
        <v>12555</v>
      </c>
      <c r="E2201" s="1" t="s">
        <v>12556</v>
      </c>
      <c r="F2201" s="1" t="s">
        <v>12557</v>
      </c>
      <c r="G2201" s="1" t="s">
        <v>12558</v>
      </c>
      <c r="H2201" s="1" t="s">
        <v>12559</v>
      </c>
    </row>
    <row r="2202" spans="1:8" x14ac:dyDescent="0.3">
      <c r="A2202" s="2" t="s">
        <v>12560</v>
      </c>
      <c r="B2202" s="1" t="e">
        <f>-더라</f>
        <v>#NAME?</v>
      </c>
      <c r="C2202" s="1" t="s">
        <v>12561</v>
      </c>
      <c r="F2202" s="1" t="s">
        <v>12562</v>
      </c>
      <c r="G2202" s="1" t="s">
        <v>12563</v>
      </c>
      <c r="H2202" s="1" t="s">
        <v>12563</v>
      </c>
    </row>
    <row r="2203" spans="1:8" x14ac:dyDescent="0.3">
      <c r="A2203" s="2" t="s">
        <v>12564</v>
      </c>
      <c r="B2203" s="1" t="e">
        <f>-으니까</f>
        <v>#NAME?</v>
      </c>
      <c r="C2203" s="1" t="s">
        <v>12565</v>
      </c>
      <c r="E2203" s="1" t="s">
        <v>12566</v>
      </c>
      <c r="F2203" s="1" t="s">
        <v>12567</v>
      </c>
      <c r="G2203" s="1" t="s">
        <v>12568</v>
      </c>
      <c r="H2203" s="1" t="s">
        <v>12569</v>
      </c>
    </row>
    <row r="2204" spans="1:8" x14ac:dyDescent="0.3">
      <c r="A2204" s="2" t="s">
        <v>12570</v>
      </c>
      <c r="B2204" s="1" t="e">
        <f ca="1">-아/어(-았/었다)</f>
        <v>#NAME?</v>
      </c>
      <c r="C2204" s="1" t="s">
        <v>12571</v>
      </c>
      <c r="D2204" s="1" t="s">
        <v>12572</v>
      </c>
      <c r="E2204" s="1" t="s">
        <v>12573</v>
      </c>
      <c r="F2204" s="1" t="s">
        <v>12574</v>
      </c>
      <c r="G2204" s="1" t="s">
        <v>12575</v>
      </c>
      <c r="H2204" s="1" t="s">
        <v>12575</v>
      </c>
    </row>
    <row r="2205" spans="1:8" x14ac:dyDescent="0.3">
      <c r="A2205" s="2">
        <v>32033</v>
      </c>
      <c r="B2205" s="1" t="s">
        <v>12576</v>
      </c>
    </row>
    <row r="2206" spans="1:8" x14ac:dyDescent="0.3">
      <c r="A2206" s="2" t="s">
        <v>12577</v>
      </c>
      <c r="B2206" s="1" t="e">
        <f>-지</f>
        <v>#NAME?</v>
      </c>
      <c r="C2206" s="1" t="s">
        <v>12578</v>
      </c>
      <c r="D2206" s="1" t="s">
        <v>12579</v>
      </c>
      <c r="E2206" s="1" t="s">
        <v>12580</v>
      </c>
      <c r="F2206" s="1" t="s">
        <v>12581</v>
      </c>
      <c r="G2206" s="1" t="s">
        <v>12582</v>
      </c>
      <c r="H2206" s="1" t="s">
        <v>12583</v>
      </c>
    </row>
    <row r="2207" spans="1:8" x14ac:dyDescent="0.3">
      <c r="A2207" s="2" t="s">
        <v>12584</v>
      </c>
      <c r="B2207" s="1" t="e">
        <f>-고</f>
        <v>#NAME?</v>
      </c>
      <c r="C2207" s="1" t="s">
        <v>12585</v>
      </c>
      <c r="D2207" s="1" t="s">
        <v>12586</v>
      </c>
      <c r="E2207" s="1" t="s">
        <v>12587</v>
      </c>
      <c r="F2207" s="1" t="s">
        <v>12586</v>
      </c>
      <c r="G2207" s="1" t="s">
        <v>12588</v>
      </c>
      <c r="H2207" s="1" t="s">
        <v>12589</v>
      </c>
    </row>
    <row r="2208" spans="1:8" x14ac:dyDescent="0.3">
      <c r="A2208" s="2" t="s">
        <v>12590</v>
      </c>
      <c r="B2208" s="1" t="e">
        <f>-더라</f>
        <v>#NAME?</v>
      </c>
      <c r="C2208" s="1" t="s">
        <v>12591</v>
      </c>
      <c r="E2208" s="1" t="s">
        <v>12592</v>
      </c>
      <c r="F2208" s="1" t="s">
        <v>12593</v>
      </c>
      <c r="G2208" s="1" t="s">
        <v>12592</v>
      </c>
      <c r="H2208" s="1" t="s">
        <v>12594</v>
      </c>
    </row>
    <row r="2209" spans="1:8" x14ac:dyDescent="0.3">
      <c r="A2209" s="2" t="s">
        <v>12595</v>
      </c>
      <c r="B2209" s="1" t="e">
        <f>-으니까</f>
        <v>#NAME?</v>
      </c>
      <c r="C2209" s="1" t="s">
        <v>12596</v>
      </c>
      <c r="E2209" s="1" t="s">
        <v>12597</v>
      </c>
      <c r="F2209" s="1" t="s">
        <v>12598</v>
      </c>
      <c r="G2209" s="1" t="s">
        <v>12599</v>
      </c>
      <c r="H2209" s="1" t="s">
        <v>12600</v>
      </c>
    </row>
    <row r="2210" spans="1:8" x14ac:dyDescent="0.3">
      <c r="A2210" s="2" t="s">
        <v>12601</v>
      </c>
      <c r="B2210" s="1" t="e">
        <f ca="1">-아/어(-았/었다)</f>
        <v>#NAME?</v>
      </c>
      <c r="C2210" s="1" t="s">
        <v>12602</v>
      </c>
      <c r="D2210" s="1" t="s">
        <v>12603</v>
      </c>
      <c r="E2210" s="1" t="s">
        <v>12604</v>
      </c>
      <c r="F2210" s="1" t="s">
        <v>12605</v>
      </c>
      <c r="G2210" s="1" t="s">
        <v>12606</v>
      </c>
      <c r="H2210" s="1" t="s">
        <v>12607</v>
      </c>
    </row>
    <row r="2211" spans="1:8" x14ac:dyDescent="0.3">
      <c r="A2211" s="2">
        <v>32034</v>
      </c>
      <c r="B2211" s="1" t="s">
        <v>12608</v>
      </c>
    </row>
    <row r="2212" spans="1:8" x14ac:dyDescent="0.3">
      <c r="A2212" s="2" t="s">
        <v>12609</v>
      </c>
      <c r="B2212" s="1" t="e">
        <f>-지</f>
        <v>#NAME?</v>
      </c>
      <c r="C2212" s="1" t="s">
        <v>12610</v>
      </c>
      <c r="D2212" s="1" t="s">
        <v>12611</v>
      </c>
      <c r="E2212" s="1" t="s">
        <v>12612</v>
      </c>
      <c r="F2212" s="1" t="s">
        <v>12613</v>
      </c>
      <c r="G2212" s="1" t="s">
        <v>12614</v>
      </c>
      <c r="H2212" s="1" t="s">
        <v>12615</v>
      </c>
    </row>
    <row r="2213" spans="1:8" x14ac:dyDescent="0.3">
      <c r="A2213" s="2" t="s">
        <v>12616</v>
      </c>
      <c r="B2213" s="1" t="e">
        <f>-고</f>
        <v>#NAME?</v>
      </c>
      <c r="C2213" s="1" t="s">
        <v>12617</v>
      </c>
      <c r="E2213" s="1" t="s">
        <v>12618</v>
      </c>
      <c r="F2213" s="1" t="s">
        <v>12619</v>
      </c>
      <c r="G2213" s="1" t="s">
        <v>12620</v>
      </c>
      <c r="H2213" s="1" t="s">
        <v>12621</v>
      </c>
    </row>
    <row r="2214" spans="1:8" x14ac:dyDescent="0.3">
      <c r="A2214" s="2" t="s">
        <v>12622</v>
      </c>
      <c r="B2214" s="1" t="e">
        <f>-더라</f>
        <v>#NAME?</v>
      </c>
      <c r="C2214" s="1" t="s">
        <v>12623</v>
      </c>
      <c r="D2214" s="1" t="s">
        <v>12624</v>
      </c>
      <c r="E2214" s="1" t="s">
        <v>12625</v>
      </c>
      <c r="F2214" s="1" t="s">
        <v>12626</v>
      </c>
      <c r="G2214" s="1" t="s">
        <v>12627</v>
      </c>
      <c r="H2214" s="1" t="s">
        <v>12628</v>
      </c>
    </row>
    <row r="2215" spans="1:8" x14ac:dyDescent="0.3">
      <c r="A2215" s="2" t="s">
        <v>12629</v>
      </c>
      <c r="B2215" s="1" t="e">
        <f>-으니까</f>
        <v>#NAME?</v>
      </c>
      <c r="C2215" s="1" t="s">
        <v>12630</v>
      </c>
      <c r="E2215" s="1" t="s">
        <v>12631</v>
      </c>
      <c r="F2215" s="1" t="s">
        <v>12632</v>
      </c>
      <c r="G2215" s="1" t="s">
        <v>12633</v>
      </c>
      <c r="H2215" s="1" t="s">
        <v>12634</v>
      </c>
    </row>
    <row r="2216" spans="1:8" x14ac:dyDescent="0.3">
      <c r="A2216" s="2" t="s">
        <v>12635</v>
      </c>
      <c r="B2216" s="1" t="e">
        <f ca="1">-아/어(-았/었다)</f>
        <v>#NAME?</v>
      </c>
      <c r="C2216" s="1" t="s">
        <v>12636</v>
      </c>
      <c r="D2216" s="1" t="s">
        <v>12637</v>
      </c>
      <c r="E2216" s="1" t="s">
        <v>12638</v>
      </c>
      <c r="F2216" s="1" t="s">
        <v>12638</v>
      </c>
      <c r="G2216" s="1" t="s">
        <v>12639</v>
      </c>
      <c r="H2216" s="1" t="s">
        <v>12640</v>
      </c>
    </row>
    <row r="2217" spans="1:8" x14ac:dyDescent="0.3">
      <c r="A2217" s="2">
        <v>32035</v>
      </c>
      <c r="B2217" s="1" t="s">
        <v>12641</v>
      </c>
    </row>
    <row r="2218" spans="1:8" x14ac:dyDescent="0.3">
      <c r="A2218" s="2" t="s">
        <v>12642</v>
      </c>
      <c r="B2218" s="1" t="e">
        <f>-지</f>
        <v>#NAME?</v>
      </c>
      <c r="C2218" s="1" t="s">
        <v>12643</v>
      </c>
      <c r="D2218" s="1" t="s">
        <v>12644</v>
      </c>
      <c r="E2218" s="1" t="s">
        <v>12645</v>
      </c>
      <c r="F2218" s="1" t="s">
        <v>12646</v>
      </c>
      <c r="G2218" s="1" t="s">
        <v>12647</v>
      </c>
      <c r="H2218" s="1" t="s">
        <v>12648</v>
      </c>
    </row>
    <row r="2219" spans="1:8" x14ac:dyDescent="0.3">
      <c r="A2219" s="2" t="s">
        <v>12649</v>
      </c>
      <c r="B2219" s="1" t="e">
        <f>-고</f>
        <v>#NAME?</v>
      </c>
      <c r="C2219" s="1" t="s">
        <v>12650</v>
      </c>
      <c r="E2219" s="1" t="s">
        <v>12651</v>
      </c>
      <c r="F2219" s="1" t="s">
        <v>12652</v>
      </c>
      <c r="G2219" s="1" t="s">
        <v>12653</v>
      </c>
      <c r="H2219" s="1" t="s">
        <v>12654</v>
      </c>
    </row>
    <row r="2220" spans="1:8" x14ac:dyDescent="0.3">
      <c r="A2220" s="2" t="s">
        <v>12655</v>
      </c>
      <c r="B2220" s="1" t="e">
        <f>-더라</f>
        <v>#NAME?</v>
      </c>
      <c r="C2220" s="1" t="s">
        <v>12650</v>
      </c>
      <c r="E2220" s="1" t="s">
        <v>12656</v>
      </c>
      <c r="F2220" s="1" t="s">
        <v>12657</v>
      </c>
      <c r="G2220" s="1" t="s">
        <v>12658</v>
      </c>
      <c r="H2220" s="1" t="s">
        <v>12658</v>
      </c>
    </row>
    <row r="2221" spans="1:8" x14ac:dyDescent="0.3">
      <c r="A2221" s="2" t="s">
        <v>12659</v>
      </c>
      <c r="B2221" s="1" t="e">
        <f>-으니까</f>
        <v>#NAME?</v>
      </c>
      <c r="C2221" s="1" t="s">
        <v>12660</v>
      </c>
      <c r="E2221" s="1" t="s">
        <v>12661</v>
      </c>
      <c r="F2221" s="1" t="s">
        <v>12662</v>
      </c>
      <c r="G2221" s="1" t="s">
        <v>12663</v>
      </c>
      <c r="H2221" s="1" t="s">
        <v>12664</v>
      </c>
    </row>
    <row r="2222" spans="1:8" x14ac:dyDescent="0.3">
      <c r="A2222" s="2" t="s">
        <v>12665</v>
      </c>
      <c r="B2222" s="1" t="e">
        <f ca="1">-아/어(-았/었다)</f>
        <v>#NAME?</v>
      </c>
      <c r="C2222" s="1" t="s">
        <v>12666</v>
      </c>
      <c r="D2222" s="1" t="s">
        <v>12667</v>
      </c>
      <c r="E2222" s="1" t="s">
        <v>12668</v>
      </c>
      <c r="F2222" s="1" t="s">
        <v>12669</v>
      </c>
      <c r="G2222" s="1" t="s">
        <v>12668</v>
      </c>
      <c r="H2222" s="1" t="s">
        <v>12668</v>
      </c>
    </row>
    <row r="2223" spans="1:8" x14ac:dyDescent="0.3">
      <c r="A2223" s="2">
        <v>32036</v>
      </c>
      <c r="B2223" s="1" t="s">
        <v>12670</v>
      </c>
    </row>
    <row r="2224" spans="1:8" x14ac:dyDescent="0.3">
      <c r="A2224" s="2" t="s">
        <v>12671</v>
      </c>
      <c r="B2224" s="1" t="e">
        <f>-지</f>
        <v>#NAME?</v>
      </c>
      <c r="C2224" s="1" t="s">
        <v>12672</v>
      </c>
      <c r="D2224" s="1" t="s">
        <v>12673</v>
      </c>
      <c r="E2224" s="1" t="s">
        <v>12674</v>
      </c>
      <c r="F2224" s="1" t="s">
        <v>12675</v>
      </c>
      <c r="G2224" s="1" t="s">
        <v>12676</v>
      </c>
      <c r="H2224" s="1" t="s">
        <v>12677</v>
      </c>
    </row>
    <row r="2225" spans="1:8" x14ac:dyDescent="0.3">
      <c r="A2225" s="2" t="s">
        <v>12678</v>
      </c>
      <c r="B2225" s="1" t="e">
        <f>-고</f>
        <v>#NAME?</v>
      </c>
      <c r="C2225" s="1" t="s">
        <v>12679</v>
      </c>
      <c r="E2225" s="1" t="s">
        <v>12680</v>
      </c>
      <c r="F2225" s="1" t="s">
        <v>12681</v>
      </c>
      <c r="G2225" s="1" t="s">
        <v>12682</v>
      </c>
      <c r="H2225" s="1" t="s">
        <v>12683</v>
      </c>
    </row>
    <row r="2226" spans="1:8" x14ac:dyDescent="0.3">
      <c r="A2226" s="2" t="s">
        <v>12684</v>
      </c>
      <c r="B2226" s="1" t="e">
        <f>-더라</f>
        <v>#NAME?</v>
      </c>
      <c r="C2226" s="1" t="s">
        <v>12685</v>
      </c>
      <c r="G2226" s="1" t="s">
        <v>12686</v>
      </c>
      <c r="H2226" s="1" t="s">
        <v>12687</v>
      </c>
    </row>
    <row r="2227" spans="1:8" x14ac:dyDescent="0.3">
      <c r="A2227" s="2" t="s">
        <v>12688</v>
      </c>
      <c r="B2227" s="1" t="e">
        <f>-으니까</f>
        <v>#NAME?</v>
      </c>
      <c r="C2227" s="1" t="s">
        <v>12689</v>
      </c>
      <c r="D2227" s="1" t="s">
        <v>12690</v>
      </c>
      <c r="E2227" s="1" t="s">
        <v>12691</v>
      </c>
      <c r="F2227" s="1" t="s">
        <v>12692</v>
      </c>
      <c r="G2227" s="1" t="s">
        <v>12693</v>
      </c>
      <c r="H2227" s="1" t="s">
        <v>12694</v>
      </c>
    </row>
    <row r="2228" spans="1:8" x14ac:dyDescent="0.3">
      <c r="A2228" s="2" t="s">
        <v>12695</v>
      </c>
      <c r="B2228" s="1" t="e">
        <f ca="1">-아/어(-았/었다)</f>
        <v>#NAME?</v>
      </c>
      <c r="C2228" s="1" t="s">
        <v>12696</v>
      </c>
      <c r="D2228" s="1" t="s">
        <v>12697</v>
      </c>
      <c r="E2228" s="1" t="s">
        <v>12698</v>
      </c>
      <c r="F2228" s="1" t="s">
        <v>12699</v>
      </c>
      <c r="G2228" s="1" t="s">
        <v>12700</v>
      </c>
      <c r="H2228" s="1" t="s">
        <v>12701</v>
      </c>
    </row>
    <row r="2229" spans="1:8" x14ac:dyDescent="0.3">
      <c r="A2229" s="2">
        <v>32037</v>
      </c>
      <c r="B2229" s="1" t="s">
        <v>12702</v>
      </c>
    </row>
    <row r="2230" spans="1:8" x14ac:dyDescent="0.3">
      <c r="A2230" s="2" t="s">
        <v>12703</v>
      </c>
      <c r="B2230" s="1" t="e">
        <f>-지</f>
        <v>#NAME?</v>
      </c>
      <c r="C2230" s="1" t="s">
        <v>12704</v>
      </c>
      <c r="E2230" s="1" t="s">
        <v>12705</v>
      </c>
      <c r="F2230" s="1" t="s">
        <v>12706</v>
      </c>
      <c r="G2230" s="1" t="s">
        <v>12707</v>
      </c>
      <c r="H2230" s="1" t="s">
        <v>12708</v>
      </c>
    </row>
    <row r="2231" spans="1:8" x14ac:dyDescent="0.3">
      <c r="A2231" s="2" t="s">
        <v>12709</v>
      </c>
      <c r="B2231" s="1" t="e">
        <f>-고</f>
        <v>#NAME?</v>
      </c>
      <c r="C2231" s="1" t="s">
        <v>12710</v>
      </c>
      <c r="E2231" s="1" t="s">
        <v>12711</v>
      </c>
      <c r="G2231" s="1" t="s">
        <v>12712</v>
      </c>
      <c r="H2231" s="1" t="s">
        <v>12713</v>
      </c>
    </row>
    <row r="2232" spans="1:8" x14ac:dyDescent="0.3">
      <c r="A2232" s="2" t="s">
        <v>12714</v>
      </c>
      <c r="B2232" s="1" t="e">
        <f>-더라</f>
        <v>#NAME?</v>
      </c>
      <c r="C2232" s="1" t="s">
        <v>12715</v>
      </c>
      <c r="F2232" s="1" t="s">
        <v>12716</v>
      </c>
      <c r="G2232" s="1" t="s">
        <v>12717</v>
      </c>
      <c r="H2232" s="1" t="s">
        <v>12717</v>
      </c>
    </row>
    <row r="2233" spans="1:8" x14ac:dyDescent="0.3">
      <c r="A2233" s="2" t="s">
        <v>12718</v>
      </c>
      <c r="B2233" s="1" t="e">
        <f>-으니까</f>
        <v>#NAME?</v>
      </c>
      <c r="C2233" s="1" t="s">
        <v>12719</v>
      </c>
      <c r="F2233" s="1" t="s">
        <v>12720</v>
      </c>
      <c r="G2233" s="1" t="s">
        <v>12721</v>
      </c>
      <c r="H2233" s="1" t="s">
        <v>12722</v>
      </c>
    </row>
    <row r="2234" spans="1:8" x14ac:dyDescent="0.3">
      <c r="A2234" s="2" t="s">
        <v>12723</v>
      </c>
      <c r="B2234" s="1" t="e">
        <f ca="1">-아/어(-았/었다)</f>
        <v>#NAME?</v>
      </c>
      <c r="C2234" s="1" t="s">
        <v>12724</v>
      </c>
      <c r="D2234" s="1" t="s">
        <v>12725</v>
      </c>
      <c r="E2234" s="1" t="s">
        <v>12726</v>
      </c>
      <c r="F2234" s="1" t="s">
        <v>12727</v>
      </c>
      <c r="G2234" s="1" t="s">
        <v>12728</v>
      </c>
      <c r="H2234" s="1" t="s">
        <v>12729</v>
      </c>
    </row>
    <row r="2235" spans="1:8" x14ac:dyDescent="0.3">
      <c r="A2235" s="2">
        <v>32038</v>
      </c>
      <c r="B2235" s="1" t="s">
        <v>12730</v>
      </c>
    </row>
    <row r="2236" spans="1:8" x14ac:dyDescent="0.3">
      <c r="A2236" s="2" t="s">
        <v>12731</v>
      </c>
      <c r="B2236" s="1" t="e">
        <f>-지</f>
        <v>#NAME?</v>
      </c>
      <c r="C2236" s="1" t="s">
        <v>12732</v>
      </c>
      <c r="F2236" s="1" t="s">
        <v>12733</v>
      </c>
      <c r="G2236" s="1" t="s">
        <v>12734</v>
      </c>
      <c r="H2236" s="1" t="s">
        <v>12735</v>
      </c>
    </row>
    <row r="2237" spans="1:8" x14ac:dyDescent="0.3">
      <c r="A2237" s="2" t="s">
        <v>12736</v>
      </c>
      <c r="B2237" s="1" t="e">
        <f>-고</f>
        <v>#NAME?</v>
      </c>
      <c r="C2237" s="1" t="s">
        <v>12737</v>
      </c>
      <c r="D2237" s="1" t="s">
        <v>12738</v>
      </c>
      <c r="E2237" s="1" t="s">
        <v>12739</v>
      </c>
      <c r="F2237" s="1" t="s">
        <v>12740</v>
      </c>
      <c r="G2237" s="1" t="s">
        <v>12741</v>
      </c>
      <c r="H2237" s="1" t="s">
        <v>12742</v>
      </c>
    </row>
    <row r="2238" spans="1:8" x14ac:dyDescent="0.3">
      <c r="A2238" s="2" t="s">
        <v>12743</v>
      </c>
      <c r="B2238" s="1" t="e">
        <f>-더라</f>
        <v>#NAME?</v>
      </c>
      <c r="C2238" s="1" t="s">
        <v>12744</v>
      </c>
      <c r="D2238" s="1" t="s">
        <v>12745</v>
      </c>
      <c r="E2238" s="1" t="s">
        <v>12746</v>
      </c>
      <c r="F2238" s="1" t="s">
        <v>12747</v>
      </c>
      <c r="G2238" s="1" t="s">
        <v>12748</v>
      </c>
      <c r="H2238" s="1" t="s">
        <v>12749</v>
      </c>
    </row>
    <row r="2239" spans="1:8" x14ac:dyDescent="0.3">
      <c r="A2239" s="2" t="s">
        <v>12750</v>
      </c>
      <c r="B2239" s="1" t="e">
        <f>-으니까</f>
        <v>#NAME?</v>
      </c>
      <c r="C2239" s="1" t="s">
        <v>12751</v>
      </c>
      <c r="E2239" s="1" t="s">
        <v>12752</v>
      </c>
      <c r="F2239" s="1" t="s">
        <v>12753</v>
      </c>
      <c r="G2239" s="1" t="s">
        <v>12754</v>
      </c>
      <c r="H2239" s="1" t="s">
        <v>12755</v>
      </c>
    </row>
    <row r="2240" spans="1:8" x14ac:dyDescent="0.3">
      <c r="A2240" s="2" t="s">
        <v>12756</v>
      </c>
      <c r="B2240" s="1" t="e">
        <f ca="1">-아/어(-았/었다)</f>
        <v>#NAME?</v>
      </c>
      <c r="C2240" s="1" t="s">
        <v>12757</v>
      </c>
      <c r="D2240" s="1" t="s">
        <v>12758</v>
      </c>
      <c r="E2240" s="1" t="s">
        <v>12759</v>
      </c>
      <c r="F2240" s="1" t="s">
        <v>12760</v>
      </c>
      <c r="G2240" s="1" t="s">
        <v>12761</v>
      </c>
      <c r="H2240" s="1" t="s">
        <v>12761</v>
      </c>
    </row>
    <row r="2241" spans="1:8" x14ac:dyDescent="0.3">
      <c r="A2241" s="2">
        <v>32039</v>
      </c>
      <c r="B2241" s="1" t="s">
        <v>12762</v>
      </c>
    </row>
    <row r="2242" spans="1:8" x14ac:dyDescent="0.3">
      <c r="A2242" s="2" t="s">
        <v>12763</v>
      </c>
      <c r="B2242" s="1" t="e">
        <f>-지</f>
        <v>#NAME?</v>
      </c>
      <c r="C2242" s="1" t="s">
        <v>12764</v>
      </c>
      <c r="E2242" s="1" t="s">
        <v>12765</v>
      </c>
      <c r="F2242" s="1" t="s">
        <v>57</v>
      </c>
      <c r="G2242" s="1" t="s">
        <v>12766</v>
      </c>
      <c r="H2242" s="1" t="s">
        <v>12767</v>
      </c>
    </row>
    <row r="2243" spans="1:8" x14ac:dyDescent="0.3">
      <c r="A2243" s="2" t="s">
        <v>12768</v>
      </c>
      <c r="B2243" s="1" t="e">
        <f>-고</f>
        <v>#NAME?</v>
      </c>
      <c r="C2243" s="1" t="s">
        <v>12769</v>
      </c>
      <c r="E2243" s="1" t="s">
        <v>12770</v>
      </c>
      <c r="F2243" s="1" t="s">
        <v>12771</v>
      </c>
      <c r="G2243" s="1" t="s">
        <v>12770</v>
      </c>
      <c r="H2243" s="1" t="s">
        <v>12772</v>
      </c>
    </row>
    <row r="2244" spans="1:8" x14ac:dyDescent="0.3">
      <c r="A2244" s="2" t="s">
        <v>12773</v>
      </c>
      <c r="B2244" s="1" t="e">
        <f>-더라</f>
        <v>#NAME?</v>
      </c>
      <c r="C2244" s="1" t="s">
        <v>12774</v>
      </c>
      <c r="E2244" s="1" t="s">
        <v>12775</v>
      </c>
      <c r="F2244" s="1" t="s">
        <v>12766</v>
      </c>
      <c r="G2244" s="1" t="s">
        <v>12776</v>
      </c>
      <c r="H2244" s="1" t="s">
        <v>12777</v>
      </c>
    </row>
    <row r="2245" spans="1:8" x14ac:dyDescent="0.3">
      <c r="A2245" s="2" t="s">
        <v>12778</v>
      </c>
      <c r="B2245" s="1" t="e">
        <f>-으니까</f>
        <v>#NAME?</v>
      </c>
      <c r="C2245" s="1" t="s">
        <v>12779</v>
      </c>
      <c r="F2245" s="1" t="s">
        <v>57</v>
      </c>
      <c r="G2245" s="1" t="s">
        <v>12780</v>
      </c>
      <c r="H2245" s="1" t="s">
        <v>12781</v>
      </c>
    </row>
    <row r="2246" spans="1:8" x14ac:dyDescent="0.3">
      <c r="A2246" s="2" t="s">
        <v>12782</v>
      </c>
      <c r="B2246" s="1" t="e">
        <f ca="1">-아/어(-았/었다)</f>
        <v>#NAME?</v>
      </c>
      <c r="C2246" s="1" t="s">
        <v>12783</v>
      </c>
      <c r="D2246" s="1" t="s">
        <v>12784</v>
      </c>
      <c r="E2246" s="1" t="s">
        <v>12785</v>
      </c>
      <c r="F2246" s="1" t="s">
        <v>12786</v>
      </c>
      <c r="G2246" s="1" t="s">
        <v>12787</v>
      </c>
    </row>
    <row r="2247" spans="1:8" x14ac:dyDescent="0.3">
      <c r="A2247" s="2">
        <v>32040</v>
      </c>
      <c r="B2247" s="1" t="s">
        <v>12788</v>
      </c>
    </row>
    <row r="2248" spans="1:8" x14ac:dyDescent="0.3">
      <c r="A2248" s="2" t="s">
        <v>12789</v>
      </c>
      <c r="B2248" s="1" t="e">
        <f>-지</f>
        <v>#NAME?</v>
      </c>
      <c r="C2248" s="1" t="s">
        <v>12790</v>
      </c>
      <c r="D2248" s="1" t="s">
        <v>12791</v>
      </c>
      <c r="E2248" s="1" t="s">
        <v>12792</v>
      </c>
      <c r="F2248" s="1" t="s">
        <v>57</v>
      </c>
      <c r="G2248" s="1" t="s">
        <v>12793</v>
      </c>
      <c r="H2248" s="1" t="s">
        <v>12794</v>
      </c>
    </row>
    <row r="2249" spans="1:8" x14ac:dyDescent="0.3">
      <c r="A2249" s="2" t="s">
        <v>12795</v>
      </c>
      <c r="B2249" s="1" t="e">
        <f>-고</f>
        <v>#NAME?</v>
      </c>
      <c r="C2249" s="1" t="s">
        <v>12796</v>
      </c>
      <c r="E2249" s="1" t="s">
        <v>12797</v>
      </c>
      <c r="F2249" s="1" t="s">
        <v>12798</v>
      </c>
      <c r="G2249" s="1" t="s">
        <v>12799</v>
      </c>
      <c r="H2249" s="1" t="s">
        <v>12797</v>
      </c>
    </row>
    <row r="2250" spans="1:8" x14ac:dyDescent="0.3">
      <c r="A2250" s="2" t="s">
        <v>12800</v>
      </c>
      <c r="B2250" s="1" t="e">
        <f>-더라</f>
        <v>#NAME?</v>
      </c>
      <c r="C2250" s="1" t="s">
        <v>12801</v>
      </c>
      <c r="E2250" s="1" t="s">
        <v>12802</v>
      </c>
      <c r="F2250" s="1" t="s">
        <v>10808</v>
      </c>
      <c r="G2250" s="1" t="s">
        <v>12802</v>
      </c>
      <c r="H2250" s="1" t="s">
        <v>12802</v>
      </c>
    </row>
    <row r="2251" spans="1:8" x14ac:dyDescent="0.3">
      <c r="A2251" s="2" t="s">
        <v>12803</v>
      </c>
      <c r="B2251" s="1" t="e">
        <f>-으니까</f>
        <v>#NAME?</v>
      </c>
      <c r="C2251" s="1" t="s">
        <v>12804</v>
      </c>
      <c r="F2251" s="1" t="s">
        <v>12805</v>
      </c>
      <c r="G2251" s="1" t="s">
        <v>12806</v>
      </c>
      <c r="H2251" s="1" t="s">
        <v>12807</v>
      </c>
    </row>
    <row r="2252" spans="1:8" x14ac:dyDescent="0.3">
      <c r="A2252" s="2" t="s">
        <v>12808</v>
      </c>
      <c r="B2252" s="1" t="e">
        <f ca="1">-아/어(-았/었다)</f>
        <v>#NAME?</v>
      </c>
      <c r="C2252" s="1" t="s">
        <v>12809</v>
      </c>
      <c r="D2252" s="1" t="s">
        <v>12810</v>
      </c>
      <c r="E2252" s="1" t="s">
        <v>12811</v>
      </c>
      <c r="F2252" s="1" t="s">
        <v>12811</v>
      </c>
      <c r="G2252" s="1" t="s">
        <v>12811</v>
      </c>
      <c r="H2252" s="1" t="s">
        <v>12812</v>
      </c>
    </row>
    <row r="2253" spans="1:8" x14ac:dyDescent="0.3">
      <c r="A2253" s="2">
        <v>32041</v>
      </c>
      <c r="B2253" s="1" t="s">
        <v>12813</v>
      </c>
    </row>
    <row r="2254" spans="1:8" x14ac:dyDescent="0.3">
      <c r="A2254" s="2" t="s">
        <v>12814</v>
      </c>
      <c r="B2254" s="1" t="e">
        <f>-지</f>
        <v>#NAME?</v>
      </c>
      <c r="C2254" s="1" t="s">
        <v>12815</v>
      </c>
      <c r="D2254" s="1" t="s">
        <v>12816</v>
      </c>
      <c r="E2254" s="1" t="s">
        <v>12817</v>
      </c>
      <c r="F2254" s="1" t="s">
        <v>57</v>
      </c>
      <c r="G2254" s="1" t="s">
        <v>12817</v>
      </c>
      <c r="H2254" s="1" t="s">
        <v>12818</v>
      </c>
    </row>
    <row r="2255" spans="1:8" x14ac:dyDescent="0.3">
      <c r="A2255" s="2" t="s">
        <v>12819</v>
      </c>
      <c r="B2255" s="1" t="e">
        <f>-고</f>
        <v>#NAME?</v>
      </c>
      <c r="C2255" s="1" t="s">
        <v>12820</v>
      </c>
      <c r="D2255" s="1" t="s">
        <v>12821</v>
      </c>
      <c r="F2255" s="1" t="s">
        <v>12822</v>
      </c>
      <c r="G2255" s="1" t="s">
        <v>12822</v>
      </c>
      <c r="H2255" s="1" t="s">
        <v>12823</v>
      </c>
    </row>
    <row r="2256" spans="1:8" x14ac:dyDescent="0.3">
      <c r="A2256" s="2" t="s">
        <v>12824</v>
      </c>
      <c r="B2256" s="1" t="e">
        <f>-더라</f>
        <v>#NAME?</v>
      </c>
      <c r="C2256" s="1" t="s">
        <v>12825</v>
      </c>
      <c r="D2256" s="1" t="s">
        <v>12826</v>
      </c>
      <c r="F2256" s="1" t="s">
        <v>12827</v>
      </c>
      <c r="G2256" s="1" t="s">
        <v>12828</v>
      </c>
      <c r="H2256" s="1" t="s">
        <v>12829</v>
      </c>
    </row>
    <row r="2257" spans="1:8" x14ac:dyDescent="0.3">
      <c r="A2257" s="2" t="s">
        <v>12830</v>
      </c>
      <c r="B2257" s="1" t="e">
        <f>-으니까</f>
        <v>#NAME?</v>
      </c>
      <c r="C2257" s="1" t="s">
        <v>12831</v>
      </c>
      <c r="D2257" s="1" t="s">
        <v>12832</v>
      </c>
      <c r="E2257" s="1" t="s">
        <v>12833</v>
      </c>
      <c r="F2257" s="1" t="s">
        <v>12834</v>
      </c>
      <c r="G2257" s="1" t="s">
        <v>12835</v>
      </c>
      <c r="H2257" s="1" t="s">
        <v>12836</v>
      </c>
    </row>
    <row r="2258" spans="1:8" x14ac:dyDescent="0.3">
      <c r="A2258" s="2" t="s">
        <v>12837</v>
      </c>
      <c r="B2258" s="1" t="e">
        <f ca="1">-아/어(-았/었다)</f>
        <v>#NAME?</v>
      </c>
      <c r="C2258" s="1" t="s">
        <v>12838</v>
      </c>
      <c r="D2258" s="1" t="s">
        <v>12839</v>
      </c>
      <c r="E2258" s="1" t="s">
        <v>12840</v>
      </c>
      <c r="F2258" s="1" t="s">
        <v>12841</v>
      </c>
      <c r="G2258" s="1" t="s">
        <v>12841</v>
      </c>
      <c r="H2258" s="1" t="s">
        <v>12842</v>
      </c>
    </row>
    <row r="2259" spans="1:8" x14ac:dyDescent="0.3">
      <c r="A2259" s="2">
        <v>32042</v>
      </c>
      <c r="B2259" s="1" t="s">
        <v>12843</v>
      </c>
    </row>
    <row r="2260" spans="1:8" x14ac:dyDescent="0.3">
      <c r="A2260" s="2" t="s">
        <v>12844</v>
      </c>
      <c r="B2260" s="1" t="e">
        <f>-지</f>
        <v>#NAME?</v>
      </c>
      <c r="C2260" s="1" t="s">
        <v>12845</v>
      </c>
      <c r="D2260" s="1" t="s">
        <v>12846</v>
      </c>
      <c r="E2260" s="1" t="s">
        <v>12847</v>
      </c>
      <c r="F2260" s="1" t="s">
        <v>12848</v>
      </c>
      <c r="G2260" s="1" t="s">
        <v>12849</v>
      </c>
      <c r="H2260" s="1" t="s">
        <v>12850</v>
      </c>
    </row>
    <row r="2261" spans="1:8" x14ac:dyDescent="0.3">
      <c r="A2261" s="2" t="s">
        <v>12851</v>
      </c>
      <c r="B2261" s="1" t="e">
        <f>-고</f>
        <v>#NAME?</v>
      </c>
      <c r="C2261" s="1" t="s">
        <v>12852</v>
      </c>
      <c r="D2261" s="1" t="s">
        <v>12853</v>
      </c>
      <c r="E2261" s="1" t="s">
        <v>12854</v>
      </c>
      <c r="F2261" s="1" t="s">
        <v>12827</v>
      </c>
      <c r="G2261" s="1" t="s">
        <v>12855</v>
      </c>
      <c r="H2261" s="1" t="s">
        <v>12856</v>
      </c>
    </row>
    <row r="2262" spans="1:8" x14ac:dyDescent="0.3">
      <c r="A2262" s="2" t="s">
        <v>12857</v>
      </c>
      <c r="B2262" s="1" t="e">
        <f>-더라</f>
        <v>#NAME?</v>
      </c>
      <c r="C2262" s="1" t="s">
        <v>12858</v>
      </c>
      <c r="F2262" s="1" t="s">
        <v>12859</v>
      </c>
      <c r="G2262" s="1" t="s">
        <v>12860</v>
      </c>
      <c r="H2262" s="1" t="s">
        <v>12861</v>
      </c>
    </row>
    <row r="2263" spans="1:8" x14ac:dyDescent="0.3">
      <c r="A2263" s="2" t="s">
        <v>12862</v>
      </c>
      <c r="B2263" s="1" t="e">
        <f>-으니까</f>
        <v>#NAME?</v>
      </c>
      <c r="C2263" s="1" t="s">
        <v>12863</v>
      </c>
      <c r="E2263" s="1" t="s">
        <v>12864</v>
      </c>
      <c r="F2263" s="1" t="s">
        <v>12865</v>
      </c>
      <c r="G2263" s="1" t="s">
        <v>12866</v>
      </c>
      <c r="H2263" s="1" t="s">
        <v>12864</v>
      </c>
    </row>
    <row r="2264" spans="1:8" x14ac:dyDescent="0.3">
      <c r="A2264" s="2" t="s">
        <v>12867</v>
      </c>
      <c r="B2264" s="1" t="e">
        <f ca="1">-아/어(-았/었다)</f>
        <v>#NAME?</v>
      </c>
      <c r="C2264" s="1" t="s">
        <v>12868</v>
      </c>
      <c r="D2264" s="1" t="s">
        <v>12869</v>
      </c>
      <c r="E2264" s="1" t="s">
        <v>12870</v>
      </c>
      <c r="F2264" s="1" t="s">
        <v>12871</v>
      </c>
      <c r="G2264" s="1" t="s">
        <v>12872</v>
      </c>
      <c r="H2264" s="1" t="s">
        <v>12873</v>
      </c>
    </row>
    <row r="2265" spans="1:8" x14ac:dyDescent="0.3">
      <c r="A2265" s="2">
        <v>32043</v>
      </c>
      <c r="B2265" s="1" t="s">
        <v>12874</v>
      </c>
    </row>
    <row r="2266" spans="1:8" x14ac:dyDescent="0.3">
      <c r="A2266" s="2" t="s">
        <v>12875</v>
      </c>
      <c r="B2266" s="1" t="e">
        <f>-지</f>
        <v>#NAME?</v>
      </c>
      <c r="C2266" s="1" t="s">
        <v>12876</v>
      </c>
      <c r="E2266" s="1" t="s">
        <v>12877</v>
      </c>
      <c r="F2266" s="1" t="s">
        <v>12878</v>
      </c>
      <c r="G2266" s="1" t="s">
        <v>12879</v>
      </c>
      <c r="H2266" s="1" t="s">
        <v>12880</v>
      </c>
    </row>
    <row r="2267" spans="1:8" x14ac:dyDescent="0.3">
      <c r="A2267" s="2" t="s">
        <v>12881</v>
      </c>
      <c r="B2267" s="1" t="e">
        <f>-고</f>
        <v>#NAME?</v>
      </c>
      <c r="C2267" s="1" t="s">
        <v>12882</v>
      </c>
      <c r="E2267" s="1" t="s">
        <v>12883</v>
      </c>
      <c r="F2267" s="1" t="s">
        <v>12884</v>
      </c>
      <c r="G2267" s="1" t="s">
        <v>12885</v>
      </c>
      <c r="H2267" s="1" t="s">
        <v>12886</v>
      </c>
    </row>
    <row r="2268" spans="1:8" x14ac:dyDescent="0.3">
      <c r="A2268" s="2" t="s">
        <v>12887</v>
      </c>
      <c r="B2268" s="1" t="e">
        <f>-더라</f>
        <v>#NAME?</v>
      </c>
      <c r="C2268" s="1" t="s">
        <v>12888</v>
      </c>
      <c r="E2268" s="1" t="s">
        <v>12889</v>
      </c>
      <c r="F2268" s="1" t="s">
        <v>12890</v>
      </c>
      <c r="G2268" s="1" t="s">
        <v>12891</v>
      </c>
    </row>
    <row r="2269" spans="1:8" x14ac:dyDescent="0.3">
      <c r="A2269" s="2" t="s">
        <v>12892</v>
      </c>
      <c r="B2269" s="1" t="e">
        <f>-으니까</f>
        <v>#NAME?</v>
      </c>
      <c r="C2269" s="1" t="s">
        <v>12893</v>
      </c>
      <c r="E2269" s="1" t="s">
        <v>12894</v>
      </c>
      <c r="F2269" s="1" t="s">
        <v>12895</v>
      </c>
      <c r="G2269" s="1" t="s">
        <v>12896</v>
      </c>
    </row>
    <row r="2270" spans="1:8" x14ac:dyDescent="0.3">
      <c r="A2270" s="2" t="s">
        <v>12897</v>
      </c>
      <c r="B2270" s="1" t="e">
        <f ca="1">-아/어(-았/었다)</f>
        <v>#NAME?</v>
      </c>
      <c r="C2270" s="1" t="s">
        <v>12898</v>
      </c>
      <c r="D2270" s="1" t="s">
        <v>12899</v>
      </c>
      <c r="E2270" s="1" t="s">
        <v>12900</v>
      </c>
      <c r="F2270" s="1" t="s">
        <v>12901</v>
      </c>
      <c r="G2270" s="1" t="s">
        <v>12902</v>
      </c>
      <c r="H2270" s="1" t="s">
        <v>12903</v>
      </c>
    </row>
    <row r="2271" spans="1:8" x14ac:dyDescent="0.3">
      <c r="A2271" s="2">
        <v>32044</v>
      </c>
      <c r="B2271" s="1" t="s">
        <v>12904</v>
      </c>
    </row>
    <row r="2272" spans="1:8" x14ac:dyDescent="0.3">
      <c r="A2272" s="2" t="s">
        <v>12905</v>
      </c>
      <c r="B2272" s="1" t="e">
        <f>-지</f>
        <v>#NAME?</v>
      </c>
      <c r="C2272" s="1" t="s">
        <v>12906</v>
      </c>
      <c r="D2272" s="1" t="s">
        <v>12907</v>
      </c>
      <c r="E2272" s="1" t="s">
        <v>12908</v>
      </c>
      <c r="F2272" s="1" t="s">
        <v>12909</v>
      </c>
      <c r="G2272" s="1" t="s">
        <v>12908</v>
      </c>
      <c r="H2272" s="1" t="s">
        <v>12910</v>
      </c>
    </row>
    <row r="2273" spans="1:8" x14ac:dyDescent="0.3">
      <c r="A2273" s="2" t="s">
        <v>12911</v>
      </c>
      <c r="B2273" s="1" t="e">
        <f>-고</f>
        <v>#NAME?</v>
      </c>
      <c r="C2273" s="1" t="s">
        <v>12912</v>
      </c>
      <c r="E2273" s="1" t="s">
        <v>12913</v>
      </c>
      <c r="F2273" s="1" t="s">
        <v>12914</v>
      </c>
      <c r="G2273" s="1" t="s">
        <v>12915</v>
      </c>
    </row>
    <row r="2274" spans="1:8" x14ac:dyDescent="0.3">
      <c r="A2274" s="2" t="s">
        <v>12916</v>
      </c>
      <c r="B2274" s="1" t="e">
        <f>-더라</f>
        <v>#NAME?</v>
      </c>
      <c r="C2274" s="1" t="s">
        <v>12917</v>
      </c>
      <c r="D2274" s="1" t="s">
        <v>12918</v>
      </c>
      <c r="E2274" s="1" t="s">
        <v>12919</v>
      </c>
      <c r="F2274" s="1" t="s">
        <v>12908</v>
      </c>
      <c r="G2274" s="1" t="s">
        <v>12920</v>
      </c>
      <c r="H2274" s="1" t="s">
        <v>12921</v>
      </c>
    </row>
    <row r="2275" spans="1:8" x14ac:dyDescent="0.3">
      <c r="A2275" s="2" t="s">
        <v>12922</v>
      </c>
      <c r="B2275" s="1" t="e">
        <f>-으니까</f>
        <v>#NAME?</v>
      </c>
      <c r="C2275" s="1" t="s">
        <v>12923</v>
      </c>
      <c r="E2275" s="1" t="s">
        <v>12924</v>
      </c>
      <c r="F2275" s="1" t="s">
        <v>12925</v>
      </c>
      <c r="G2275" s="1" t="s">
        <v>12926</v>
      </c>
      <c r="H2275" s="1" t="s">
        <v>12927</v>
      </c>
    </row>
    <row r="2276" spans="1:8" x14ac:dyDescent="0.3">
      <c r="A2276" s="2" t="s">
        <v>12928</v>
      </c>
      <c r="B2276" s="1" t="e">
        <f ca="1">-아/어(-았/었다)</f>
        <v>#NAME?</v>
      </c>
      <c r="C2276" s="1" t="s">
        <v>12929</v>
      </c>
      <c r="D2276" s="1" t="s">
        <v>12930</v>
      </c>
      <c r="E2276" s="1" t="s">
        <v>12931</v>
      </c>
      <c r="F2276" s="1" t="s">
        <v>12932</v>
      </c>
      <c r="G2276" s="1" t="s">
        <v>12933</v>
      </c>
      <c r="H2276" s="1" t="s">
        <v>12932</v>
      </c>
    </row>
    <row r="2277" spans="1:8" x14ac:dyDescent="0.3">
      <c r="A2277" s="2">
        <v>32045</v>
      </c>
      <c r="B2277" s="1" t="s">
        <v>12934</v>
      </c>
    </row>
    <row r="2278" spans="1:8" x14ac:dyDescent="0.3">
      <c r="A2278" s="2" t="s">
        <v>12935</v>
      </c>
      <c r="B2278" s="1" t="e">
        <f>-지</f>
        <v>#NAME?</v>
      </c>
      <c r="C2278" s="1" t="s">
        <v>12936</v>
      </c>
      <c r="D2278" s="1" t="s">
        <v>12937</v>
      </c>
      <c r="E2278" s="1" t="s">
        <v>12938</v>
      </c>
      <c r="F2278" s="1" t="s">
        <v>12939</v>
      </c>
      <c r="G2278" s="1" t="s">
        <v>12940</v>
      </c>
      <c r="H2278" s="1" t="s">
        <v>12941</v>
      </c>
    </row>
    <row r="2279" spans="1:8" x14ac:dyDescent="0.3">
      <c r="A2279" s="2" t="s">
        <v>12942</v>
      </c>
      <c r="B2279" s="1" t="e">
        <f>-고</f>
        <v>#NAME?</v>
      </c>
      <c r="C2279" s="1" t="s">
        <v>12943</v>
      </c>
      <c r="D2279" s="1" t="s">
        <v>12944</v>
      </c>
      <c r="E2279" s="1" t="s">
        <v>12945</v>
      </c>
      <c r="F2279" s="1" t="s">
        <v>12946</v>
      </c>
      <c r="G2279" s="1" t="s">
        <v>12947</v>
      </c>
      <c r="H2279" s="1" t="s">
        <v>12948</v>
      </c>
    </row>
    <row r="2280" spans="1:8" x14ac:dyDescent="0.3">
      <c r="A2280" s="2" t="s">
        <v>12949</v>
      </c>
      <c r="B2280" s="1" t="e">
        <f>-더라</f>
        <v>#NAME?</v>
      </c>
      <c r="C2280" s="1" t="s">
        <v>12950</v>
      </c>
      <c r="E2280" s="1" t="s">
        <v>12951</v>
      </c>
      <c r="F2280" s="1" t="s">
        <v>12940</v>
      </c>
      <c r="G2280" s="1" t="s">
        <v>12952</v>
      </c>
      <c r="H2280" s="1" t="s">
        <v>12953</v>
      </c>
    </row>
    <row r="2281" spans="1:8" x14ac:dyDescent="0.3">
      <c r="A2281" s="2" t="s">
        <v>12954</v>
      </c>
      <c r="B2281" s="1" t="e">
        <f>-으니까</f>
        <v>#NAME?</v>
      </c>
      <c r="C2281" s="1" t="s">
        <v>12955</v>
      </c>
      <c r="E2281" s="1" t="s">
        <v>12956</v>
      </c>
      <c r="F2281" s="1" t="s">
        <v>12957</v>
      </c>
      <c r="G2281" s="1" t="s">
        <v>12958</v>
      </c>
      <c r="H2281" s="1" t="s">
        <v>12959</v>
      </c>
    </row>
    <row r="2282" spans="1:8" x14ac:dyDescent="0.3">
      <c r="A2282" s="2" t="s">
        <v>12960</v>
      </c>
      <c r="B2282" s="1" t="e">
        <f ca="1">-아/어(-았/었다)</f>
        <v>#NAME?</v>
      </c>
      <c r="C2282" s="1" t="s">
        <v>12961</v>
      </c>
      <c r="D2282" s="1" t="s">
        <v>12962</v>
      </c>
      <c r="E2282" s="1" t="s">
        <v>12963</v>
      </c>
      <c r="F2282" s="1" t="s">
        <v>12964</v>
      </c>
      <c r="G2282" s="1" t="s">
        <v>12965</v>
      </c>
      <c r="H2282" s="1" t="s">
        <v>12966</v>
      </c>
    </row>
    <row r="2283" spans="1:8" x14ac:dyDescent="0.3">
      <c r="A2283" s="2">
        <v>32046</v>
      </c>
      <c r="B2283" s="1" t="s">
        <v>12967</v>
      </c>
    </row>
    <row r="2284" spans="1:8" x14ac:dyDescent="0.3">
      <c r="A2284" s="2" t="s">
        <v>12968</v>
      </c>
      <c r="B2284" s="1" t="e">
        <f>-지</f>
        <v>#NAME?</v>
      </c>
      <c r="C2284" s="1" t="s">
        <v>12969</v>
      </c>
      <c r="D2284" s="1" t="s">
        <v>12970</v>
      </c>
      <c r="E2284" s="1" t="s">
        <v>12971</v>
      </c>
      <c r="F2284" s="1" t="s">
        <v>12972</v>
      </c>
      <c r="G2284" s="1" t="s">
        <v>12973</v>
      </c>
      <c r="H2284" s="1" t="s">
        <v>12974</v>
      </c>
    </row>
    <row r="2285" spans="1:8" x14ac:dyDescent="0.3">
      <c r="A2285" s="2" t="s">
        <v>12975</v>
      </c>
      <c r="B2285" s="1" t="e">
        <f>-고</f>
        <v>#NAME?</v>
      </c>
      <c r="C2285" s="1" t="s">
        <v>12976</v>
      </c>
      <c r="E2285" s="1" t="s">
        <v>12977</v>
      </c>
      <c r="F2285" s="1" t="s">
        <v>12978</v>
      </c>
      <c r="G2285" s="1" t="s">
        <v>12979</v>
      </c>
      <c r="H2285" s="1" t="s">
        <v>12980</v>
      </c>
    </row>
    <row r="2286" spans="1:8" x14ac:dyDescent="0.3">
      <c r="A2286" s="2" t="s">
        <v>12981</v>
      </c>
      <c r="B2286" s="1" t="e">
        <f>-더라</f>
        <v>#NAME?</v>
      </c>
      <c r="C2286" s="1" t="s">
        <v>12982</v>
      </c>
      <c r="E2286" s="1" t="s">
        <v>12983</v>
      </c>
      <c r="F2286" s="1" t="s">
        <v>12973</v>
      </c>
      <c r="G2286" s="1" t="s">
        <v>12984</v>
      </c>
      <c r="H2286" s="1" t="s">
        <v>12984</v>
      </c>
    </row>
    <row r="2287" spans="1:8" x14ac:dyDescent="0.3">
      <c r="A2287" s="2" t="s">
        <v>12985</v>
      </c>
      <c r="B2287" s="1" t="e">
        <f>-으니까</f>
        <v>#NAME?</v>
      </c>
      <c r="C2287" s="1" t="s">
        <v>12986</v>
      </c>
      <c r="F2287" s="1" t="s">
        <v>12987</v>
      </c>
      <c r="G2287" s="1" t="s">
        <v>12988</v>
      </c>
      <c r="H2287" s="1" t="s">
        <v>12989</v>
      </c>
    </row>
    <row r="2288" spans="1:8" x14ac:dyDescent="0.3">
      <c r="A2288" s="2" t="s">
        <v>12990</v>
      </c>
      <c r="B2288" s="1" t="e">
        <f ca="1">-아/어(-았/었다)</f>
        <v>#NAME?</v>
      </c>
      <c r="C2288" s="1" t="s">
        <v>12991</v>
      </c>
      <c r="D2288" s="1" t="s">
        <v>12992</v>
      </c>
      <c r="E2288" s="1" t="s">
        <v>12993</v>
      </c>
      <c r="F2288" s="1" t="s">
        <v>12994</v>
      </c>
      <c r="G2288" s="1" t="s">
        <v>12995</v>
      </c>
      <c r="H2288" s="1" t="s">
        <v>12996</v>
      </c>
    </row>
    <row r="2289" spans="1:8" x14ac:dyDescent="0.3">
      <c r="A2289" s="2">
        <v>32047</v>
      </c>
      <c r="B2289" s="1" t="s">
        <v>12997</v>
      </c>
    </row>
    <row r="2290" spans="1:8" x14ac:dyDescent="0.3">
      <c r="A2290" s="2" t="s">
        <v>12998</v>
      </c>
      <c r="B2290" s="1" t="s">
        <v>12999</v>
      </c>
      <c r="C2290" s="1" t="s">
        <v>13000</v>
      </c>
      <c r="D2290" s="1" t="s">
        <v>13001</v>
      </c>
      <c r="E2290" s="1" t="s">
        <v>13002</v>
      </c>
      <c r="F2290" s="1" t="s">
        <v>13003</v>
      </c>
      <c r="G2290" s="1" t="s">
        <v>13004</v>
      </c>
      <c r="H2290" s="1" t="s">
        <v>13005</v>
      </c>
    </row>
    <row r="2291" spans="1:8" x14ac:dyDescent="0.3">
      <c r="A2291" s="2" t="s">
        <v>13006</v>
      </c>
      <c r="B2291" s="1" t="s">
        <v>13007</v>
      </c>
      <c r="C2291" s="1" t="s">
        <v>13008</v>
      </c>
      <c r="D2291" s="1" t="s">
        <v>13009</v>
      </c>
      <c r="E2291" s="1" t="s">
        <v>13010</v>
      </c>
      <c r="F2291" s="1" t="s">
        <v>13011</v>
      </c>
      <c r="G2291" s="1" t="s">
        <v>13011</v>
      </c>
      <c r="H2291" s="1" t="s">
        <v>13011</v>
      </c>
    </row>
    <row r="2292" spans="1:8" x14ac:dyDescent="0.3">
      <c r="A2292" s="2">
        <v>32048</v>
      </c>
      <c r="B2292" s="1" t="s">
        <v>13012</v>
      </c>
    </row>
    <row r="2293" spans="1:8" x14ac:dyDescent="0.3">
      <c r="A2293" s="2" t="s">
        <v>13013</v>
      </c>
      <c r="B2293" s="1" t="s">
        <v>12999</v>
      </c>
      <c r="C2293" s="1" t="s">
        <v>13014</v>
      </c>
      <c r="E2293" s="1" t="s">
        <v>13015</v>
      </c>
      <c r="F2293" s="1" t="s">
        <v>13016</v>
      </c>
      <c r="G2293" s="1" t="s">
        <v>13017</v>
      </c>
      <c r="H2293" s="1" t="s">
        <v>13018</v>
      </c>
    </row>
    <row r="2294" spans="1:8" x14ac:dyDescent="0.3">
      <c r="A2294" s="2" t="s">
        <v>13019</v>
      </c>
      <c r="B2294" s="1" t="s">
        <v>13007</v>
      </c>
      <c r="C2294" s="1" t="s">
        <v>13020</v>
      </c>
      <c r="D2294" s="1" t="s">
        <v>13021</v>
      </c>
      <c r="E2294" s="1" t="s">
        <v>13022</v>
      </c>
      <c r="F2294" s="1" t="s">
        <v>13023</v>
      </c>
      <c r="G2294" s="1" t="s">
        <v>13024</v>
      </c>
      <c r="H2294" s="1" t="s">
        <v>13025</v>
      </c>
    </row>
    <row r="2295" spans="1:8" x14ac:dyDescent="0.3">
      <c r="A2295" s="2">
        <v>32049</v>
      </c>
      <c r="B2295" s="1" t="s">
        <v>13026</v>
      </c>
    </row>
    <row r="2296" spans="1:8" x14ac:dyDescent="0.3">
      <c r="A2296" s="2" t="s">
        <v>13027</v>
      </c>
      <c r="B2296" s="1" t="s">
        <v>12999</v>
      </c>
      <c r="C2296" s="1" t="s">
        <v>13028</v>
      </c>
      <c r="D2296" s="1" t="s">
        <v>13029</v>
      </c>
      <c r="E2296" s="1" t="s">
        <v>13030</v>
      </c>
      <c r="F2296" s="1" t="s">
        <v>13031</v>
      </c>
      <c r="G2296" s="1" t="s">
        <v>13032</v>
      </c>
      <c r="H2296" s="1" t="s">
        <v>13033</v>
      </c>
    </row>
    <row r="2297" spans="1:8" x14ac:dyDescent="0.3">
      <c r="A2297" s="2" t="s">
        <v>13034</v>
      </c>
      <c r="B2297" s="1" t="s">
        <v>13007</v>
      </c>
      <c r="C2297" s="1" t="s">
        <v>13035</v>
      </c>
      <c r="D2297" s="1" t="s">
        <v>13036</v>
      </c>
      <c r="E2297" s="1" t="s">
        <v>13037</v>
      </c>
      <c r="F2297" s="1" t="s">
        <v>13038</v>
      </c>
      <c r="G2297" s="1" t="s">
        <v>13039</v>
      </c>
      <c r="H2297" s="1" t="s">
        <v>13038</v>
      </c>
    </row>
    <row r="2298" spans="1:8" x14ac:dyDescent="0.3">
      <c r="A2298" s="2">
        <v>32050</v>
      </c>
      <c r="B2298" s="1" t="s">
        <v>13040</v>
      </c>
    </row>
    <row r="2299" spans="1:8" x14ac:dyDescent="0.3">
      <c r="A2299" s="2" t="s">
        <v>13041</v>
      </c>
      <c r="B2299" s="1" t="s">
        <v>12999</v>
      </c>
      <c r="C2299" s="1" t="s">
        <v>13042</v>
      </c>
      <c r="D2299" s="1" t="s">
        <v>13043</v>
      </c>
      <c r="E2299" s="1" t="s">
        <v>13044</v>
      </c>
      <c r="F2299" s="1" t="s">
        <v>13045</v>
      </c>
      <c r="G2299" s="1" t="s">
        <v>13046</v>
      </c>
      <c r="H2299" s="1" t="s">
        <v>13047</v>
      </c>
    </row>
    <row r="2300" spans="1:8" x14ac:dyDescent="0.3">
      <c r="A2300" s="2" t="s">
        <v>13048</v>
      </c>
      <c r="B2300" s="1" t="s">
        <v>13007</v>
      </c>
      <c r="C2300" s="1" t="s">
        <v>13049</v>
      </c>
      <c r="D2300" s="1" t="s">
        <v>13050</v>
      </c>
      <c r="E2300" s="1" t="s">
        <v>13051</v>
      </c>
      <c r="F2300" s="1" t="s">
        <v>13052</v>
      </c>
      <c r="G2300" s="1" t="s">
        <v>13053</v>
      </c>
      <c r="H2300" s="1" t="s">
        <v>13054</v>
      </c>
    </row>
    <row r="2301" spans="1:8" x14ac:dyDescent="0.3">
      <c r="A2301" s="2">
        <v>32051</v>
      </c>
      <c r="B2301" s="1" t="s">
        <v>13055</v>
      </c>
    </row>
    <row r="2302" spans="1:8" x14ac:dyDescent="0.3">
      <c r="A2302" s="2" t="s">
        <v>13056</v>
      </c>
      <c r="B2302" s="1" t="s">
        <v>12999</v>
      </c>
      <c r="C2302" s="1" t="s">
        <v>13057</v>
      </c>
      <c r="D2302" s="1" t="s">
        <v>13058</v>
      </c>
      <c r="E2302" s="1" t="s">
        <v>13059</v>
      </c>
      <c r="G2302" s="1" t="s">
        <v>13060</v>
      </c>
      <c r="H2302" s="1" t="s">
        <v>13061</v>
      </c>
    </row>
    <row r="2303" spans="1:8" x14ac:dyDescent="0.3">
      <c r="A2303" s="2" t="s">
        <v>13062</v>
      </c>
      <c r="B2303" s="1" t="s">
        <v>13007</v>
      </c>
      <c r="C2303" s="1" t="s">
        <v>13063</v>
      </c>
      <c r="D2303" s="1" t="s">
        <v>13064</v>
      </c>
      <c r="E2303" s="1" t="s">
        <v>13065</v>
      </c>
      <c r="F2303" s="1" t="s">
        <v>13066</v>
      </c>
      <c r="G2303" s="1" t="s">
        <v>13067</v>
      </c>
      <c r="H2303" s="1" t="s">
        <v>13065</v>
      </c>
    </row>
    <row r="2304" spans="1:8" x14ac:dyDescent="0.3">
      <c r="A2304" s="2">
        <v>32052</v>
      </c>
      <c r="B2304" s="1" t="s">
        <v>13068</v>
      </c>
    </row>
    <row r="2305" spans="1:8" x14ac:dyDescent="0.3">
      <c r="A2305" s="2" t="s">
        <v>13069</v>
      </c>
      <c r="B2305" s="1" t="s">
        <v>12999</v>
      </c>
      <c r="C2305" s="1" t="s">
        <v>13070</v>
      </c>
      <c r="D2305" s="1" t="s">
        <v>13071</v>
      </c>
      <c r="E2305" s="1" t="s">
        <v>13072</v>
      </c>
      <c r="F2305" s="1" t="s">
        <v>13073</v>
      </c>
      <c r="G2305" s="1" t="s">
        <v>13074</v>
      </c>
      <c r="H2305" s="1" t="s">
        <v>13075</v>
      </c>
    </row>
    <row r="2306" spans="1:8" x14ac:dyDescent="0.3">
      <c r="A2306" s="2" t="s">
        <v>13076</v>
      </c>
      <c r="B2306" s="1" t="s">
        <v>13007</v>
      </c>
      <c r="C2306" s="1" t="s">
        <v>13077</v>
      </c>
      <c r="D2306" s="1" t="s">
        <v>13078</v>
      </c>
      <c r="E2306" s="1" t="s">
        <v>13079</v>
      </c>
      <c r="F2306" s="1" t="s">
        <v>13080</v>
      </c>
      <c r="G2306" s="1" t="s">
        <v>13081</v>
      </c>
      <c r="H2306" s="1" t="s">
        <v>13082</v>
      </c>
    </row>
    <row r="2307" spans="1:8" x14ac:dyDescent="0.3">
      <c r="A2307" s="2">
        <v>32053</v>
      </c>
      <c r="B2307" s="1" t="s">
        <v>13083</v>
      </c>
    </row>
    <row r="2308" spans="1:8" x14ac:dyDescent="0.3">
      <c r="A2308" s="2" t="s">
        <v>13084</v>
      </c>
      <c r="B2308" s="1" t="s">
        <v>12999</v>
      </c>
      <c r="C2308" s="1" t="s">
        <v>13085</v>
      </c>
      <c r="D2308" s="1" t="s">
        <v>13086</v>
      </c>
      <c r="E2308" s="1" t="s">
        <v>13087</v>
      </c>
      <c r="F2308" s="1" t="s">
        <v>13088</v>
      </c>
      <c r="G2308" s="1" t="s">
        <v>13089</v>
      </c>
      <c r="H2308" s="1" t="s">
        <v>13090</v>
      </c>
    </row>
    <row r="2309" spans="1:8" x14ac:dyDescent="0.3">
      <c r="A2309" s="2" t="s">
        <v>13091</v>
      </c>
      <c r="B2309" s="1" t="s">
        <v>13007</v>
      </c>
      <c r="C2309" s="1" t="s">
        <v>13092</v>
      </c>
      <c r="D2309" s="1" t="s">
        <v>13093</v>
      </c>
      <c r="E2309" s="1" t="s">
        <v>13094</v>
      </c>
      <c r="F2309" s="1" t="s">
        <v>13095</v>
      </c>
      <c r="G2309" s="1" t="s">
        <v>13096</v>
      </c>
      <c r="H2309" s="1" t="s">
        <v>13097</v>
      </c>
    </row>
    <row r="2310" spans="1:8" x14ac:dyDescent="0.3">
      <c r="A2310" s="2">
        <v>32054</v>
      </c>
      <c r="B2310" s="1" t="s">
        <v>13098</v>
      </c>
    </row>
    <row r="2311" spans="1:8" x14ac:dyDescent="0.3">
      <c r="A2311" s="2" t="s">
        <v>13099</v>
      </c>
      <c r="B2311" s="1" t="s">
        <v>12999</v>
      </c>
      <c r="C2311" s="1" t="s">
        <v>13100</v>
      </c>
      <c r="D2311" s="1" t="s">
        <v>13101</v>
      </c>
      <c r="E2311" s="1" t="s">
        <v>13102</v>
      </c>
      <c r="F2311" s="1" t="s">
        <v>13103</v>
      </c>
      <c r="G2311" s="1" t="s">
        <v>13104</v>
      </c>
      <c r="H2311" s="1" t="s">
        <v>13105</v>
      </c>
    </row>
    <row r="2312" spans="1:8" x14ac:dyDescent="0.3">
      <c r="A2312" s="2" t="s">
        <v>13106</v>
      </c>
      <c r="B2312" s="1" t="s">
        <v>13007</v>
      </c>
      <c r="C2312" s="1" t="s">
        <v>13107</v>
      </c>
      <c r="D2312" s="1" t="s">
        <v>13108</v>
      </c>
      <c r="E2312" s="1" t="s">
        <v>13109</v>
      </c>
      <c r="F2312" s="1" t="s">
        <v>13110</v>
      </c>
      <c r="G2312" s="1" t="s">
        <v>13110</v>
      </c>
      <c r="H2312" s="1" t="s">
        <v>13111</v>
      </c>
    </row>
    <row r="2313" spans="1:8" x14ac:dyDescent="0.3">
      <c r="A2313" s="2">
        <v>32055</v>
      </c>
      <c r="B2313" s="1" t="s">
        <v>13112</v>
      </c>
    </row>
    <row r="2314" spans="1:8" x14ac:dyDescent="0.3">
      <c r="A2314" s="2" t="s">
        <v>13113</v>
      </c>
      <c r="B2314" s="1" t="s">
        <v>12999</v>
      </c>
      <c r="C2314" s="1" t="s">
        <v>13114</v>
      </c>
      <c r="D2314" s="1" t="s">
        <v>13115</v>
      </c>
      <c r="E2314" s="1" t="s">
        <v>13116</v>
      </c>
      <c r="F2314" s="1" t="s">
        <v>13117</v>
      </c>
      <c r="G2314" s="1" t="s">
        <v>13118</v>
      </c>
      <c r="H2314" s="1" t="s">
        <v>13119</v>
      </c>
    </row>
    <row r="2315" spans="1:8" x14ac:dyDescent="0.3">
      <c r="A2315" s="2" t="s">
        <v>13120</v>
      </c>
      <c r="B2315" s="1" t="s">
        <v>13007</v>
      </c>
      <c r="C2315" s="1" t="s">
        <v>13121</v>
      </c>
      <c r="D2315" s="1" t="s">
        <v>13122</v>
      </c>
      <c r="E2315" s="1" t="s">
        <v>13123</v>
      </c>
      <c r="F2315" s="1" t="s">
        <v>13124</v>
      </c>
      <c r="G2315" s="1" t="s">
        <v>13125</v>
      </c>
      <c r="H2315" s="1" t="s">
        <v>13126</v>
      </c>
    </row>
    <row r="2316" spans="1:8" x14ac:dyDescent="0.3">
      <c r="A2316" s="2">
        <v>32056</v>
      </c>
      <c r="B2316" s="1" t="s">
        <v>13127</v>
      </c>
    </row>
    <row r="2317" spans="1:8" x14ac:dyDescent="0.3">
      <c r="A2317" s="2" t="s">
        <v>13128</v>
      </c>
      <c r="B2317" s="1" t="s">
        <v>12999</v>
      </c>
      <c r="C2317" s="1" t="s">
        <v>13129</v>
      </c>
      <c r="D2317" s="1" t="s">
        <v>13130</v>
      </c>
      <c r="E2317" s="1" t="s">
        <v>13131</v>
      </c>
      <c r="F2317" s="1" t="s">
        <v>13132</v>
      </c>
      <c r="G2317" s="1" t="s">
        <v>13133</v>
      </c>
      <c r="H2317" s="1" t="s">
        <v>13134</v>
      </c>
    </row>
    <row r="2318" spans="1:8" x14ac:dyDescent="0.3">
      <c r="A2318" s="2" t="s">
        <v>13135</v>
      </c>
      <c r="B2318" s="1" t="s">
        <v>13007</v>
      </c>
      <c r="C2318" s="1" t="s">
        <v>13136</v>
      </c>
      <c r="D2318" s="1" t="s">
        <v>13137</v>
      </c>
      <c r="E2318" s="1" t="s">
        <v>13138</v>
      </c>
      <c r="F2318" s="1" t="s">
        <v>13139</v>
      </c>
      <c r="G2318" s="1" t="s">
        <v>13140</v>
      </c>
      <c r="H2318" s="1" t="s">
        <v>13141</v>
      </c>
    </row>
    <row r="2319" spans="1:8" x14ac:dyDescent="0.3">
      <c r="A2319" s="2">
        <v>32057</v>
      </c>
      <c r="B2319" s="1" t="s">
        <v>13142</v>
      </c>
    </row>
    <row r="2320" spans="1:8" x14ac:dyDescent="0.3">
      <c r="A2320" s="2" t="s">
        <v>13143</v>
      </c>
      <c r="B2320" s="1" t="s">
        <v>12999</v>
      </c>
      <c r="C2320" s="1" t="s">
        <v>13144</v>
      </c>
      <c r="D2320" s="1" t="s">
        <v>13145</v>
      </c>
      <c r="E2320" s="1" t="s">
        <v>13146</v>
      </c>
      <c r="F2320" s="1" t="s">
        <v>13147</v>
      </c>
      <c r="G2320" s="1" t="s">
        <v>13148</v>
      </c>
      <c r="H2320" s="1" t="s">
        <v>13149</v>
      </c>
    </row>
    <row r="2321" spans="1:8" x14ac:dyDescent="0.3">
      <c r="A2321" s="2" t="s">
        <v>13150</v>
      </c>
      <c r="B2321" s="1" t="s">
        <v>13007</v>
      </c>
      <c r="C2321" s="1" t="s">
        <v>13151</v>
      </c>
      <c r="D2321" s="1" t="s">
        <v>13152</v>
      </c>
      <c r="E2321" s="1" t="s">
        <v>13153</v>
      </c>
      <c r="F2321" s="1" t="s">
        <v>13154</v>
      </c>
      <c r="G2321" s="1" t="s">
        <v>13155</v>
      </c>
      <c r="H2321" s="1" t="s">
        <v>13156</v>
      </c>
    </row>
    <row r="2322" spans="1:8" x14ac:dyDescent="0.3">
      <c r="A2322" s="2">
        <v>32058</v>
      </c>
      <c r="B2322" s="1" t="s">
        <v>13157</v>
      </c>
    </row>
    <row r="2323" spans="1:8" x14ac:dyDescent="0.3">
      <c r="A2323" s="2" t="s">
        <v>13158</v>
      </c>
      <c r="B2323" s="1" t="s">
        <v>12999</v>
      </c>
      <c r="C2323" s="1" t="s">
        <v>13159</v>
      </c>
      <c r="D2323" s="1" t="s">
        <v>13160</v>
      </c>
      <c r="E2323" s="1" t="s">
        <v>13161</v>
      </c>
      <c r="F2323" s="1" t="s">
        <v>13162</v>
      </c>
      <c r="G2323" s="1" t="s">
        <v>13163</v>
      </c>
      <c r="H2323" s="1" t="s">
        <v>13161</v>
      </c>
    </row>
    <row r="2324" spans="1:8" x14ac:dyDescent="0.3">
      <c r="A2324" s="2" t="s">
        <v>13164</v>
      </c>
      <c r="B2324" s="1" t="s">
        <v>13007</v>
      </c>
      <c r="C2324" s="1" t="s">
        <v>13165</v>
      </c>
      <c r="D2324" s="1" t="s">
        <v>13166</v>
      </c>
      <c r="E2324" s="1" t="s">
        <v>13167</v>
      </c>
      <c r="F2324" s="1" t="s">
        <v>13168</v>
      </c>
      <c r="G2324" s="1" t="s">
        <v>13168</v>
      </c>
      <c r="H2324" s="1" t="s">
        <v>13169</v>
      </c>
    </row>
    <row r="2325" spans="1:8" x14ac:dyDescent="0.3">
      <c r="A2325" s="2">
        <v>32059</v>
      </c>
      <c r="B2325" s="1" t="s">
        <v>13170</v>
      </c>
    </row>
    <row r="2326" spans="1:8" x14ac:dyDescent="0.3">
      <c r="A2326" s="2" t="s">
        <v>13171</v>
      </c>
      <c r="B2326" s="1" t="s">
        <v>12999</v>
      </c>
      <c r="C2326" s="1" t="s">
        <v>13172</v>
      </c>
      <c r="D2326" s="1" t="s">
        <v>13173</v>
      </c>
      <c r="E2326" s="1" t="s">
        <v>13174</v>
      </c>
      <c r="F2326" s="1" t="s">
        <v>13175</v>
      </c>
      <c r="G2326" s="1" t="s">
        <v>13176</v>
      </c>
      <c r="H2326" s="1" t="s">
        <v>13177</v>
      </c>
    </row>
    <row r="2327" spans="1:8" x14ac:dyDescent="0.3">
      <c r="A2327" s="2" t="s">
        <v>13178</v>
      </c>
      <c r="B2327" s="1" t="s">
        <v>13007</v>
      </c>
      <c r="C2327" s="1" t="s">
        <v>13179</v>
      </c>
      <c r="D2327" s="1" t="s">
        <v>13180</v>
      </c>
      <c r="E2327" s="1" t="s">
        <v>13181</v>
      </c>
      <c r="F2327" s="1" t="s">
        <v>13182</v>
      </c>
      <c r="G2327" s="1" t="s">
        <v>13183</v>
      </c>
      <c r="H2327" s="1" t="s">
        <v>13184</v>
      </c>
    </row>
    <row r="2328" spans="1:8" x14ac:dyDescent="0.3">
      <c r="A2328" s="2">
        <v>32060</v>
      </c>
      <c r="B2328" s="1" t="s">
        <v>13185</v>
      </c>
    </row>
    <row r="2329" spans="1:8" x14ac:dyDescent="0.3">
      <c r="A2329" s="2" t="s">
        <v>13186</v>
      </c>
      <c r="B2329" s="1" t="s">
        <v>12999</v>
      </c>
      <c r="C2329" s="1" t="s">
        <v>13187</v>
      </c>
      <c r="D2329" s="1" t="s">
        <v>13188</v>
      </c>
      <c r="E2329" s="1" t="s">
        <v>13189</v>
      </c>
      <c r="F2329" s="1" t="s">
        <v>13190</v>
      </c>
      <c r="G2329" s="1" t="s">
        <v>13191</v>
      </c>
      <c r="H2329" s="1" t="s">
        <v>13192</v>
      </c>
    </row>
    <row r="2330" spans="1:8" x14ac:dyDescent="0.3">
      <c r="A2330" s="2" t="s">
        <v>13193</v>
      </c>
      <c r="B2330" s="1" t="s">
        <v>13007</v>
      </c>
      <c r="C2330" s="1" t="s">
        <v>13194</v>
      </c>
      <c r="D2330" s="1" t="s">
        <v>13195</v>
      </c>
      <c r="F2330" s="1" t="s">
        <v>13196</v>
      </c>
      <c r="G2330" s="1" t="s">
        <v>13197</v>
      </c>
      <c r="H2330" s="1" t="s">
        <v>13198</v>
      </c>
    </row>
    <row r="2331" spans="1:8" x14ac:dyDescent="0.3">
      <c r="A2331" s="2">
        <v>32061</v>
      </c>
      <c r="B2331" s="1" t="s">
        <v>13199</v>
      </c>
    </row>
    <row r="2332" spans="1:8" x14ac:dyDescent="0.3">
      <c r="A2332" s="2" t="s">
        <v>13200</v>
      </c>
      <c r="B2332" s="1" t="s">
        <v>12999</v>
      </c>
      <c r="C2332" s="1" t="s">
        <v>13201</v>
      </c>
      <c r="D2332" s="1" t="s">
        <v>13202</v>
      </c>
      <c r="E2332" s="1" t="s">
        <v>13203</v>
      </c>
      <c r="F2332" s="1" t="s">
        <v>13204</v>
      </c>
      <c r="G2332" s="1" t="s">
        <v>13205</v>
      </c>
      <c r="H2332" s="1" t="s">
        <v>13206</v>
      </c>
    </row>
    <row r="2333" spans="1:8" x14ac:dyDescent="0.3">
      <c r="A2333" s="2" t="s">
        <v>13207</v>
      </c>
      <c r="B2333" s="1" t="s">
        <v>13007</v>
      </c>
      <c r="C2333" s="1" t="s">
        <v>13208</v>
      </c>
      <c r="D2333" s="1" t="s">
        <v>13209</v>
      </c>
      <c r="E2333" s="1" t="s">
        <v>13210</v>
      </c>
      <c r="F2333" s="1" t="s">
        <v>13211</v>
      </c>
      <c r="G2333" s="1" t="s">
        <v>13212</v>
      </c>
      <c r="H2333" s="1" t="s">
        <v>13213</v>
      </c>
    </row>
    <row r="2334" spans="1:8" x14ac:dyDescent="0.3">
      <c r="A2334" s="2">
        <v>32062</v>
      </c>
      <c r="B2334" s="1" t="s">
        <v>13214</v>
      </c>
    </row>
    <row r="2335" spans="1:8" x14ac:dyDescent="0.3">
      <c r="A2335" s="2" t="s">
        <v>13215</v>
      </c>
      <c r="B2335" s="1" t="s">
        <v>12999</v>
      </c>
      <c r="C2335" s="1" t="s">
        <v>13216</v>
      </c>
      <c r="D2335" s="1" t="s">
        <v>13217</v>
      </c>
      <c r="E2335" s="1" t="s">
        <v>13218</v>
      </c>
      <c r="F2335" s="1" t="s">
        <v>13219</v>
      </c>
      <c r="G2335" s="1" t="s">
        <v>13220</v>
      </c>
      <c r="H2335" s="1" t="s">
        <v>13221</v>
      </c>
    </row>
    <row r="2336" spans="1:8" x14ac:dyDescent="0.3">
      <c r="A2336" s="2" t="s">
        <v>13222</v>
      </c>
      <c r="B2336" s="1" t="s">
        <v>13007</v>
      </c>
      <c r="C2336" s="1" t="s">
        <v>13223</v>
      </c>
      <c r="D2336" s="1" t="s">
        <v>13224</v>
      </c>
      <c r="E2336" s="1" t="s">
        <v>13225</v>
      </c>
      <c r="F2336" s="1" t="s">
        <v>13226</v>
      </c>
      <c r="G2336" s="1" t="s">
        <v>13227</v>
      </c>
      <c r="H2336" s="1" t="s">
        <v>13228</v>
      </c>
    </row>
    <row r="2337" spans="1:8" x14ac:dyDescent="0.3">
      <c r="A2337" s="2">
        <v>32063</v>
      </c>
      <c r="B2337" s="1" t="s">
        <v>13229</v>
      </c>
    </row>
    <row r="2338" spans="1:8" x14ac:dyDescent="0.3">
      <c r="A2338" s="2" t="s">
        <v>13230</v>
      </c>
      <c r="B2338" s="1" t="s">
        <v>12999</v>
      </c>
      <c r="C2338" s="1" t="s">
        <v>13231</v>
      </c>
      <c r="D2338" s="1" t="s">
        <v>13232</v>
      </c>
      <c r="E2338" s="1" t="s">
        <v>13233</v>
      </c>
      <c r="F2338" s="1" t="s">
        <v>13234</v>
      </c>
      <c r="G2338" s="1" t="s">
        <v>13235</v>
      </c>
      <c r="H2338" s="1" t="s">
        <v>13236</v>
      </c>
    </row>
    <row r="2339" spans="1:8" x14ac:dyDescent="0.3">
      <c r="A2339" s="2" t="s">
        <v>13237</v>
      </c>
      <c r="B2339" s="1" t="s">
        <v>13007</v>
      </c>
      <c r="C2339" s="1" t="s">
        <v>13194</v>
      </c>
      <c r="D2339" s="1" t="s">
        <v>13238</v>
      </c>
      <c r="E2339" s="1" t="s">
        <v>13239</v>
      </c>
      <c r="F2339" s="1" t="s">
        <v>13240</v>
      </c>
      <c r="G2339" s="1" t="s">
        <v>13241</v>
      </c>
      <c r="H2339" s="1" t="s">
        <v>13242</v>
      </c>
    </row>
    <row r="2340" spans="1:8" x14ac:dyDescent="0.3">
      <c r="A2340" s="2">
        <v>32064</v>
      </c>
      <c r="B2340" s="1" t="s">
        <v>13243</v>
      </c>
    </row>
    <row r="2341" spans="1:8" x14ac:dyDescent="0.3">
      <c r="A2341" s="2" t="s">
        <v>13244</v>
      </c>
      <c r="B2341" s="1" t="s">
        <v>12999</v>
      </c>
      <c r="C2341" s="1" t="s">
        <v>13245</v>
      </c>
      <c r="D2341" s="1" t="s">
        <v>13246</v>
      </c>
      <c r="E2341" s="1" t="s">
        <v>13247</v>
      </c>
      <c r="F2341" s="1" t="s">
        <v>13248</v>
      </c>
      <c r="G2341" s="1" t="s">
        <v>13249</v>
      </c>
      <c r="H2341" s="1" t="s">
        <v>13250</v>
      </c>
    </row>
    <row r="2342" spans="1:8" x14ac:dyDescent="0.3">
      <c r="A2342" s="2" t="s">
        <v>13251</v>
      </c>
      <c r="B2342" s="1" t="s">
        <v>13007</v>
      </c>
      <c r="C2342" s="1" t="s">
        <v>13252</v>
      </c>
      <c r="D2342" s="1" t="s">
        <v>13253</v>
      </c>
      <c r="E2342" s="1" t="s">
        <v>13254</v>
      </c>
      <c r="F2342" s="1" t="s">
        <v>13255</v>
      </c>
      <c r="G2342" s="1" t="s">
        <v>13256</v>
      </c>
      <c r="H2342" s="1" t="s">
        <v>13257</v>
      </c>
    </row>
    <row r="2343" spans="1:8" x14ac:dyDescent="0.3">
      <c r="A2343" s="2">
        <v>32065</v>
      </c>
      <c r="B2343" s="1" t="s">
        <v>13258</v>
      </c>
    </row>
    <row r="2344" spans="1:8" x14ac:dyDescent="0.3">
      <c r="A2344" s="2" t="s">
        <v>13259</v>
      </c>
      <c r="B2344" s="1" t="s">
        <v>12999</v>
      </c>
      <c r="C2344" s="1" t="s">
        <v>13260</v>
      </c>
      <c r="D2344" s="1" t="s">
        <v>13261</v>
      </c>
      <c r="E2344" s="1" t="s">
        <v>13262</v>
      </c>
      <c r="F2344" s="1" t="s">
        <v>13263</v>
      </c>
      <c r="G2344" s="1" t="s">
        <v>13264</v>
      </c>
      <c r="H2344" s="1" t="s">
        <v>13265</v>
      </c>
    </row>
    <row r="2345" spans="1:8" x14ac:dyDescent="0.3">
      <c r="A2345" s="2" t="s">
        <v>13266</v>
      </c>
      <c r="B2345" s="1" t="s">
        <v>13007</v>
      </c>
      <c r="C2345" s="1" t="s">
        <v>13267</v>
      </c>
      <c r="D2345" s="1" t="s">
        <v>13268</v>
      </c>
      <c r="E2345" s="1" t="s">
        <v>13269</v>
      </c>
      <c r="F2345" s="1" t="s">
        <v>13270</v>
      </c>
      <c r="G2345" s="1" t="s">
        <v>13271</v>
      </c>
      <c r="H2345" s="1" t="s">
        <v>13272</v>
      </c>
    </row>
    <row r="2346" spans="1:8" x14ac:dyDescent="0.3">
      <c r="A2346" s="2">
        <v>32066</v>
      </c>
      <c r="B2346" s="1" t="s">
        <v>13273</v>
      </c>
    </row>
    <row r="2347" spans="1:8" x14ac:dyDescent="0.3">
      <c r="A2347" s="2" t="s">
        <v>13274</v>
      </c>
      <c r="B2347" s="1" t="s">
        <v>12999</v>
      </c>
      <c r="C2347" s="1" t="s">
        <v>13275</v>
      </c>
      <c r="D2347" s="1" t="s">
        <v>13276</v>
      </c>
      <c r="E2347" s="1" t="s">
        <v>13277</v>
      </c>
      <c r="F2347" s="1" t="s">
        <v>13278</v>
      </c>
      <c r="G2347" s="1" t="s">
        <v>13279</v>
      </c>
      <c r="H2347" s="1" t="s">
        <v>13280</v>
      </c>
    </row>
    <row r="2348" spans="1:8" x14ac:dyDescent="0.3">
      <c r="A2348" s="2" t="s">
        <v>13281</v>
      </c>
      <c r="B2348" s="1" t="s">
        <v>13007</v>
      </c>
      <c r="C2348" s="1" t="s">
        <v>13282</v>
      </c>
      <c r="D2348" s="1" t="s">
        <v>13283</v>
      </c>
      <c r="E2348" s="1" t="s">
        <v>13284</v>
      </c>
      <c r="F2348" s="1" t="s">
        <v>13285</v>
      </c>
      <c r="G2348" s="1" t="s">
        <v>13286</v>
      </c>
      <c r="H2348" s="1" t="s">
        <v>13287</v>
      </c>
    </row>
    <row r="2349" spans="1:8" x14ac:dyDescent="0.3">
      <c r="A2349" s="2">
        <v>32067</v>
      </c>
      <c r="B2349" s="1" t="s">
        <v>13288</v>
      </c>
    </row>
    <row r="2350" spans="1:8" x14ac:dyDescent="0.3">
      <c r="A2350" s="2" t="s">
        <v>13289</v>
      </c>
      <c r="B2350" s="1" t="s">
        <v>12999</v>
      </c>
      <c r="C2350" s="1" t="s">
        <v>13290</v>
      </c>
      <c r="D2350" s="1" t="s">
        <v>13291</v>
      </c>
      <c r="E2350" s="1" t="s">
        <v>13292</v>
      </c>
      <c r="F2350" s="1" t="s">
        <v>13293</v>
      </c>
      <c r="G2350" s="1" t="s">
        <v>13294</v>
      </c>
      <c r="H2350" s="1" t="s">
        <v>13295</v>
      </c>
    </row>
    <row r="2351" spans="1:8" x14ac:dyDescent="0.3">
      <c r="A2351" s="2" t="s">
        <v>13296</v>
      </c>
      <c r="B2351" s="1" t="s">
        <v>13007</v>
      </c>
      <c r="C2351" s="1" t="s">
        <v>13297</v>
      </c>
      <c r="D2351" s="1" t="s">
        <v>13298</v>
      </c>
      <c r="E2351" s="1" t="s">
        <v>13299</v>
      </c>
      <c r="F2351" s="1" t="s">
        <v>13300</v>
      </c>
      <c r="G2351" s="1" t="s">
        <v>13301</v>
      </c>
      <c r="H2351" s="1" t="s">
        <v>13302</v>
      </c>
    </row>
    <row r="2352" spans="1:8" x14ac:dyDescent="0.3">
      <c r="A2352" s="2">
        <v>32068</v>
      </c>
      <c r="B2352" s="1" t="s">
        <v>13303</v>
      </c>
    </row>
    <row r="2353" spans="1:8" x14ac:dyDescent="0.3">
      <c r="A2353" s="2" t="s">
        <v>13304</v>
      </c>
      <c r="B2353" s="1" t="s">
        <v>12999</v>
      </c>
      <c r="C2353" s="1" t="s">
        <v>13305</v>
      </c>
      <c r="D2353" s="1" t="s">
        <v>13306</v>
      </c>
      <c r="E2353" s="1" t="s">
        <v>13307</v>
      </c>
      <c r="F2353" s="1" t="s">
        <v>13308</v>
      </c>
      <c r="G2353" s="1" t="s">
        <v>13309</v>
      </c>
      <c r="H2353" s="1" t="s">
        <v>13310</v>
      </c>
    </row>
    <row r="2354" spans="1:8" x14ac:dyDescent="0.3">
      <c r="A2354" s="2" t="s">
        <v>13311</v>
      </c>
      <c r="B2354" s="1" t="s">
        <v>13007</v>
      </c>
      <c r="C2354" s="1" t="s">
        <v>13312</v>
      </c>
      <c r="E2354" s="1" t="s">
        <v>13313</v>
      </c>
      <c r="F2354" s="1" t="s">
        <v>12060</v>
      </c>
      <c r="G2354" s="1" t="s">
        <v>13314</v>
      </c>
      <c r="H2354" s="1" t="s">
        <v>13315</v>
      </c>
    </row>
    <row r="2355" spans="1:8" x14ac:dyDescent="0.3">
      <c r="A2355" s="2">
        <v>32069</v>
      </c>
      <c r="B2355" s="1" t="s">
        <v>13316</v>
      </c>
    </row>
    <row r="2356" spans="1:8" x14ac:dyDescent="0.3">
      <c r="A2356" s="2" t="s">
        <v>13317</v>
      </c>
      <c r="B2356" s="1" t="s">
        <v>12999</v>
      </c>
      <c r="C2356" s="1" t="s">
        <v>13318</v>
      </c>
      <c r="D2356" s="1" t="s">
        <v>13319</v>
      </c>
      <c r="E2356" s="1" t="s">
        <v>13320</v>
      </c>
      <c r="F2356" s="1" t="s">
        <v>13321</v>
      </c>
      <c r="G2356" s="1" t="s">
        <v>13322</v>
      </c>
      <c r="H2356" s="1" t="s">
        <v>13323</v>
      </c>
    </row>
    <row r="2357" spans="1:8" x14ac:dyDescent="0.3">
      <c r="A2357" s="2" t="s">
        <v>13324</v>
      </c>
      <c r="B2357" s="1" t="s">
        <v>13007</v>
      </c>
      <c r="C2357" s="1" t="s">
        <v>13325</v>
      </c>
      <c r="D2357" s="1" t="s">
        <v>13326</v>
      </c>
      <c r="E2357" s="1" t="s">
        <v>13327</v>
      </c>
      <c r="F2357" s="1" t="s">
        <v>13328</v>
      </c>
      <c r="G2357" s="1" t="s">
        <v>13329</v>
      </c>
      <c r="H2357" s="1" t="s">
        <v>13330</v>
      </c>
    </row>
    <row r="2358" spans="1:8" x14ac:dyDescent="0.3">
      <c r="A2358" s="2">
        <v>32070</v>
      </c>
      <c r="B2358" s="1" t="s">
        <v>13331</v>
      </c>
    </row>
    <row r="2359" spans="1:8" x14ac:dyDescent="0.3">
      <c r="A2359" s="2" t="s">
        <v>13332</v>
      </c>
      <c r="B2359" s="1" t="s">
        <v>12999</v>
      </c>
      <c r="C2359" s="1" t="s">
        <v>13333</v>
      </c>
      <c r="D2359" s="1" t="s">
        <v>13334</v>
      </c>
      <c r="E2359" s="1" t="s">
        <v>13335</v>
      </c>
      <c r="F2359" s="1" t="s">
        <v>13336</v>
      </c>
      <c r="G2359" s="1" t="s">
        <v>13337</v>
      </c>
      <c r="H2359" s="1" t="s">
        <v>13338</v>
      </c>
    </row>
    <row r="2360" spans="1:8" x14ac:dyDescent="0.3">
      <c r="A2360" s="2" t="s">
        <v>13339</v>
      </c>
      <c r="B2360" s="1" t="s">
        <v>13007</v>
      </c>
      <c r="C2360" s="1" t="s">
        <v>13340</v>
      </c>
      <c r="D2360" s="1" t="s">
        <v>13341</v>
      </c>
      <c r="E2360" s="1" t="s">
        <v>13342</v>
      </c>
      <c r="F2360" s="1" t="s">
        <v>13343</v>
      </c>
      <c r="G2360" s="1" t="s">
        <v>13343</v>
      </c>
      <c r="H2360" s="1" t="s">
        <v>13344</v>
      </c>
    </row>
    <row r="2361" spans="1:8" x14ac:dyDescent="0.3">
      <c r="A2361" s="2">
        <v>32071</v>
      </c>
      <c r="B2361" s="1" t="s">
        <v>13345</v>
      </c>
    </row>
    <row r="2362" spans="1:8" x14ac:dyDescent="0.3">
      <c r="A2362" s="2" t="s">
        <v>13346</v>
      </c>
      <c r="B2362" s="1" t="s">
        <v>12999</v>
      </c>
      <c r="C2362" s="1" t="s">
        <v>13347</v>
      </c>
      <c r="D2362" s="1" t="s">
        <v>13348</v>
      </c>
      <c r="E2362" s="1" t="s">
        <v>13349</v>
      </c>
      <c r="F2362" s="1" t="s">
        <v>13350</v>
      </c>
      <c r="G2362" s="1" t="s">
        <v>13351</v>
      </c>
      <c r="H2362" s="1" t="s">
        <v>13352</v>
      </c>
    </row>
    <row r="2363" spans="1:8" x14ac:dyDescent="0.3">
      <c r="A2363" s="2" t="s">
        <v>13353</v>
      </c>
      <c r="B2363" s="1" t="s">
        <v>13007</v>
      </c>
      <c r="C2363" s="1" t="s">
        <v>13354</v>
      </c>
      <c r="D2363" s="1" t="s">
        <v>13355</v>
      </c>
      <c r="E2363" s="1" t="s">
        <v>13356</v>
      </c>
      <c r="F2363" s="1" t="s">
        <v>13357</v>
      </c>
      <c r="G2363" s="1" t="s">
        <v>13358</v>
      </c>
      <c r="H2363" s="1" t="s">
        <v>13359</v>
      </c>
    </row>
    <row r="2364" spans="1:8" x14ac:dyDescent="0.3">
      <c r="A2364" s="2">
        <v>32072</v>
      </c>
      <c r="B2364" s="1" t="s">
        <v>13360</v>
      </c>
    </row>
    <row r="2365" spans="1:8" x14ac:dyDescent="0.3">
      <c r="A2365" s="2" t="s">
        <v>13361</v>
      </c>
      <c r="B2365" s="1" t="s">
        <v>12999</v>
      </c>
      <c r="C2365" s="1" t="s">
        <v>13362</v>
      </c>
      <c r="D2365" s="1" t="s">
        <v>13363</v>
      </c>
      <c r="E2365" s="1" t="s">
        <v>13364</v>
      </c>
      <c r="F2365" s="1" t="s">
        <v>13365</v>
      </c>
      <c r="G2365" s="1" t="s">
        <v>13366</v>
      </c>
      <c r="H2365" s="1" t="s">
        <v>13367</v>
      </c>
    </row>
    <row r="2366" spans="1:8" x14ac:dyDescent="0.3">
      <c r="A2366" s="2" t="s">
        <v>13368</v>
      </c>
      <c r="B2366" s="1" t="s">
        <v>13007</v>
      </c>
      <c r="D2366" s="1" t="s">
        <v>13369</v>
      </c>
      <c r="E2366" s="1" t="s">
        <v>13370</v>
      </c>
      <c r="F2366" s="1" t="s">
        <v>13371</v>
      </c>
      <c r="G2366" s="1" t="s">
        <v>13371</v>
      </c>
      <c r="H2366" s="1" t="s">
        <v>13372</v>
      </c>
    </row>
    <row r="2367" spans="1:8" x14ac:dyDescent="0.3">
      <c r="A2367" s="2">
        <v>32073</v>
      </c>
      <c r="B2367" s="1" t="s">
        <v>13373</v>
      </c>
    </row>
    <row r="2368" spans="1:8" x14ac:dyDescent="0.3">
      <c r="A2368" s="2" t="s">
        <v>13374</v>
      </c>
      <c r="B2368" s="1" t="s">
        <v>12999</v>
      </c>
      <c r="C2368" s="1" t="s">
        <v>13375</v>
      </c>
      <c r="D2368" s="1" t="s">
        <v>13376</v>
      </c>
      <c r="E2368" s="1" t="s">
        <v>13377</v>
      </c>
      <c r="F2368" s="1" t="s">
        <v>13378</v>
      </c>
      <c r="G2368" s="1" t="s">
        <v>13379</v>
      </c>
      <c r="H2368" s="1" t="s">
        <v>13380</v>
      </c>
    </row>
    <row r="2369" spans="1:8" x14ac:dyDescent="0.3">
      <c r="A2369" s="2" t="s">
        <v>13381</v>
      </c>
      <c r="B2369" s="1" t="s">
        <v>13007</v>
      </c>
      <c r="C2369" s="1" t="s">
        <v>13382</v>
      </c>
      <c r="D2369" s="1" t="s">
        <v>13383</v>
      </c>
      <c r="E2369" s="1" t="s">
        <v>13384</v>
      </c>
      <c r="F2369" s="1" t="s">
        <v>13385</v>
      </c>
      <c r="G2369" s="1" t="s">
        <v>13386</v>
      </c>
      <c r="H2369" s="1" t="s">
        <v>13387</v>
      </c>
    </row>
    <row r="2370" spans="1:8" x14ac:dyDescent="0.3">
      <c r="A2370" s="2">
        <v>32074</v>
      </c>
      <c r="B2370" s="1" t="s">
        <v>13388</v>
      </c>
    </row>
    <row r="2371" spans="1:8" x14ac:dyDescent="0.3">
      <c r="A2371" s="2" t="s">
        <v>13389</v>
      </c>
      <c r="B2371" s="1" t="s">
        <v>12999</v>
      </c>
      <c r="C2371" s="1" t="s">
        <v>13390</v>
      </c>
      <c r="D2371" s="1" t="s">
        <v>13391</v>
      </c>
      <c r="E2371" s="1" t="s">
        <v>13392</v>
      </c>
      <c r="F2371" s="1" t="s">
        <v>13393</v>
      </c>
      <c r="G2371" s="1" t="s">
        <v>13394</v>
      </c>
      <c r="H2371" s="1" t="s">
        <v>13395</v>
      </c>
    </row>
    <row r="2372" spans="1:8" x14ac:dyDescent="0.3">
      <c r="A2372" s="2" t="s">
        <v>13396</v>
      </c>
      <c r="B2372" s="1" t="s">
        <v>13007</v>
      </c>
      <c r="C2372" s="1" t="s">
        <v>13397</v>
      </c>
      <c r="D2372" s="1" t="s">
        <v>13398</v>
      </c>
      <c r="E2372" s="1" t="s">
        <v>13399</v>
      </c>
      <c r="F2372" s="1" t="s">
        <v>13400</v>
      </c>
      <c r="G2372" s="1" t="s">
        <v>13401</v>
      </c>
      <c r="H2372" s="1" t="s">
        <v>13402</v>
      </c>
    </row>
    <row r="2373" spans="1:8" x14ac:dyDescent="0.3">
      <c r="A2373" s="2">
        <v>32075</v>
      </c>
      <c r="B2373" s="1" t="s">
        <v>13403</v>
      </c>
      <c r="F2373" s="1" t="s">
        <v>13404</v>
      </c>
    </row>
    <row r="2374" spans="1:8" x14ac:dyDescent="0.3">
      <c r="A2374" s="2" t="s">
        <v>13405</v>
      </c>
      <c r="B2374" s="1" t="s">
        <v>12999</v>
      </c>
      <c r="C2374" s="1" t="s">
        <v>13406</v>
      </c>
      <c r="D2374" s="1" t="s">
        <v>13407</v>
      </c>
      <c r="E2374" s="1" t="s">
        <v>13408</v>
      </c>
      <c r="F2374" s="1" t="s">
        <v>13409</v>
      </c>
      <c r="G2374" s="1" t="s">
        <v>13410</v>
      </c>
      <c r="H2374" s="1" t="s">
        <v>13411</v>
      </c>
    </row>
    <row r="2375" spans="1:8" x14ac:dyDescent="0.3">
      <c r="A2375" s="2" t="s">
        <v>13412</v>
      </c>
      <c r="B2375" s="1" t="s">
        <v>13007</v>
      </c>
      <c r="C2375" s="1" t="s">
        <v>13413</v>
      </c>
      <c r="D2375" s="1" t="s">
        <v>13414</v>
      </c>
      <c r="E2375" s="1" t="s">
        <v>13415</v>
      </c>
      <c r="F2375" s="1" t="s">
        <v>13416</v>
      </c>
      <c r="G2375" s="1" t="s">
        <v>13417</v>
      </c>
      <c r="H2375" s="1" t="s">
        <v>13418</v>
      </c>
    </row>
    <row r="2376" spans="1:8" x14ac:dyDescent="0.3">
      <c r="A2376" s="2">
        <v>32076</v>
      </c>
      <c r="B2376" s="1" t="s">
        <v>13419</v>
      </c>
    </row>
    <row r="2377" spans="1:8" x14ac:dyDescent="0.3">
      <c r="A2377" s="2" t="s">
        <v>13420</v>
      </c>
      <c r="B2377" s="1" t="s">
        <v>12999</v>
      </c>
      <c r="C2377" s="1" t="s">
        <v>13421</v>
      </c>
      <c r="D2377" s="1" t="s">
        <v>13422</v>
      </c>
      <c r="E2377" s="1" t="s">
        <v>13423</v>
      </c>
      <c r="F2377" s="1" t="s">
        <v>13424</v>
      </c>
      <c r="G2377" s="1" t="s">
        <v>13425</v>
      </c>
      <c r="H2377" s="1" t="s">
        <v>13426</v>
      </c>
    </row>
    <row r="2378" spans="1:8" x14ac:dyDescent="0.3">
      <c r="A2378" s="2" t="s">
        <v>13427</v>
      </c>
      <c r="B2378" s="1" t="s">
        <v>13007</v>
      </c>
      <c r="C2378" s="1" t="s">
        <v>13428</v>
      </c>
      <c r="D2378" s="1" t="s">
        <v>13429</v>
      </c>
      <c r="E2378" s="1" t="s">
        <v>13430</v>
      </c>
      <c r="F2378" s="1" t="s">
        <v>13431</v>
      </c>
      <c r="G2378" s="1" t="s">
        <v>13432</v>
      </c>
      <c r="H2378" s="1" t="s">
        <v>13433</v>
      </c>
    </row>
    <row r="2379" spans="1:8" x14ac:dyDescent="0.3">
      <c r="A2379" s="2">
        <v>32077</v>
      </c>
      <c r="B2379" s="1" t="s">
        <v>19625</v>
      </c>
    </row>
    <row r="2380" spans="1:8" x14ac:dyDescent="0.3">
      <c r="A2380" s="2" t="s">
        <v>13434</v>
      </c>
      <c r="B2380" s="1" t="s">
        <v>12999</v>
      </c>
      <c r="C2380" s="1" t="s">
        <v>13435</v>
      </c>
      <c r="E2380" s="1" t="s">
        <v>13436</v>
      </c>
      <c r="F2380" s="1" t="s">
        <v>13437</v>
      </c>
      <c r="G2380" s="1" t="s">
        <v>13438</v>
      </c>
      <c r="H2380" s="1" t="s">
        <v>13439</v>
      </c>
    </row>
    <row r="2381" spans="1:8" x14ac:dyDescent="0.3">
      <c r="A2381" s="2" t="s">
        <v>13440</v>
      </c>
      <c r="B2381" s="1" t="s">
        <v>13007</v>
      </c>
      <c r="C2381" s="1" t="s">
        <v>13441</v>
      </c>
      <c r="D2381" s="1" t="s">
        <v>13442</v>
      </c>
      <c r="E2381" s="1" t="s">
        <v>13443</v>
      </c>
      <c r="F2381" s="1" t="s">
        <v>11519</v>
      </c>
      <c r="G2381" s="1" t="s">
        <v>13444</v>
      </c>
      <c r="H2381" s="1" t="s">
        <v>13445</v>
      </c>
    </row>
    <row r="2382" spans="1:8" x14ac:dyDescent="0.3">
      <c r="A2382" s="2">
        <v>32078</v>
      </c>
      <c r="B2382" s="1" t="s">
        <v>13446</v>
      </c>
    </row>
    <row r="2383" spans="1:8" x14ac:dyDescent="0.3">
      <c r="A2383" s="2" t="s">
        <v>13447</v>
      </c>
      <c r="B2383" s="1" t="s">
        <v>12999</v>
      </c>
      <c r="C2383" s="1" t="s">
        <v>13448</v>
      </c>
      <c r="D2383" s="1" t="s">
        <v>13449</v>
      </c>
      <c r="E2383" s="1" t="s">
        <v>13450</v>
      </c>
      <c r="F2383" s="1" t="s">
        <v>13451</v>
      </c>
      <c r="G2383" s="1" t="s">
        <v>13452</v>
      </c>
      <c r="H2383" s="1" t="s">
        <v>13439</v>
      </c>
    </row>
    <row r="2384" spans="1:8" x14ac:dyDescent="0.3">
      <c r="A2384" s="2" t="s">
        <v>13453</v>
      </c>
      <c r="B2384" s="1" t="s">
        <v>13007</v>
      </c>
      <c r="C2384" s="1" t="s">
        <v>13454</v>
      </c>
      <c r="D2384" s="1" t="s">
        <v>13455</v>
      </c>
      <c r="E2384" s="1" t="s">
        <v>13456</v>
      </c>
      <c r="F2384" s="1" t="s">
        <v>13457</v>
      </c>
      <c r="G2384" s="1" t="s">
        <v>13458</v>
      </c>
      <c r="H2384" s="1" t="s">
        <v>13459</v>
      </c>
    </row>
    <row r="2385" spans="1:8" x14ac:dyDescent="0.3">
      <c r="A2385" s="2">
        <v>32079</v>
      </c>
      <c r="B2385" s="1" t="s">
        <v>13460</v>
      </c>
    </row>
    <row r="2386" spans="1:8" x14ac:dyDescent="0.3">
      <c r="A2386" s="2" t="s">
        <v>13461</v>
      </c>
      <c r="B2386" s="1" t="s">
        <v>12999</v>
      </c>
      <c r="C2386" s="1" t="s">
        <v>13462</v>
      </c>
      <c r="D2386" s="1" t="s">
        <v>13463</v>
      </c>
      <c r="E2386" s="1" t="s">
        <v>13464</v>
      </c>
      <c r="F2386" s="1" t="s">
        <v>13465</v>
      </c>
      <c r="G2386" s="1" t="s">
        <v>13465</v>
      </c>
      <c r="H2386" s="1" t="s">
        <v>13466</v>
      </c>
    </row>
    <row r="2387" spans="1:8" x14ac:dyDescent="0.3">
      <c r="A2387" s="2" t="s">
        <v>13467</v>
      </c>
      <c r="B2387" s="1" t="s">
        <v>13007</v>
      </c>
      <c r="C2387" s="1" t="s">
        <v>13468</v>
      </c>
      <c r="D2387" s="1" t="s">
        <v>13469</v>
      </c>
      <c r="E2387" s="1" t="s">
        <v>13470</v>
      </c>
      <c r="F2387" s="1" t="s">
        <v>13471</v>
      </c>
      <c r="G2387" s="1" t="s">
        <v>13472</v>
      </c>
      <c r="H2387" s="1" t="s">
        <v>13473</v>
      </c>
    </row>
    <row r="2388" spans="1:8" x14ac:dyDescent="0.3">
      <c r="A2388" s="2">
        <v>32080</v>
      </c>
      <c r="B2388" s="1" t="s">
        <v>13474</v>
      </c>
    </row>
    <row r="2389" spans="1:8" x14ac:dyDescent="0.3">
      <c r="A2389" s="2" t="s">
        <v>13475</v>
      </c>
      <c r="B2389" s="1" t="s">
        <v>12999</v>
      </c>
      <c r="C2389" s="1" t="s">
        <v>13476</v>
      </c>
      <c r="D2389" s="1" t="s">
        <v>13477</v>
      </c>
      <c r="E2389" s="1" t="s">
        <v>13478</v>
      </c>
      <c r="F2389" s="1" t="s">
        <v>13479</v>
      </c>
      <c r="G2389" s="1" t="s">
        <v>13480</v>
      </c>
      <c r="H2389" s="1" t="s">
        <v>13481</v>
      </c>
    </row>
    <row r="2390" spans="1:8" x14ac:dyDescent="0.3">
      <c r="A2390" s="2" t="s">
        <v>13482</v>
      </c>
      <c r="B2390" s="1" t="s">
        <v>13007</v>
      </c>
      <c r="C2390" s="1" t="s">
        <v>13483</v>
      </c>
      <c r="D2390" s="1" t="s">
        <v>13484</v>
      </c>
      <c r="E2390" s="1" t="s">
        <v>13485</v>
      </c>
      <c r="F2390" s="1" t="s">
        <v>13486</v>
      </c>
      <c r="G2390" s="1" t="s">
        <v>13487</v>
      </c>
      <c r="H2390" s="1" t="s">
        <v>13488</v>
      </c>
    </row>
    <row r="2391" spans="1:8" x14ac:dyDescent="0.3">
      <c r="A2391" s="2">
        <v>32081</v>
      </c>
      <c r="B2391" s="1" t="s">
        <v>13489</v>
      </c>
    </row>
    <row r="2392" spans="1:8" x14ac:dyDescent="0.3">
      <c r="A2392" s="2" t="s">
        <v>13490</v>
      </c>
      <c r="B2392" s="1" t="s">
        <v>12999</v>
      </c>
      <c r="C2392" s="1" t="s">
        <v>13491</v>
      </c>
      <c r="D2392" s="1" t="s">
        <v>13492</v>
      </c>
      <c r="E2392" s="1" t="s">
        <v>13493</v>
      </c>
      <c r="F2392" s="1" t="s">
        <v>13494</v>
      </c>
      <c r="G2392" s="1" t="s">
        <v>13495</v>
      </c>
      <c r="H2392" s="1" t="s">
        <v>13496</v>
      </c>
    </row>
    <row r="2393" spans="1:8" x14ac:dyDescent="0.3">
      <c r="A2393" s="2" t="s">
        <v>13497</v>
      </c>
      <c r="B2393" s="1" t="s">
        <v>13007</v>
      </c>
      <c r="C2393" s="1" t="s">
        <v>13498</v>
      </c>
      <c r="D2393" s="1" t="s">
        <v>13499</v>
      </c>
      <c r="E2393" s="1" t="s">
        <v>13500</v>
      </c>
      <c r="F2393" s="1" t="s">
        <v>13501</v>
      </c>
      <c r="G2393" s="1" t="s">
        <v>13502</v>
      </c>
      <c r="H2393" s="1" t="s">
        <v>13503</v>
      </c>
    </row>
    <row r="2394" spans="1:8" x14ac:dyDescent="0.3">
      <c r="A2394" s="2">
        <v>32082</v>
      </c>
      <c r="B2394" s="1" t="s">
        <v>13504</v>
      </c>
    </row>
    <row r="2395" spans="1:8" x14ac:dyDescent="0.3">
      <c r="A2395" s="2" t="s">
        <v>13505</v>
      </c>
      <c r="B2395" s="1" t="s">
        <v>12999</v>
      </c>
      <c r="C2395" s="1" t="s">
        <v>13506</v>
      </c>
      <c r="D2395" s="1" t="s">
        <v>13507</v>
      </c>
      <c r="E2395" s="1" t="s">
        <v>13508</v>
      </c>
      <c r="F2395" s="1" t="s">
        <v>13509</v>
      </c>
      <c r="G2395" s="1" t="s">
        <v>13510</v>
      </c>
      <c r="H2395" s="1" t="s">
        <v>13511</v>
      </c>
    </row>
    <row r="2396" spans="1:8" x14ac:dyDescent="0.3">
      <c r="A2396" s="2" t="s">
        <v>13512</v>
      </c>
      <c r="B2396" s="1" t="s">
        <v>13007</v>
      </c>
      <c r="C2396" s="1" t="s">
        <v>13513</v>
      </c>
      <c r="D2396" s="1" t="s">
        <v>13514</v>
      </c>
      <c r="E2396" s="1" t="s">
        <v>13515</v>
      </c>
      <c r="F2396" s="1" t="s">
        <v>13516</v>
      </c>
      <c r="G2396" s="1" t="s">
        <v>13517</v>
      </c>
      <c r="H2396" s="1" t="s">
        <v>13518</v>
      </c>
    </row>
    <row r="2397" spans="1:8" x14ac:dyDescent="0.3">
      <c r="A2397" s="2">
        <v>32083</v>
      </c>
      <c r="B2397" s="1" t="s">
        <v>13519</v>
      </c>
    </row>
    <row r="2398" spans="1:8" x14ac:dyDescent="0.3">
      <c r="A2398" s="2" t="s">
        <v>13520</v>
      </c>
      <c r="B2398" s="1" t="s">
        <v>12999</v>
      </c>
      <c r="C2398" s="1" t="s">
        <v>13521</v>
      </c>
      <c r="D2398" s="1" t="s">
        <v>13522</v>
      </c>
      <c r="E2398" s="1" t="s">
        <v>13523</v>
      </c>
      <c r="F2398" s="1" t="s">
        <v>13524</v>
      </c>
      <c r="G2398" s="1" t="s">
        <v>13523</v>
      </c>
      <c r="H2398" s="1" t="s">
        <v>13525</v>
      </c>
    </row>
    <row r="2399" spans="1:8" x14ac:dyDescent="0.3">
      <c r="A2399" s="2" t="s">
        <v>13526</v>
      </c>
      <c r="B2399" s="1" t="s">
        <v>13007</v>
      </c>
      <c r="C2399" s="1" t="s">
        <v>13527</v>
      </c>
      <c r="D2399" s="1" t="s">
        <v>13528</v>
      </c>
      <c r="E2399" s="1" t="s">
        <v>13529</v>
      </c>
      <c r="F2399" s="1" t="s">
        <v>13530</v>
      </c>
      <c r="G2399" s="1" t="s">
        <v>13530</v>
      </c>
      <c r="H2399" s="1" t="s">
        <v>13531</v>
      </c>
    </row>
    <row r="2400" spans="1:8" x14ac:dyDescent="0.3">
      <c r="A2400" s="2">
        <v>32084</v>
      </c>
      <c r="B2400" s="1" t="s">
        <v>13532</v>
      </c>
    </row>
    <row r="2401" spans="1:8" x14ac:dyDescent="0.3">
      <c r="A2401" s="2" t="s">
        <v>13533</v>
      </c>
      <c r="B2401" s="1" t="s">
        <v>12999</v>
      </c>
      <c r="C2401" s="1" t="s">
        <v>13534</v>
      </c>
      <c r="D2401" s="1" t="s">
        <v>13535</v>
      </c>
      <c r="E2401" s="1" t="s">
        <v>13536</v>
      </c>
      <c r="F2401" s="1" t="s">
        <v>13537</v>
      </c>
      <c r="G2401" s="1" t="s">
        <v>13538</v>
      </c>
      <c r="H2401" s="1" t="s">
        <v>13539</v>
      </c>
    </row>
    <row r="2402" spans="1:8" x14ac:dyDescent="0.3">
      <c r="A2402" s="2" t="s">
        <v>13540</v>
      </c>
      <c r="B2402" s="1" t="s">
        <v>13007</v>
      </c>
      <c r="C2402" s="1" t="s">
        <v>13541</v>
      </c>
      <c r="D2402" s="1" t="s">
        <v>13542</v>
      </c>
      <c r="E2402" s="1" t="s">
        <v>13543</v>
      </c>
      <c r="F2402" s="1" t="s">
        <v>13544</v>
      </c>
      <c r="G2402" s="1" t="s">
        <v>13545</v>
      </c>
      <c r="H2402" s="1" t="s">
        <v>13546</v>
      </c>
    </row>
    <row r="2403" spans="1:8" x14ac:dyDescent="0.3">
      <c r="A2403" s="2">
        <v>32085</v>
      </c>
      <c r="B2403" s="1" t="s">
        <v>13547</v>
      </c>
    </row>
    <row r="2404" spans="1:8" x14ac:dyDescent="0.3">
      <c r="A2404" s="2" t="s">
        <v>13548</v>
      </c>
      <c r="B2404" s="1" t="s">
        <v>12999</v>
      </c>
      <c r="C2404" s="1" t="s">
        <v>13549</v>
      </c>
      <c r="D2404" s="1" t="s">
        <v>13550</v>
      </c>
      <c r="E2404" s="1" t="s">
        <v>13551</v>
      </c>
      <c r="F2404" s="1" t="s">
        <v>13552</v>
      </c>
      <c r="G2404" s="1" t="s">
        <v>13553</v>
      </c>
      <c r="H2404" s="1" t="s">
        <v>13554</v>
      </c>
    </row>
    <row r="2405" spans="1:8" x14ac:dyDescent="0.3">
      <c r="A2405" s="2" t="s">
        <v>13555</v>
      </c>
      <c r="B2405" s="1" t="s">
        <v>13007</v>
      </c>
      <c r="C2405" s="1" t="s">
        <v>13556</v>
      </c>
      <c r="D2405" s="1" t="s">
        <v>13557</v>
      </c>
      <c r="E2405" s="1" t="s">
        <v>13558</v>
      </c>
      <c r="F2405" s="1" t="s">
        <v>13559</v>
      </c>
      <c r="G2405" s="1" t="s">
        <v>13560</v>
      </c>
      <c r="H2405" s="1" t="s">
        <v>13558</v>
      </c>
    </row>
    <row r="2406" spans="1:8" x14ac:dyDescent="0.3">
      <c r="A2406" s="2">
        <v>32086</v>
      </c>
      <c r="B2406" s="1" t="s">
        <v>13561</v>
      </c>
    </row>
    <row r="2407" spans="1:8" x14ac:dyDescent="0.3">
      <c r="A2407" s="2" t="s">
        <v>13562</v>
      </c>
      <c r="B2407" s="1" t="s">
        <v>12999</v>
      </c>
      <c r="C2407" s="1" t="s">
        <v>3830</v>
      </c>
      <c r="D2407" s="1" t="s">
        <v>13563</v>
      </c>
      <c r="E2407" s="1" t="s">
        <v>13564</v>
      </c>
      <c r="F2407" s="1" t="s">
        <v>13565</v>
      </c>
      <c r="G2407" s="1" t="s">
        <v>13566</v>
      </c>
      <c r="H2407" s="1" t="s">
        <v>13567</v>
      </c>
    </row>
    <row r="2408" spans="1:8" x14ac:dyDescent="0.3">
      <c r="A2408" s="2" t="s">
        <v>13568</v>
      </c>
      <c r="B2408" s="1" t="s">
        <v>13007</v>
      </c>
      <c r="C2408" s="1" t="s">
        <v>13569</v>
      </c>
      <c r="D2408" s="1" t="s">
        <v>13570</v>
      </c>
      <c r="E2408" s="1" t="s">
        <v>13571</v>
      </c>
      <c r="F2408" s="1" t="s">
        <v>13572</v>
      </c>
      <c r="G2408" s="1" t="s">
        <v>13573</v>
      </c>
      <c r="H2408" s="1" t="s">
        <v>13574</v>
      </c>
    </row>
    <row r="2409" spans="1:8" x14ac:dyDescent="0.3">
      <c r="A2409" s="2">
        <v>32087</v>
      </c>
      <c r="B2409" s="1" t="s">
        <v>13575</v>
      </c>
    </row>
    <row r="2410" spans="1:8" x14ac:dyDescent="0.3">
      <c r="A2410" s="2" t="s">
        <v>13576</v>
      </c>
      <c r="B2410" s="1" t="s">
        <v>12999</v>
      </c>
      <c r="C2410" s="1" t="s">
        <v>13577</v>
      </c>
      <c r="D2410" s="1" t="s">
        <v>13578</v>
      </c>
      <c r="E2410" s="1" t="s">
        <v>13579</v>
      </c>
      <c r="F2410" s="1" t="s">
        <v>13580</v>
      </c>
      <c r="G2410" s="1" t="s">
        <v>13581</v>
      </c>
      <c r="H2410" s="1" t="s">
        <v>13582</v>
      </c>
    </row>
    <row r="2411" spans="1:8" x14ac:dyDescent="0.3">
      <c r="A2411" s="2" t="s">
        <v>13583</v>
      </c>
      <c r="B2411" s="1" t="s">
        <v>13007</v>
      </c>
      <c r="C2411" s="1" t="s">
        <v>13584</v>
      </c>
      <c r="D2411" s="1" t="s">
        <v>13585</v>
      </c>
      <c r="E2411" s="1" t="s">
        <v>13586</v>
      </c>
      <c r="F2411" s="1" t="s">
        <v>13587</v>
      </c>
      <c r="G2411" s="1" t="s">
        <v>13588</v>
      </c>
      <c r="H2411" s="1" t="s">
        <v>13589</v>
      </c>
    </row>
    <row r="2412" spans="1:8" x14ac:dyDescent="0.3">
      <c r="A2412" s="2">
        <v>32088</v>
      </c>
      <c r="B2412" s="1" t="s">
        <v>13590</v>
      </c>
    </row>
    <row r="2413" spans="1:8" x14ac:dyDescent="0.3">
      <c r="A2413" s="2" t="s">
        <v>13591</v>
      </c>
      <c r="B2413" s="1" t="s">
        <v>12999</v>
      </c>
      <c r="C2413" s="1" t="s">
        <v>13592</v>
      </c>
      <c r="E2413" s="1" t="s">
        <v>13593</v>
      </c>
      <c r="F2413" s="1" t="s">
        <v>13594</v>
      </c>
      <c r="G2413" s="1" t="s">
        <v>13595</v>
      </c>
      <c r="H2413" s="1" t="s">
        <v>13596</v>
      </c>
    </row>
    <row r="2414" spans="1:8" x14ac:dyDescent="0.3">
      <c r="A2414" s="2" t="s">
        <v>13597</v>
      </c>
      <c r="B2414" s="1" t="s">
        <v>13007</v>
      </c>
      <c r="C2414" s="1" t="s">
        <v>13598</v>
      </c>
      <c r="D2414" s="1" t="s">
        <v>13599</v>
      </c>
      <c r="E2414" s="1" t="s">
        <v>13600</v>
      </c>
      <c r="F2414" s="1" t="s">
        <v>13599</v>
      </c>
      <c r="G2414" s="1" t="s">
        <v>13601</v>
      </c>
      <c r="H2414" s="1" t="s">
        <v>13602</v>
      </c>
    </row>
    <row r="2415" spans="1:8" x14ac:dyDescent="0.3">
      <c r="A2415" s="2">
        <v>32089</v>
      </c>
      <c r="B2415" s="1" t="s">
        <v>13603</v>
      </c>
    </row>
    <row r="2416" spans="1:8" x14ac:dyDescent="0.3">
      <c r="A2416" s="2" t="s">
        <v>13604</v>
      </c>
      <c r="B2416" s="1" t="s">
        <v>12999</v>
      </c>
      <c r="C2416" s="1" t="s">
        <v>13605</v>
      </c>
      <c r="D2416" s="1" t="s">
        <v>13606</v>
      </c>
      <c r="E2416" s="1" t="s">
        <v>13607</v>
      </c>
      <c r="G2416" s="1" t="s">
        <v>13608</v>
      </c>
      <c r="H2416" s="1" t="s">
        <v>13609</v>
      </c>
    </row>
    <row r="2417" spans="1:8" x14ac:dyDescent="0.3">
      <c r="A2417" s="2" t="s">
        <v>13610</v>
      </c>
      <c r="B2417" s="1" t="s">
        <v>13007</v>
      </c>
      <c r="D2417" s="1" t="s">
        <v>13611</v>
      </c>
      <c r="E2417" s="1" t="s">
        <v>13612</v>
      </c>
      <c r="F2417" s="1" t="s">
        <v>13613</v>
      </c>
      <c r="G2417" s="1" t="s">
        <v>13614</v>
      </c>
      <c r="H2417" s="1" t="s">
        <v>13615</v>
      </c>
    </row>
    <row r="2418" spans="1:8" x14ac:dyDescent="0.3">
      <c r="A2418" s="2">
        <v>32090</v>
      </c>
      <c r="B2418" s="1" t="s">
        <v>13616</v>
      </c>
    </row>
    <row r="2419" spans="1:8" x14ac:dyDescent="0.3">
      <c r="A2419" s="2" t="s">
        <v>13617</v>
      </c>
      <c r="B2419" s="1" t="s">
        <v>12999</v>
      </c>
      <c r="C2419" s="1" t="s">
        <v>13618</v>
      </c>
      <c r="E2419" s="1" t="s">
        <v>13619</v>
      </c>
      <c r="F2419" s="1" t="s">
        <v>13620</v>
      </c>
      <c r="H2419" s="1" t="s">
        <v>13621</v>
      </c>
    </row>
    <row r="2420" spans="1:8" x14ac:dyDescent="0.3">
      <c r="A2420" s="2" t="s">
        <v>13622</v>
      </c>
      <c r="B2420" s="1" t="s">
        <v>13007</v>
      </c>
      <c r="C2420" s="1" t="s">
        <v>13623</v>
      </c>
      <c r="E2420" s="1" t="s">
        <v>13624</v>
      </c>
      <c r="F2420" s="1" t="s">
        <v>13625</v>
      </c>
      <c r="H2420" s="1" t="s">
        <v>13626</v>
      </c>
    </row>
    <row r="2421" spans="1:8" x14ac:dyDescent="0.3">
      <c r="A2421" s="2">
        <v>32091</v>
      </c>
      <c r="B2421" s="1" t="s">
        <v>13627</v>
      </c>
    </row>
    <row r="2422" spans="1:8" x14ac:dyDescent="0.3">
      <c r="A2422" s="2" t="s">
        <v>13628</v>
      </c>
      <c r="B2422" s="1" t="s">
        <v>12999</v>
      </c>
      <c r="C2422" s="1" t="s">
        <v>13629</v>
      </c>
      <c r="D2422" s="1" t="s">
        <v>13630</v>
      </c>
      <c r="E2422" s="1" t="s">
        <v>13631</v>
      </c>
      <c r="F2422" s="1" t="s">
        <v>13632</v>
      </c>
      <c r="G2422" s="1" t="s">
        <v>13633</v>
      </c>
      <c r="H2422" s="1" t="s">
        <v>13634</v>
      </c>
    </row>
    <row r="2423" spans="1:8" x14ac:dyDescent="0.3">
      <c r="A2423" s="2" t="s">
        <v>13635</v>
      </c>
      <c r="B2423" s="1" t="s">
        <v>13007</v>
      </c>
      <c r="C2423" s="1" t="s">
        <v>13636</v>
      </c>
      <c r="D2423" s="1" t="s">
        <v>13637</v>
      </c>
      <c r="E2423" s="1" t="s">
        <v>13638</v>
      </c>
      <c r="F2423" s="1" t="s">
        <v>13639</v>
      </c>
      <c r="G2423" s="1" t="s">
        <v>13640</v>
      </c>
      <c r="H2423" s="1" t="s">
        <v>13641</v>
      </c>
    </row>
    <row r="2424" spans="1:8" x14ac:dyDescent="0.3">
      <c r="A2424" s="2">
        <v>32092</v>
      </c>
      <c r="B2424" s="1" t="s">
        <v>13642</v>
      </c>
    </row>
    <row r="2425" spans="1:8" x14ac:dyDescent="0.3">
      <c r="A2425" s="2" t="s">
        <v>13643</v>
      </c>
      <c r="B2425" s="1" t="s">
        <v>12999</v>
      </c>
      <c r="C2425" s="1" t="s">
        <v>13644</v>
      </c>
      <c r="D2425" s="1" t="s">
        <v>13645</v>
      </c>
      <c r="E2425" s="1" t="s">
        <v>13646</v>
      </c>
      <c r="F2425" s="1" t="s">
        <v>13647</v>
      </c>
      <c r="G2425" s="1" t="s">
        <v>13647</v>
      </c>
      <c r="H2425" s="1" t="s">
        <v>13648</v>
      </c>
    </row>
    <row r="2426" spans="1:8" x14ac:dyDescent="0.3">
      <c r="A2426" s="2" t="s">
        <v>13649</v>
      </c>
      <c r="B2426" s="1" t="s">
        <v>13007</v>
      </c>
      <c r="C2426" s="1" t="s">
        <v>13650</v>
      </c>
      <c r="E2426" s="1" t="s">
        <v>13651</v>
      </c>
      <c r="F2426" s="1" t="s">
        <v>13652</v>
      </c>
      <c r="G2426" s="1" t="s">
        <v>13653</v>
      </c>
      <c r="H2426" s="1" t="s">
        <v>13654</v>
      </c>
    </row>
    <row r="2427" spans="1:8" x14ac:dyDescent="0.3">
      <c r="A2427" s="2">
        <v>32093</v>
      </c>
      <c r="B2427" s="1" t="s">
        <v>13655</v>
      </c>
    </row>
    <row r="2428" spans="1:8" x14ac:dyDescent="0.3">
      <c r="A2428" s="2" t="s">
        <v>13656</v>
      </c>
      <c r="B2428" s="1" t="s">
        <v>12999</v>
      </c>
      <c r="C2428" s="1" t="s">
        <v>13657</v>
      </c>
      <c r="D2428" s="1" t="s">
        <v>13658</v>
      </c>
      <c r="E2428" s="1" t="s">
        <v>13659</v>
      </c>
      <c r="F2428" s="1" t="s">
        <v>13660</v>
      </c>
      <c r="G2428" s="1" t="s">
        <v>13661</v>
      </c>
      <c r="H2428" s="1" t="s">
        <v>13662</v>
      </c>
    </row>
    <row r="2429" spans="1:8" x14ac:dyDescent="0.3">
      <c r="A2429" s="2" t="s">
        <v>13663</v>
      </c>
      <c r="B2429" s="1" t="s">
        <v>13007</v>
      </c>
      <c r="C2429" s="1" t="s">
        <v>13664</v>
      </c>
      <c r="D2429" s="1" t="s">
        <v>13665</v>
      </c>
      <c r="E2429" s="1" t="s">
        <v>13666</v>
      </c>
      <c r="F2429" s="1" t="s">
        <v>13667</v>
      </c>
      <c r="G2429" s="1" t="s">
        <v>13668</v>
      </c>
      <c r="H2429" s="1" t="s">
        <v>13669</v>
      </c>
    </row>
    <row r="2430" spans="1:8" x14ac:dyDescent="0.3">
      <c r="A2430" s="2">
        <v>32094</v>
      </c>
      <c r="B2430" s="1" t="s">
        <v>13670</v>
      </c>
    </row>
    <row r="2431" spans="1:8" x14ac:dyDescent="0.3">
      <c r="A2431" s="2" t="s">
        <v>13671</v>
      </c>
      <c r="B2431" s="1" t="s">
        <v>12999</v>
      </c>
      <c r="C2431" s="1" t="s">
        <v>13672</v>
      </c>
      <c r="D2431" s="1" t="s">
        <v>13673</v>
      </c>
      <c r="E2431" s="1" t="s">
        <v>13674</v>
      </c>
      <c r="F2431" s="1" t="s">
        <v>13675</v>
      </c>
      <c r="G2431" s="1" t="s">
        <v>13675</v>
      </c>
      <c r="H2431" s="1" t="s">
        <v>13676</v>
      </c>
    </row>
    <row r="2432" spans="1:8" x14ac:dyDescent="0.3">
      <c r="A2432" s="2" t="s">
        <v>13677</v>
      </c>
      <c r="B2432" s="1" t="s">
        <v>13007</v>
      </c>
      <c r="C2432" s="1" t="s">
        <v>13678</v>
      </c>
      <c r="E2432" s="1" t="s">
        <v>13679</v>
      </c>
      <c r="F2432" s="1" t="s">
        <v>13680</v>
      </c>
      <c r="G2432" s="1" t="s">
        <v>13681</v>
      </c>
      <c r="H2432" s="1" t="s">
        <v>13682</v>
      </c>
    </row>
    <row r="2433" spans="1:8" x14ac:dyDescent="0.3">
      <c r="A2433" s="2">
        <v>32095</v>
      </c>
      <c r="B2433" s="1" t="s">
        <v>13683</v>
      </c>
    </row>
    <row r="2434" spans="1:8" x14ac:dyDescent="0.3">
      <c r="A2434" s="2" t="s">
        <v>13684</v>
      </c>
      <c r="B2434" s="1" t="s">
        <v>12999</v>
      </c>
      <c r="C2434" s="1" t="s">
        <v>13685</v>
      </c>
      <c r="D2434" s="1" t="s">
        <v>13686</v>
      </c>
      <c r="E2434" s="1" t="s">
        <v>13687</v>
      </c>
      <c r="F2434" s="1" t="s">
        <v>13688</v>
      </c>
      <c r="G2434" s="1" t="s">
        <v>13689</v>
      </c>
      <c r="H2434" s="1" t="s">
        <v>13690</v>
      </c>
    </row>
    <row r="2435" spans="1:8" x14ac:dyDescent="0.3">
      <c r="A2435" s="2" t="s">
        <v>13691</v>
      </c>
      <c r="B2435" s="1" t="s">
        <v>13007</v>
      </c>
      <c r="C2435" s="1" t="s">
        <v>13692</v>
      </c>
      <c r="D2435" s="1" t="s">
        <v>13693</v>
      </c>
      <c r="E2435" s="1" t="s">
        <v>13694</v>
      </c>
      <c r="F2435" s="1" t="s">
        <v>13695</v>
      </c>
      <c r="G2435" s="1" t="s">
        <v>13696</v>
      </c>
      <c r="H2435" s="1" t="s">
        <v>13697</v>
      </c>
    </row>
    <row r="2436" spans="1:8" x14ac:dyDescent="0.3">
      <c r="A2436" s="2">
        <v>32096</v>
      </c>
      <c r="B2436" s="1" t="s">
        <v>13698</v>
      </c>
    </row>
    <row r="2437" spans="1:8" x14ac:dyDescent="0.3">
      <c r="A2437" s="2" t="s">
        <v>13699</v>
      </c>
      <c r="B2437" s="1" t="s">
        <v>12999</v>
      </c>
      <c r="C2437" s="1" t="s">
        <v>13700</v>
      </c>
      <c r="D2437" s="1" t="s">
        <v>13701</v>
      </c>
      <c r="E2437" s="1" t="s">
        <v>13702</v>
      </c>
      <c r="F2437" s="1" t="s">
        <v>13703</v>
      </c>
      <c r="G2437" s="1" t="s">
        <v>13704</v>
      </c>
      <c r="H2437" s="1" t="s">
        <v>13705</v>
      </c>
    </row>
    <row r="2438" spans="1:8" x14ac:dyDescent="0.3">
      <c r="A2438" s="2" t="s">
        <v>13706</v>
      </c>
      <c r="B2438" s="1" t="s">
        <v>13007</v>
      </c>
      <c r="C2438" s="1" t="s">
        <v>13707</v>
      </c>
      <c r="D2438" s="1" t="s">
        <v>13708</v>
      </c>
      <c r="E2438" s="1" t="s">
        <v>13709</v>
      </c>
      <c r="F2438" s="1" t="s">
        <v>13710</v>
      </c>
      <c r="G2438" s="1" t="s">
        <v>13711</v>
      </c>
      <c r="H2438" s="1" t="s">
        <v>13712</v>
      </c>
    </row>
    <row r="2439" spans="1:8" x14ac:dyDescent="0.3">
      <c r="A2439" s="2">
        <v>32097</v>
      </c>
      <c r="B2439" s="1" t="s">
        <v>13713</v>
      </c>
    </row>
    <row r="2440" spans="1:8" x14ac:dyDescent="0.3">
      <c r="A2440" s="2" t="s">
        <v>13714</v>
      </c>
      <c r="B2440" s="1" t="s">
        <v>12999</v>
      </c>
      <c r="C2440" s="1" t="s">
        <v>13715</v>
      </c>
      <c r="D2440" s="1" t="s">
        <v>13716</v>
      </c>
      <c r="E2440" s="1" t="s">
        <v>13717</v>
      </c>
      <c r="F2440" s="1" t="s">
        <v>13718</v>
      </c>
      <c r="G2440" s="1" t="s">
        <v>13719</v>
      </c>
      <c r="H2440" s="1" t="s">
        <v>13720</v>
      </c>
    </row>
    <row r="2441" spans="1:8" x14ac:dyDescent="0.3">
      <c r="A2441" s="2" t="s">
        <v>13721</v>
      </c>
      <c r="B2441" s="1" t="s">
        <v>13007</v>
      </c>
      <c r="C2441" s="1" t="s">
        <v>13722</v>
      </c>
      <c r="E2441" s="1" t="s">
        <v>13723</v>
      </c>
      <c r="F2441" s="1" t="s">
        <v>13724</v>
      </c>
      <c r="G2441" s="1" t="s">
        <v>13725</v>
      </c>
      <c r="H2441" s="1" t="s">
        <v>13724</v>
      </c>
    </row>
    <row r="2442" spans="1:8" x14ac:dyDescent="0.3">
      <c r="A2442" s="2">
        <v>32098</v>
      </c>
      <c r="B2442" s="1" t="s">
        <v>13726</v>
      </c>
    </row>
    <row r="2443" spans="1:8" x14ac:dyDescent="0.3">
      <c r="A2443" s="2" t="s">
        <v>13727</v>
      </c>
      <c r="B2443" s="1" t="s">
        <v>12999</v>
      </c>
      <c r="C2443" s="1" t="s">
        <v>13728</v>
      </c>
      <c r="D2443" s="1" t="s">
        <v>13729</v>
      </c>
      <c r="E2443" s="1" t="s">
        <v>13730</v>
      </c>
      <c r="F2443" s="1" t="s">
        <v>13731</v>
      </c>
      <c r="G2443" s="1" t="s">
        <v>13732</v>
      </c>
      <c r="H2443" s="1" t="s">
        <v>13733</v>
      </c>
    </row>
    <row r="2444" spans="1:8" x14ac:dyDescent="0.3">
      <c r="A2444" s="2" t="s">
        <v>13734</v>
      </c>
      <c r="B2444" s="1" t="s">
        <v>13007</v>
      </c>
      <c r="C2444" s="1" t="s">
        <v>13735</v>
      </c>
      <c r="E2444" s="1" t="s">
        <v>13736</v>
      </c>
      <c r="F2444" s="1" t="s">
        <v>13737</v>
      </c>
      <c r="G2444" s="1" t="s">
        <v>13738</v>
      </c>
      <c r="H2444" s="1" t="s">
        <v>13739</v>
      </c>
    </row>
    <row r="2445" spans="1:8" x14ac:dyDescent="0.3">
      <c r="A2445" s="2">
        <v>32099</v>
      </c>
      <c r="B2445" s="1" t="s">
        <v>13740</v>
      </c>
    </row>
    <row r="2446" spans="1:8" x14ac:dyDescent="0.3">
      <c r="A2446" s="2" t="s">
        <v>13741</v>
      </c>
      <c r="B2446" s="1" t="s">
        <v>12999</v>
      </c>
      <c r="C2446" s="1" t="s">
        <v>13742</v>
      </c>
      <c r="D2446" s="1" t="s">
        <v>10588</v>
      </c>
      <c r="E2446" s="1" t="s">
        <v>13743</v>
      </c>
      <c r="F2446" s="1" t="s">
        <v>13744</v>
      </c>
      <c r="G2446" s="1" t="s">
        <v>13745</v>
      </c>
      <c r="H2446" s="1" t="s">
        <v>13745</v>
      </c>
    </row>
    <row r="2447" spans="1:8" x14ac:dyDescent="0.3">
      <c r="A2447" s="2" t="s">
        <v>13746</v>
      </c>
      <c r="B2447" s="1" t="s">
        <v>13007</v>
      </c>
      <c r="C2447" s="1" t="s">
        <v>13747</v>
      </c>
      <c r="D2447" s="1" t="s">
        <v>13748</v>
      </c>
      <c r="E2447" s="1" t="s">
        <v>13749</v>
      </c>
      <c r="F2447" s="1" t="s">
        <v>13750</v>
      </c>
      <c r="G2447" s="1" t="s">
        <v>13751</v>
      </c>
      <c r="H2447" s="1" t="s">
        <v>13752</v>
      </c>
    </row>
    <row r="2448" spans="1:8" x14ac:dyDescent="0.3">
      <c r="A2448" s="2">
        <v>32100</v>
      </c>
      <c r="B2448" s="1" t="s">
        <v>13753</v>
      </c>
    </row>
    <row r="2449" spans="1:8" x14ac:dyDescent="0.3">
      <c r="A2449" s="2" t="s">
        <v>13754</v>
      </c>
      <c r="B2449" s="1" t="s">
        <v>12999</v>
      </c>
      <c r="C2449" s="1" t="s">
        <v>13755</v>
      </c>
      <c r="D2449" s="1" t="s">
        <v>13756</v>
      </c>
      <c r="E2449" s="1" t="s">
        <v>13757</v>
      </c>
      <c r="F2449" s="1" t="s">
        <v>13757</v>
      </c>
      <c r="G2449" s="1" t="s">
        <v>13758</v>
      </c>
      <c r="H2449" s="1" t="s">
        <v>13757</v>
      </c>
    </row>
    <row r="2450" spans="1:8" x14ac:dyDescent="0.3">
      <c r="A2450" s="2" t="s">
        <v>13759</v>
      </c>
      <c r="B2450" s="1" t="s">
        <v>13007</v>
      </c>
      <c r="C2450" s="1" t="s">
        <v>13760</v>
      </c>
      <c r="E2450" s="1" t="s">
        <v>13761</v>
      </c>
      <c r="F2450" s="1" t="s">
        <v>13762</v>
      </c>
      <c r="G2450" s="1" t="s">
        <v>13763</v>
      </c>
      <c r="H2450" s="1" t="s">
        <v>13764</v>
      </c>
    </row>
    <row r="2451" spans="1:8" x14ac:dyDescent="0.3">
      <c r="A2451" s="2">
        <v>32101</v>
      </c>
      <c r="B2451" s="1" t="s">
        <v>13765</v>
      </c>
    </row>
    <row r="2452" spans="1:8" x14ac:dyDescent="0.3">
      <c r="A2452" s="2" t="s">
        <v>13766</v>
      </c>
      <c r="B2452" s="1" t="s">
        <v>12999</v>
      </c>
      <c r="C2452" s="1" t="s">
        <v>13767</v>
      </c>
      <c r="D2452" s="1" t="s">
        <v>13768</v>
      </c>
      <c r="E2452" s="1" t="s">
        <v>13769</v>
      </c>
      <c r="F2452" s="1" t="s">
        <v>13770</v>
      </c>
      <c r="G2452" s="1" t="s">
        <v>13771</v>
      </c>
      <c r="H2452" s="1" t="s">
        <v>13772</v>
      </c>
    </row>
    <row r="2453" spans="1:8" x14ac:dyDescent="0.3">
      <c r="A2453" s="2" t="s">
        <v>13773</v>
      </c>
      <c r="B2453" s="1" t="s">
        <v>13007</v>
      </c>
      <c r="C2453" s="1" t="s">
        <v>13774</v>
      </c>
      <c r="D2453" s="1" t="s">
        <v>13775</v>
      </c>
      <c r="E2453" s="1" t="s">
        <v>13776</v>
      </c>
      <c r="F2453" s="1" t="s">
        <v>13777</v>
      </c>
      <c r="G2453" s="1" t="s">
        <v>13778</v>
      </c>
      <c r="H2453" s="1" t="s">
        <v>13779</v>
      </c>
    </row>
    <row r="2454" spans="1:8" x14ac:dyDescent="0.3">
      <c r="A2454" s="2">
        <v>32102</v>
      </c>
      <c r="B2454" s="1" t="s">
        <v>13780</v>
      </c>
    </row>
    <row r="2455" spans="1:8" x14ac:dyDescent="0.3">
      <c r="A2455" s="2" t="s">
        <v>13781</v>
      </c>
      <c r="B2455" s="1" t="s">
        <v>12999</v>
      </c>
      <c r="C2455" s="1" t="s">
        <v>13782</v>
      </c>
      <c r="D2455" s="1" t="s">
        <v>13783</v>
      </c>
      <c r="E2455" s="1" t="s">
        <v>13784</v>
      </c>
      <c r="F2455" s="1" t="s">
        <v>13785</v>
      </c>
      <c r="G2455" s="1" t="s">
        <v>13786</v>
      </c>
      <c r="H2455" s="1" t="s">
        <v>13787</v>
      </c>
    </row>
    <row r="2456" spans="1:8" x14ac:dyDescent="0.3">
      <c r="A2456" s="2" t="s">
        <v>13788</v>
      </c>
      <c r="B2456" s="1" t="s">
        <v>13007</v>
      </c>
      <c r="C2456" s="1" t="s">
        <v>13789</v>
      </c>
      <c r="D2456" s="1" t="s">
        <v>13790</v>
      </c>
      <c r="E2456" s="1" t="s">
        <v>13791</v>
      </c>
      <c r="F2456" s="1" t="s">
        <v>13792</v>
      </c>
      <c r="G2456" s="1" t="s">
        <v>13793</v>
      </c>
      <c r="H2456" s="1" t="s">
        <v>13794</v>
      </c>
    </row>
    <row r="2457" spans="1:8" x14ac:dyDescent="0.3">
      <c r="A2457" s="2">
        <v>32103</v>
      </c>
      <c r="B2457" s="1" t="s">
        <v>13795</v>
      </c>
    </row>
    <row r="2458" spans="1:8" x14ac:dyDescent="0.3">
      <c r="A2458" s="2" t="s">
        <v>13796</v>
      </c>
      <c r="B2458" s="1" t="s">
        <v>12999</v>
      </c>
      <c r="C2458" s="1" t="s">
        <v>13797</v>
      </c>
      <c r="D2458" s="1" t="s">
        <v>13798</v>
      </c>
      <c r="E2458" s="1" t="s">
        <v>13799</v>
      </c>
      <c r="F2458" s="1" t="s">
        <v>13800</v>
      </c>
      <c r="G2458" s="1" t="s">
        <v>13801</v>
      </c>
      <c r="H2458" s="1" t="s">
        <v>13802</v>
      </c>
    </row>
    <row r="2459" spans="1:8" x14ac:dyDescent="0.3">
      <c r="A2459" s="2" t="s">
        <v>13803</v>
      </c>
      <c r="B2459" s="1" t="s">
        <v>13007</v>
      </c>
      <c r="C2459" s="1" t="s">
        <v>13804</v>
      </c>
      <c r="D2459" s="1" t="s">
        <v>13805</v>
      </c>
      <c r="E2459" s="1" t="s">
        <v>13806</v>
      </c>
      <c r="F2459" s="1" t="s">
        <v>13805</v>
      </c>
      <c r="G2459" s="1" t="s">
        <v>13807</v>
      </c>
      <c r="H2459" s="1" t="s">
        <v>13808</v>
      </c>
    </row>
    <row r="2460" spans="1:8" x14ac:dyDescent="0.3">
      <c r="A2460" s="2">
        <v>32104</v>
      </c>
      <c r="B2460" s="1" t="s">
        <v>13809</v>
      </c>
    </row>
    <row r="2461" spans="1:8" x14ac:dyDescent="0.3">
      <c r="A2461" s="2" t="s">
        <v>13810</v>
      </c>
      <c r="B2461" s="1" t="s">
        <v>12999</v>
      </c>
      <c r="C2461" s="1" t="s">
        <v>13811</v>
      </c>
      <c r="D2461" s="1" t="s">
        <v>13812</v>
      </c>
      <c r="E2461" s="1" t="s">
        <v>13813</v>
      </c>
      <c r="F2461" s="1" t="s">
        <v>13814</v>
      </c>
      <c r="G2461" s="1" t="s">
        <v>13815</v>
      </c>
      <c r="H2461" s="1" t="s">
        <v>13816</v>
      </c>
    </row>
    <row r="2462" spans="1:8" x14ac:dyDescent="0.3">
      <c r="A2462" s="2" t="s">
        <v>13817</v>
      </c>
      <c r="B2462" s="1" t="s">
        <v>13007</v>
      </c>
      <c r="C2462" s="1" t="s">
        <v>13818</v>
      </c>
      <c r="E2462" s="1" t="s">
        <v>13819</v>
      </c>
      <c r="F2462" s="1" t="s">
        <v>13820</v>
      </c>
      <c r="G2462" s="1" t="s">
        <v>13821</v>
      </c>
      <c r="H2462" s="1" t="s">
        <v>13822</v>
      </c>
    </row>
    <row r="2463" spans="1:8" x14ac:dyDescent="0.3">
      <c r="A2463" s="2">
        <v>32105</v>
      </c>
      <c r="B2463" s="1" t="s">
        <v>13823</v>
      </c>
    </row>
    <row r="2464" spans="1:8" x14ac:dyDescent="0.3">
      <c r="A2464" s="2" t="s">
        <v>13824</v>
      </c>
      <c r="B2464" s="1" t="s">
        <v>12999</v>
      </c>
      <c r="C2464" s="1" t="s">
        <v>13825</v>
      </c>
      <c r="D2464" s="1" t="s">
        <v>13826</v>
      </c>
      <c r="E2464" s="1" t="s">
        <v>13827</v>
      </c>
      <c r="F2464" s="1" t="s">
        <v>13828</v>
      </c>
      <c r="G2464" s="1" t="s">
        <v>13829</v>
      </c>
      <c r="H2464" s="1" t="s">
        <v>13830</v>
      </c>
    </row>
    <row r="2465" spans="1:8" x14ac:dyDescent="0.3">
      <c r="A2465" s="2" t="s">
        <v>13831</v>
      </c>
      <c r="B2465" s="1" t="s">
        <v>13007</v>
      </c>
      <c r="C2465" s="1" t="s">
        <v>13832</v>
      </c>
      <c r="D2465" s="1" t="s">
        <v>13833</v>
      </c>
      <c r="E2465" s="1" t="s">
        <v>13834</v>
      </c>
      <c r="F2465" s="1" t="s">
        <v>13835</v>
      </c>
      <c r="G2465" s="1" t="s">
        <v>13835</v>
      </c>
      <c r="H2465" s="1" t="s">
        <v>13836</v>
      </c>
    </row>
    <row r="2466" spans="1:8" x14ac:dyDescent="0.3">
      <c r="A2466" s="2">
        <v>32106</v>
      </c>
      <c r="B2466" s="1" t="s">
        <v>13837</v>
      </c>
    </row>
    <row r="2467" spans="1:8" x14ac:dyDescent="0.3">
      <c r="A2467" s="2" t="s">
        <v>13838</v>
      </c>
      <c r="B2467" s="1" t="s">
        <v>12999</v>
      </c>
      <c r="C2467" s="1" t="s">
        <v>13839</v>
      </c>
      <c r="D2467" s="1" t="s">
        <v>13840</v>
      </c>
      <c r="E2467" s="1" t="s">
        <v>13841</v>
      </c>
      <c r="F2467" s="1" t="s">
        <v>13842</v>
      </c>
      <c r="G2467" s="1" t="s">
        <v>13841</v>
      </c>
      <c r="H2467" s="1" t="s">
        <v>13843</v>
      </c>
    </row>
    <row r="2468" spans="1:8" x14ac:dyDescent="0.3">
      <c r="A2468" s="2" t="s">
        <v>13844</v>
      </c>
      <c r="B2468" s="1" t="s">
        <v>13007</v>
      </c>
      <c r="C2468" s="1" t="s">
        <v>13845</v>
      </c>
      <c r="D2468" s="1" t="s">
        <v>13846</v>
      </c>
      <c r="E2468" s="1" t="s">
        <v>13847</v>
      </c>
      <c r="F2468" s="1" t="s">
        <v>13848</v>
      </c>
      <c r="G2468" s="1" t="s">
        <v>13849</v>
      </c>
      <c r="H2468" s="1" t="s">
        <v>13850</v>
      </c>
    </row>
    <row r="2469" spans="1:8" x14ac:dyDescent="0.3">
      <c r="A2469" s="2">
        <v>32107</v>
      </c>
      <c r="B2469" s="1" t="s">
        <v>11569</v>
      </c>
    </row>
    <row r="2470" spans="1:8" x14ac:dyDescent="0.3">
      <c r="A2470" s="2" t="s">
        <v>13851</v>
      </c>
      <c r="B2470" s="1" t="s">
        <v>12999</v>
      </c>
      <c r="C2470" s="1" t="s">
        <v>11571</v>
      </c>
      <c r="D2470" s="1" t="s">
        <v>13852</v>
      </c>
      <c r="E2470" s="1" t="s">
        <v>13853</v>
      </c>
      <c r="F2470" s="1" t="s">
        <v>13854</v>
      </c>
      <c r="G2470" s="1" t="s">
        <v>13855</v>
      </c>
      <c r="H2470" s="1" t="s">
        <v>13856</v>
      </c>
    </row>
    <row r="2471" spans="1:8" x14ac:dyDescent="0.3">
      <c r="A2471" s="2" t="s">
        <v>13857</v>
      </c>
      <c r="B2471" s="1" t="s">
        <v>13007</v>
      </c>
      <c r="C2471" s="1" t="s">
        <v>13858</v>
      </c>
      <c r="D2471" s="1" t="s">
        <v>13859</v>
      </c>
      <c r="E2471" s="1" t="s">
        <v>13860</v>
      </c>
      <c r="F2471" s="1" t="s">
        <v>13861</v>
      </c>
      <c r="G2471" s="1" t="s">
        <v>13862</v>
      </c>
      <c r="H2471" s="1" t="s">
        <v>13863</v>
      </c>
    </row>
    <row r="2472" spans="1:8" x14ac:dyDescent="0.3">
      <c r="A2472" s="2">
        <v>32108</v>
      </c>
      <c r="B2472" s="1" t="s">
        <v>13864</v>
      </c>
    </row>
    <row r="2473" spans="1:8" x14ac:dyDescent="0.3">
      <c r="A2473" s="2" t="s">
        <v>13865</v>
      </c>
      <c r="B2473" s="1" t="s">
        <v>12999</v>
      </c>
      <c r="C2473" s="1" t="s">
        <v>13866</v>
      </c>
      <c r="D2473" s="1" t="s">
        <v>13867</v>
      </c>
      <c r="E2473" s="1" t="s">
        <v>13868</v>
      </c>
      <c r="F2473" s="1" t="s">
        <v>13869</v>
      </c>
      <c r="G2473" s="1" t="s">
        <v>13870</v>
      </c>
      <c r="H2473" s="1" t="s">
        <v>13869</v>
      </c>
    </row>
    <row r="2474" spans="1:8" x14ac:dyDescent="0.3">
      <c r="A2474" s="2" t="s">
        <v>13871</v>
      </c>
      <c r="B2474" s="1" t="s">
        <v>13007</v>
      </c>
      <c r="C2474" s="1" t="s">
        <v>13872</v>
      </c>
      <c r="D2474" s="1" t="s">
        <v>13873</v>
      </c>
      <c r="E2474" s="1" t="s">
        <v>13874</v>
      </c>
      <c r="F2474" s="1" t="s">
        <v>13875</v>
      </c>
      <c r="G2474" s="1" t="s">
        <v>13876</v>
      </c>
      <c r="H2474" s="1" t="s">
        <v>13877</v>
      </c>
    </row>
    <row r="2475" spans="1:8" x14ac:dyDescent="0.3">
      <c r="A2475" s="2">
        <v>32109</v>
      </c>
      <c r="B2475" s="1" t="s">
        <v>13878</v>
      </c>
    </row>
    <row r="2476" spans="1:8" x14ac:dyDescent="0.3">
      <c r="A2476" s="2" t="s">
        <v>13879</v>
      </c>
      <c r="B2476" s="1" t="s">
        <v>12999</v>
      </c>
      <c r="C2476" s="1" t="s">
        <v>13880</v>
      </c>
      <c r="D2476" s="1" t="s">
        <v>13881</v>
      </c>
      <c r="E2476" s="1" t="s">
        <v>13882</v>
      </c>
      <c r="F2476" s="1" t="s">
        <v>13883</v>
      </c>
      <c r="G2476" s="1" t="s">
        <v>13884</v>
      </c>
      <c r="H2476" s="1" t="s">
        <v>13885</v>
      </c>
    </row>
    <row r="2477" spans="1:8" x14ac:dyDescent="0.3">
      <c r="A2477" s="2" t="s">
        <v>13886</v>
      </c>
      <c r="B2477" s="1" t="s">
        <v>13007</v>
      </c>
      <c r="C2477" s="1" t="s">
        <v>13887</v>
      </c>
      <c r="D2477" s="1" t="s">
        <v>13888</v>
      </c>
      <c r="E2477" s="1" t="s">
        <v>13889</v>
      </c>
      <c r="F2477" s="1" t="s">
        <v>13890</v>
      </c>
      <c r="G2477" s="1" t="s">
        <v>13891</v>
      </c>
      <c r="H2477" s="1" t="s">
        <v>13892</v>
      </c>
    </row>
    <row r="2478" spans="1:8" x14ac:dyDescent="0.3">
      <c r="A2478" s="2">
        <v>32110</v>
      </c>
      <c r="B2478" s="1" t="s">
        <v>13893</v>
      </c>
    </row>
    <row r="2479" spans="1:8" x14ac:dyDescent="0.3">
      <c r="A2479" s="2" t="s">
        <v>13894</v>
      </c>
      <c r="B2479" s="1" t="s">
        <v>12999</v>
      </c>
      <c r="C2479" s="1" t="s">
        <v>13895</v>
      </c>
      <c r="D2479" s="1" t="s">
        <v>13896</v>
      </c>
      <c r="E2479" s="1" t="s">
        <v>13897</v>
      </c>
      <c r="F2479" s="1" t="s">
        <v>13898</v>
      </c>
      <c r="G2479" s="1" t="s">
        <v>13899</v>
      </c>
      <c r="H2479" s="1" t="s">
        <v>13900</v>
      </c>
    </row>
    <row r="2480" spans="1:8" x14ac:dyDescent="0.3">
      <c r="A2480" s="2" t="s">
        <v>13901</v>
      </c>
      <c r="B2480" s="1" t="s">
        <v>13007</v>
      </c>
      <c r="C2480" s="1" t="s">
        <v>13902</v>
      </c>
      <c r="D2480" s="1" t="s">
        <v>13903</v>
      </c>
      <c r="E2480" s="1" t="s">
        <v>13904</v>
      </c>
      <c r="F2480" s="1" t="s">
        <v>13905</v>
      </c>
      <c r="G2480" s="1" t="s">
        <v>13906</v>
      </c>
      <c r="H2480" s="1" t="s">
        <v>13907</v>
      </c>
    </row>
    <row r="2481" spans="1:8" x14ac:dyDescent="0.3">
      <c r="A2481" s="2">
        <v>32111</v>
      </c>
      <c r="B2481" s="1" t="s">
        <v>13908</v>
      </c>
    </row>
    <row r="2482" spans="1:8" x14ac:dyDescent="0.3">
      <c r="A2482" s="2" t="s">
        <v>13909</v>
      </c>
      <c r="B2482" s="1" t="s">
        <v>12999</v>
      </c>
      <c r="C2482" s="1" t="s">
        <v>13910</v>
      </c>
      <c r="D2482" s="1" t="s">
        <v>13911</v>
      </c>
      <c r="E2482" s="1" t="s">
        <v>13912</v>
      </c>
      <c r="F2482" s="1" t="s">
        <v>13913</v>
      </c>
      <c r="G2482" s="1" t="s">
        <v>13914</v>
      </c>
      <c r="H2482" s="1" t="s">
        <v>13915</v>
      </c>
    </row>
    <row r="2483" spans="1:8" x14ac:dyDescent="0.3">
      <c r="A2483" s="2" t="s">
        <v>13916</v>
      </c>
      <c r="B2483" s="1" t="s">
        <v>13007</v>
      </c>
      <c r="C2483" s="1" t="s">
        <v>13917</v>
      </c>
      <c r="D2483" s="1" t="s">
        <v>13918</v>
      </c>
      <c r="E2483" s="1" t="s">
        <v>13919</v>
      </c>
      <c r="F2483" s="1" t="s">
        <v>11850</v>
      </c>
      <c r="G2483" s="1" t="s">
        <v>11850</v>
      </c>
      <c r="H2483" s="1" t="s">
        <v>11850</v>
      </c>
    </row>
    <row r="2484" spans="1:8" x14ac:dyDescent="0.3">
      <c r="A2484" s="2">
        <v>32112</v>
      </c>
      <c r="B2484" s="1" t="s">
        <v>13920</v>
      </c>
    </row>
    <row r="2485" spans="1:8" x14ac:dyDescent="0.3">
      <c r="A2485" s="2" t="s">
        <v>13921</v>
      </c>
      <c r="B2485" s="1" t="s">
        <v>12999</v>
      </c>
      <c r="C2485" s="1" t="s">
        <v>13922</v>
      </c>
      <c r="D2485" s="1" t="s">
        <v>13923</v>
      </c>
      <c r="E2485" s="1" t="s">
        <v>13924</v>
      </c>
      <c r="F2485" s="1" t="s">
        <v>13925</v>
      </c>
      <c r="G2485" s="1" t="s">
        <v>13925</v>
      </c>
      <c r="H2485" s="1" t="s">
        <v>13926</v>
      </c>
    </row>
    <row r="2486" spans="1:8" x14ac:dyDescent="0.3">
      <c r="A2486" s="2" t="s">
        <v>13927</v>
      </c>
      <c r="B2486" s="1" t="s">
        <v>13007</v>
      </c>
      <c r="C2486" s="1" t="s">
        <v>13928</v>
      </c>
      <c r="E2486" s="1" t="s">
        <v>13929</v>
      </c>
      <c r="F2486" s="1" t="s">
        <v>13930</v>
      </c>
      <c r="G2486" s="1" t="s">
        <v>13599</v>
      </c>
      <c r="H2486" s="1" t="s">
        <v>13931</v>
      </c>
    </row>
    <row r="2487" spans="1:8" x14ac:dyDescent="0.3">
      <c r="A2487" s="2">
        <v>32113</v>
      </c>
      <c r="B2487" s="1" t="s">
        <v>13932</v>
      </c>
    </row>
    <row r="2488" spans="1:8" x14ac:dyDescent="0.3">
      <c r="A2488" s="2" t="s">
        <v>13933</v>
      </c>
      <c r="B2488" s="1" t="s">
        <v>12999</v>
      </c>
      <c r="C2488" s="1" t="s">
        <v>13934</v>
      </c>
      <c r="D2488" s="1" t="s">
        <v>13935</v>
      </c>
      <c r="E2488" s="1" t="s">
        <v>13936</v>
      </c>
      <c r="F2488" s="1" t="s">
        <v>13937</v>
      </c>
      <c r="G2488" s="1" t="s">
        <v>13938</v>
      </c>
      <c r="H2488" s="1" t="s">
        <v>13939</v>
      </c>
    </row>
    <row r="2489" spans="1:8" x14ac:dyDescent="0.3">
      <c r="A2489" s="2" t="s">
        <v>13940</v>
      </c>
      <c r="B2489" s="1" t="s">
        <v>13007</v>
      </c>
      <c r="C2489" s="1" t="s">
        <v>13941</v>
      </c>
      <c r="D2489" s="1" t="s">
        <v>13942</v>
      </c>
      <c r="E2489" s="1" t="s">
        <v>13943</v>
      </c>
      <c r="F2489" s="1" t="s">
        <v>13944</v>
      </c>
      <c r="G2489" s="1" t="s">
        <v>13945</v>
      </c>
      <c r="H2489" s="1" t="s">
        <v>13946</v>
      </c>
    </row>
    <row r="2490" spans="1:8" x14ac:dyDescent="0.3">
      <c r="A2490" s="2">
        <v>32114</v>
      </c>
      <c r="B2490" s="1" t="s">
        <v>13947</v>
      </c>
    </row>
    <row r="2491" spans="1:8" x14ac:dyDescent="0.3">
      <c r="A2491" s="2" t="s">
        <v>13948</v>
      </c>
      <c r="B2491" s="1" t="s">
        <v>12999</v>
      </c>
      <c r="C2491" s="1" t="s">
        <v>13949</v>
      </c>
      <c r="D2491" s="1" t="s">
        <v>13950</v>
      </c>
      <c r="E2491" s="1" t="s">
        <v>13951</v>
      </c>
      <c r="F2491" s="1" t="s">
        <v>13952</v>
      </c>
      <c r="G2491" s="1" t="s">
        <v>13953</v>
      </c>
      <c r="H2491" s="1" t="s">
        <v>13954</v>
      </c>
    </row>
    <row r="2492" spans="1:8" x14ac:dyDescent="0.3">
      <c r="A2492" s="2" t="s">
        <v>13955</v>
      </c>
      <c r="B2492" s="1" t="s">
        <v>13007</v>
      </c>
      <c r="C2492" s="1" t="s">
        <v>13956</v>
      </c>
      <c r="D2492" s="1" t="s">
        <v>13957</v>
      </c>
      <c r="E2492" s="1" t="s">
        <v>13958</v>
      </c>
      <c r="F2492" s="1" t="s">
        <v>13959</v>
      </c>
      <c r="G2492" s="1" t="s">
        <v>13960</v>
      </c>
      <c r="H2492" s="1" t="s">
        <v>13961</v>
      </c>
    </row>
    <row r="2493" spans="1:8" x14ac:dyDescent="0.3">
      <c r="A2493" s="2">
        <v>32115</v>
      </c>
      <c r="B2493" s="1" t="s">
        <v>13962</v>
      </c>
    </row>
    <row r="2494" spans="1:8" x14ac:dyDescent="0.3">
      <c r="A2494" s="2" t="s">
        <v>13963</v>
      </c>
      <c r="B2494" s="1" t="s">
        <v>12999</v>
      </c>
      <c r="C2494" s="1" t="s">
        <v>13964</v>
      </c>
      <c r="D2494" s="1" t="s">
        <v>13965</v>
      </c>
      <c r="F2494" s="1" t="s">
        <v>13966</v>
      </c>
      <c r="G2494" s="1" t="s">
        <v>13967</v>
      </c>
      <c r="H2494" s="1" t="s">
        <v>13968</v>
      </c>
    </row>
    <row r="2495" spans="1:8" x14ac:dyDescent="0.3">
      <c r="A2495" s="2" t="s">
        <v>13969</v>
      </c>
      <c r="B2495" s="1" t="s">
        <v>13007</v>
      </c>
      <c r="C2495" s="1" t="s">
        <v>13970</v>
      </c>
      <c r="D2495" s="1" t="s">
        <v>13971</v>
      </c>
      <c r="F2495" s="1" t="s">
        <v>13972</v>
      </c>
      <c r="G2495" s="1" t="s">
        <v>13973</v>
      </c>
      <c r="H2495" s="1" t="s">
        <v>13974</v>
      </c>
    </row>
    <row r="2496" spans="1:8" x14ac:dyDescent="0.3">
      <c r="A2496" s="2">
        <v>32116</v>
      </c>
      <c r="B2496" s="1" t="s">
        <v>13975</v>
      </c>
    </row>
    <row r="2497" spans="1:8" x14ac:dyDescent="0.3">
      <c r="A2497" s="2" t="s">
        <v>13976</v>
      </c>
      <c r="B2497" s="1" t="s">
        <v>12999</v>
      </c>
      <c r="C2497" s="1" t="s">
        <v>13977</v>
      </c>
      <c r="D2497" s="1" t="s">
        <v>13978</v>
      </c>
      <c r="E2497" s="1" t="s">
        <v>13979</v>
      </c>
      <c r="F2497" s="1" t="s">
        <v>13980</v>
      </c>
      <c r="G2497" s="1" t="s">
        <v>13981</v>
      </c>
      <c r="H2497" s="1" t="s">
        <v>13982</v>
      </c>
    </row>
    <row r="2498" spans="1:8" x14ac:dyDescent="0.3">
      <c r="A2498" s="2" t="s">
        <v>13983</v>
      </c>
      <c r="B2498" s="1" t="s">
        <v>13007</v>
      </c>
      <c r="C2498" s="1" t="s">
        <v>13984</v>
      </c>
      <c r="D2498" s="1" t="s">
        <v>13985</v>
      </c>
      <c r="E2498" s="1" t="s">
        <v>13986</v>
      </c>
      <c r="F2498" s="1" t="s">
        <v>13987</v>
      </c>
      <c r="G2498" s="1" t="s">
        <v>13988</v>
      </c>
      <c r="H2498" s="1" t="s">
        <v>13989</v>
      </c>
    </row>
    <row r="2499" spans="1:8" x14ac:dyDescent="0.3">
      <c r="A2499" s="2">
        <v>32117</v>
      </c>
      <c r="B2499" s="1" t="s">
        <v>13990</v>
      </c>
    </row>
    <row r="2500" spans="1:8" x14ac:dyDescent="0.3">
      <c r="A2500" s="2" t="s">
        <v>13991</v>
      </c>
      <c r="B2500" s="1" t="s">
        <v>12999</v>
      </c>
      <c r="C2500" s="1" t="s">
        <v>13992</v>
      </c>
      <c r="D2500" s="1" t="s">
        <v>13993</v>
      </c>
      <c r="E2500" s="1" t="s">
        <v>13994</v>
      </c>
      <c r="F2500" s="1" t="s">
        <v>13995</v>
      </c>
      <c r="G2500" s="1" t="s">
        <v>13996</v>
      </c>
      <c r="H2500" s="1" t="s">
        <v>13997</v>
      </c>
    </row>
    <row r="2501" spans="1:8" x14ac:dyDescent="0.3">
      <c r="A2501" s="2" t="s">
        <v>13998</v>
      </c>
      <c r="B2501" s="1" t="s">
        <v>13007</v>
      </c>
      <c r="C2501" s="1" t="s">
        <v>13999</v>
      </c>
      <c r="D2501" s="1" t="s">
        <v>14000</v>
      </c>
      <c r="E2501" s="1" t="s">
        <v>14001</v>
      </c>
      <c r="F2501" s="1" t="s">
        <v>14002</v>
      </c>
      <c r="G2501" s="1" t="s">
        <v>14003</v>
      </c>
      <c r="H2501" s="1" t="s">
        <v>14004</v>
      </c>
    </row>
    <row r="2502" spans="1:8" x14ac:dyDescent="0.3">
      <c r="A2502" s="2">
        <v>32118</v>
      </c>
      <c r="B2502" s="1" t="s">
        <v>14005</v>
      </c>
    </row>
    <row r="2503" spans="1:8" x14ac:dyDescent="0.3">
      <c r="A2503" s="2" t="s">
        <v>14006</v>
      </c>
      <c r="B2503" s="1" t="s">
        <v>12999</v>
      </c>
      <c r="C2503" s="1" t="s">
        <v>14007</v>
      </c>
      <c r="D2503" s="1" t="s">
        <v>14008</v>
      </c>
      <c r="E2503" s="1" t="s">
        <v>14009</v>
      </c>
      <c r="F2503" s="1" t="s">
        <v>14010</v>
      </c>
      <c r="G2503" s="1" t="s">
        <v>14011</v>
      </c>
      <c r="H2503" s="1" t="s">
        <v>14012</v>
      </c>
    </row>
    <row r="2504" spans="1:8" x14ac:dyDescent="0.3">
      <c r="A2504" s="2" t="s">
        <v>14013</v>
      </c>
      <c r="B2504" s="1" t="s">
        <v>13007</v>
      </c>
      <c r="C2504" s="1" t="s">
        <v>14014</v>
      </c>
      <c r="D2504" s="1" t="s">
        <v>14015</v>
      </c>
      <c r="E2504" s="1" t="s">
        <v>14016</v>
      </c>
      <c r="F2504" s="1" t="s">
        <v>14017</v>
      </c>
      <c r="G2504" s="1" t="s">
        <v>14018</v>
      </c>
      <c r="H2504" s="1" t="s">
        <v>14019</v>
      </c>
    </row>
    <row r="2505" spans="1:8" x14ac:dyDescent="0.3">
      <c r="A2505" s="2">
        <v>32119</v>
      </c>
      <c r="B2505" s="1" t="s">
        <v>14020</v>
      </c>
    </row>
    <row r="2506" spans="1:8" x14ac:dyDescent="0.3">
      <c r="A2506" s="2" t="s">
        <v>14021</v>
      </c>
      <c r="B2506" s="1" t="s">
        <v>12999</v>
      </c>
      <c r="C2506" s="1" t="s">
        <v>14022</v>
      </c>
      <c r="D2506" s="1" t="s">
        <v>14023</v>
      </c>
      <c r="E2506" s="1" t="s">
        <v>14024</v>
      </c>
      <c r="F2506" s="1" t="s">
        <v>14025</v>
      </c>
      <c r="G2506" s="1" t="s">
        <v>14026</v>
      </c>
      <c r="H2506" s="1" t="s">
        <v>14027</v>
      </c>
    </row>
    <row r="2507" spans="1:8" x14ac:dyDescent="0.3">
      <c r="A2507" s="2" t="s">
        <v>14028</v>
      </c>
      <c r="B2507" s="1" t="s">
        <v>13007</v>
      </c>
      <c r="C2507" s="1" t="s">
        <v>14029</v>
      </c>
      <c r="D2507" s="1" t="s">
        <v>14030</v>
      </c>
      <c r="E2507" s="1" t="s">
        <v>14031</v>
      </c>
      <c r="F2507" s="1" t="s">
        <v>14032</v>
      </c>
      <c r="G2507" s="1" t="s">
        <v>14033</v>
      </c>
      <c r="H2507" s="1" t="s">
        <v>14034</v>
      </c>
    </row>
    <row r="2508" spans="1:8" x14ac:dyDescent="0.3">
      <c r="A2508" s="2">
        <v>32120</v>
      </c>
      <c r="B2508" s="1" t="s">
        <v>14035</v>
      </c>
    </row>
    <row r="2509" spans="1:8" x14ac:dyDescent="0.3">
      <c r="A2509" s="2" t="s">
        <v>14036</v>
      </c>
      <c r="B2509" s="1" t="s">
        <v>12999</v>
      </c>
      <c r="C2509" s="1" t="s">
        <v>14037</v>
      </c>
      <c r="D2509" s="1" t="s">
        <v>14038</v>
      </c>
      <c r="E2509" s="1" t="s">
        <v>14039</v>
      </c>
      <c r="F2509" s="1" t="s">
        <v>14040</v>
      </c>
      <c r="G2509" s="1" t="s">
        <v>14041</v>
      </c>
      <c r="H2509" s="1" t="s">
        <v>14042</v>
      </c>
    </row>
    <row r="2510" spans="1:8" x14ac:dyDescent="0.3">
      <c r="A2510" s="2" t="s">
        <v>14043</v>
      </c>
      <c r="B2510" s="1" t="s">
        <v>13007</v>
      </c>
      <c r="C2510" s="1" t="s">
        <v>14044</v>
      </c>
      <c r="D2510" s="1" t="s">
        <v>14045</v>
      </c>
      <c r="E2510" s="1" t="s">
        <v>14046</v>
      </c>
      <c r="F2510" s="1" t="s">
        <v>14047</v>
      </c>
      <c r="G2510" s="1" t="s">
        <v>14048</v>
      </c>
      <c r="H2510" s="1" t="s">
        <v>14049</v>
      </c>
    </row>
    <row r="2511" spans="1:8" x14ac:dyDescent="0.3">
      <c r="A2511" s="2">
        <v>32121</v>
      </c>
      <c r="B2511" s="1" t="s">
        <v>19626</v>
      </c>
    </row>
    <row r="2512" spans="1:8" x14ac:dyDescent="0.3">
      <c r="A2512" s="2" t="s">
        <v>14050</v>
      </c>
      <c r="B2512" s="1" t="s">
        <v>12999</v>
      </c>
      <c r="C2512" s="1" t="s">
        <v>14051</v>
      </c>
      <c r="D2512" s="1" t="s">
        <v>14052</v>
      </c>
      <c r="E2512" s="1" t="s">
        <v>14053</v>
      </c>
      <c r="F2512" s="1" t="s">
        <v>14054</v>
      </c>
      <c r="G2512" s="1" t="s">
        <v>14053</v>
      </c>
      <c r="H2512" s="1" t="s">
        <v>14055</v>
      </c>
    </row>
    <row r="2513" spans="1:8" x14ac:dyDescent="0.3">
      <c r="A2513" s="2" t="s">
        <v>14056</v>
      </c>
      <c r="B2513" s="1" t="s">
        <v>13007</v>
      </c>
      <c r="C2513" s="1" t="s">
        <v>14057</v>
      </c>
      <c r="D2513" s="1" t="s">
        <v>14058</v>
      </c>
      <c r="E2513" s="1" t="s">
        <v>14059</v>
      </c>
      <c r="F2513" s="1" t="s">
        <v>14060</v>
      </c>
      <c r="G2513" s="1" t="s">
        <v>14061</v>
      </c>
      <c r="H2513" s="1" t="s">
        <v>14062</v>
      </c>
    </row>
    <row r="2514" spans="1:8" x14ac:dyDescent="0.3">
      <c r="A2514" s="2">
        <v>32122</v>
      </c>
      <c r="B2514" s="1" t="s">
        <v>14063</v>
      </c>
    </row>
    <row r="2515" spans="1:8" x14ac:dyDescent="0.3">
      <c r="A2515" s="2" t="s">
        <v>14064</v>
      </c>
      <c r="B2515" s="1" t="s">
        <v>12999</v>
      </c>
      <c r="C2515" s="1" t="s">
        <v>14065</v>
      </c>
      <c r="E2515" s="1" t="s">
        <v>14066</v>
      </c>
      <c r="F2515" s="1" t="s">
        <v>14067</v>
      </c>
      <c r="G2515" s="1" t="s">
        <v>14068</v>
      </c>
      <c r="H2515" s="1" t="s">
        <v>14069</v>
      </c>
    </row>
    <row r="2516" spans="1:8" x14ac:dyDescent="0.3">
      <c r="A2516" s="2" t="s">
        <v>14070</v>
      </c>
      <c r="B2516" s="1" t="s">
        <v>13007</v>
      </c>
      <c r="C2516" s="1" t="s">
        <v>14071</v>
      </c>
      <c r="D2516" s="1" t="s">
        <v>14072</v>
      </c>
      <c r="E2516" s="1" t="s">
        <v>14073</v>
      </c>
      <c r="F2516" s="1" t="s">
        <v>14074</v>
      </c>
      <c r="G2516" s="1" t="s">
        <v>14075</v>
      </c>
      <c r="H2516" s="1" t="s">
        <v>14076</v>
      </c>
    </row>
    <row r="2517" spans="1:8" x14ac:dyDescent="0.3">
      <c r="A2517" s="2">
        <v>32123</v>
      </c>
      <c r="B2517" s="1" t="s">
        <v>14077</v>
      </c>
    </row>
    <row r="2518" spans="1:8" x14ac:dyDescent="0.3">
      <c r="A2518" s="2" t="s">
        <v>14078</v>
      </c>
      <c r="B2518" s="1" t="s">
        <v>12999</v>
      </c>
      <c r="C2518" s="1" t="s">
        <v>14079</v>
      </c>
      <c r="D2518" s="1" t="s">
        <v>14080</v>
      </c>
      <c r="E2518" s="1" t="s">
        <v>14081</v>
      </c>
      <c r="F2518" s="1" t="s">
        <v>14082</v>
      </c>
      <c r="G2518" s="1" t="s">
        <v>14083</v>
      </c>
    </row>
    <row r="2519" spans="1:8" x14ac:dyDescent="0.3">
      <c r="A2519" s="2" t="s">
        <v>14084</v>
      </c>
      <c r="B2519" s="1" t="s">
        <v>13007</v>
      </c>
      <c r="C2519" s="1" t="s">
        <v>14085</v>
      </c>
      <c r="D2519" s="1" t="s">
        <v>14086</v>
      </c>
      <c r="E2519" s="1" t="s">
        <v>14087</v>
      </c>
      <c r="F2519" s="1" t="s">
        <v>14088</v>
      </c>
      <c r="G2519" s="1" t="s">
        <v>14089</v>
      </c>
    </row>
    <row r="2520" spans="1:8" x14ac:dyDescent="0.3">
      <c r="A2520" s="2">
        <v>32124</v>
      </c>
      <c r="B2520" s="1" t="s">
        <v>14090</v>
      </c>
    </row>
    <row r="2521" spans="1:8" x14ac:dyDescent="0.3">
      <c r="A2521" s="2" t="s">
        <v>14091</v>
      </c>
      <c r="B2521" s="1" t="s">
        <v>12999</v>
      </c>
      <c r="C2521" s="1" t="s">
        <v>14092</v>
      </c>
      <c r="D2521" s="1" t="s">
        <v>14093</v>
      </c>
      <c r="E2521" s="1" t="s">
        <v>14094</v>
      </c>
      <c r="F2521" s="1" t="s">
        <v>14095</v>
      </c>
      <c r="G2521" s="1" t="s">
        <v>14096</v>
      </c>
    </row>
    <row r="2522" spans="1:8" x14ac:dyDescent="0.3">
      <c r="A2522" s="2" t="s">
        <v>14097</v>
      </c>
      <c r="B2522" s="1" t="s">
        <v>13007</v>
      </c>
      <c r="C2522" s="1" t="s">
        <v>14098</v>
      </c>
      <c r="D2522" s="1" t="s">
        <v>14099</v>
      </c>
      <c r="E2522" s="1" t="s">
        <v>14100</v>
      </c>
      <c r="F2522" s="1" t="s">
        <v>14101</v>
      </c>
      <c r="G2522" s="1" t="s">
        <v>14102</v>
      </c>
      <c r="H2522" s="1" t="s">
        <v>14103</v>
      </c>
    </row>
    <row r="2523" spans="1:8" x14ac:dyDescent="0.3">
      <c r="A2523" s="2">
        <v>32125</v>
      </c>
      <c r="B2523" s="1" t="s">
        <v>14104</v>
      </c>
    </row>
    <row r="2524" spans="1:8" x14ac:dyDescent="0.3">
      <c r="A2524" s="2" t="s">
        <v>14105</v>
      </c>
      <c r="B2524" s="1" t="s">
        <v>12999</v>
      </c>
      <c r="C2524" s="1" t="s">
        <v>14106</v>
      </c>
      <c r="D2524" s="1" t="s">
        <v>14107</v>
      </c>
      <c r="E2524" s="1" t="s">
        <v>14108</v>
      </c>
      <c r="F2524" s="1" t="s">
        <v>14109</v>
      </c>
      <c r="G2524" s="1" t="s">
        <v>14110</v>
      </c>
      <c r="H2524" s="1" t="s">
        <v>14111</v>
      </c>
    </row>
    <row r="2525" spans="1:8" x14ac:dyDescent="0.3">
      <c r="A2525" s="2" t="s">
        <v>14112</v>
      </c>
      <c r="B2525" s="1" t="s">
        <v>13007</v>
      </c>
      <c r="C2525" s="1" t="s">
        <v>14113</v>
      </c>
      <c r="E2525" s="1" t="s">
        <v>14114</v>
      </c>
      <c r="F2525" s="1" t="s">
        <v>14115</v>
      </c>
      <c r="G2525" s="1" t="s">
        <v>14116</v>
      </c>
      <c r="H2525" s="1" t="s">
        <v>14117</v>
      </c>
    </row>
    <row r="2526" spans="1:8" x14ac:dyDescent="0.3">
      <c r="A2526" s="2">
        <v>32126</v>
      </c>
      <c r="B2526" s="1" t="s">
        <v>14118</v>
      </c>
    </row>
    <row r="2527" spans="1:8" x14ac:dyDescent="0.3">
      <c r="A2527" s="2" t="s">
        <v>14119</v>
      </c>
      <c r="B2527" s="1" t="s">
        <v>12999</v>
      </c>
      <c r="C2527" s="1" t="s">
        <v>14120</v>
      </c>
      <c r="D2527" s="1" t="s">
        <v>14121</v>
      </c>
      <c r="E2527" s="1" t="s">
        <v>14122</v>
      </c>
      <c r="F2527" s="1" t="s">
        <v>14123</v>
      </c>
      <c r="G2527" s="1" t="s">
        <v>14124</v>
      </c>
      <c r="H2527" s="1" t="s">
        <v>14125</v>
      </c>
    </row>
    <row r="2528" spans="1:8" x14ac:dyDescent="0.3">
      <c r="A2528" s="2" t="s">
        <v>14126</v>
      </c>
      <c r="B2528" s="1" t="s">
        <v>13007</v>
      </c>
      <c r="C2528" s="1" t="s">
        <v>14127</v>
      </c>
      <c r="D2528" s="1" t="s">
        <v>14128</v>
      </c>
      <c r="E2528" s="1" t="s">
        <v>14129</v>
      </c>
      <c r="F2528" s="1" t="s">
        <v>14130</v>
      </c>
      <c r="G2528" s="1" t="s">
        <v>14130</v>
      </c>
      <c r="H2528" s="1" t="s">
        <v>14131</v>
      </c>
    </row>
    <row r="2529" spans="1:8" x14ac:dyDescent="0.3">
      <c r="A2529" s="2">
        <v>32127</v>
      </c>
      <c r="B2529" s="1" t="s">
        <v>14132</v>
      </c>
      <c r="D2529" s="1" t="s">
        <v>57</v>
      </c>
    </row>
    <row r="2530" spans="1:8" x14ac:dyDescent="0.3">
      <c r="A2530" s="2" t="s">
        <v>14133</v>
      </c>
      <c r="B2530" s="1" t="s">
        <v>12999</v>
      </c>
      <c r="C2530" s="1" t="s">
        <v>14134</v>
      </c>
      <c r="E2530" s="1" t="s">
        <v>57</v>
      </c>
      <c r="F2530" s="1" t="s">
        <v>57</v>
      </c>
      <c r="G2530" s="1" t="s">
        <v>14135</v>
      </c>
      <c r="H2530" s="1" t="s">
        <v>14136</v>
      </c>
    </row>
    <row r="2531" spans="1:8" x14ac:dyDescent="0.3">
      <c r="A2531" s="2" t="s">
        <v>14137</v>
      </c>
      <c r="B2531" s="1" t="s">
        <v>13007</v>
      </c>
      <c r="C2531" s="1" t="s">
        <v>14138</v>
      </c>
      <c r="E2531" s="1" t="s">
        <v>57</v>
      </c>
      <c r="F2531" s="1" t="s">
        <v>57</v>
      </c>
      <c r="G2531" s="1" t="s">
        <v>14139</v>
      </c>
      <c r="H2531" s="1" t="s">
        <v>14140</v>
      </c>
    </row>
    <row r="2532" spans="1:8" x14ac:dyDescent="0.3">
      <c r="A2532" s="2">
        <v>32128</v>
      </c>
      <c r="B2532" s="1" t="s">
        <v>14141</v>
      </c>
    </row>
    <row r="2533" spans="1:8" x14ac:dyDescent="0.3">
      <c r="A2533" s="2" t="s">
        <v>14142</v>
      </c>
      <c r="B2533" s="1" t="s">
        <v>12999</v>
      </c>
      <c r="C2533" s="1" t="s">
        <v>14143</v>
      </c>
      <c r="E2533" s="1" t="s">
        <v>14144</v>
      </c>
      <c r="F2533" s="1" t="s">
        <v>14145</v>
      </c>
      <c r="G2533" s="1" t="s">
        <v>14146</v>
      </c>
      <c r="H2533" s="1" t="s">
        <v>14146</v>
      </c>
    </row>
    <row r="2534" spans="1:8" x14ac:dyDescent="0.3">
      <c r="A2534" s="2" t="s">
        <v>14147</v>
      </c>
      <c r="B2534" s="1" t="s">
        <v>13007</v>
      </c>
      <c r="C2534" s="1" t="s">
        <v>14148</v>
      </c>
      <c r="D2534" s="1" t="s">
        <v>14149</v>
      </c>
      <c r="E2534" s="1" t="s">
        <v>14150</v>
      </c>
      <c r="F2534" s="1" t="s">
        <v>14151</v>
      </c>
      <c r="G2534" s="1" t="s">
        <v>14152</v>
      </c>
      <c r="H2534" s="1" t="s">
        <v>14153</v>
      </c>
    </row>
    <row r="2535" spans="1:8" x14ac:dyDescent="0.3">
      <c r="A2535" s="2">
        <v>32129</v>
      </c>
      <c r="B2535" s="1" t="s">
        <v>14154</v>
      </c>
    </row>
    <row r="2536" spans="1:8" x14ac:dyDescent="0.3">
      <c r="A2536" s="2" t="s">
        <v>14155</v>
      </c>
      <c r="B2536" s="1" t="s">
        <v>12999</v>
      </c>
      <c r="C2536" s="1" t="s">
        <v>14156</v>
      </c>
      <c r="D2536" s="1" t="s">
        <v>14157</v>
      </c>
      <c r="E2536" s="1" t="s">
        <v>14158</v>
      </c>
      <c r="F2536" s="1" t="s">
        <v>14159</v>
      </c>
      <c r="G2536" s="1" t="s">
        <v>14160</v>
      </c>
      <c r="H2536" s="1" t="s">
        <v>14161</v>
      </c>
    </row>
    <row r="2537" spans="1:8" x14ac:dyDescent="0.3">
      <c r="A2537" s="2" t="s">
        <v>14162</v>
      </c>
      <c r="B2537" s="1" t="s">
        <v>13007</v>
      </c>
      <c r="C2537" s="1" t="s">
        <v>14163</v>
      </c>
      <c r="D2537" s="1" t="s">
        <v>14164</v>
      </c>
      <c r="E2537" s="1" t="s">
        <v>14165</v>
      </c>
      <c r="F2537" s="1" t="s">
        <v>14166</v>
      </c>
      <c r="G2537" s="1" t="s">
        <v>14167</v>
      </c>
      <c r="H2537" s="1" t="s">
        <v>14168</v>
      </c>
    </row>
    <row r="2538" spans="1:8" x14ac:dyDescent="0.3">
      <c r="A2538" s="2">
        <v>32130</v>
      </c>
      <c r="B2538" s="1" t="s">
        <v>14169</v>
      </c>
    </row>
    <row r="2539" spans="1:8" x14ac:dyDescent="0.3">
      <c r="A2539" s="2" t="s">
        <v>14170</v>
      </c>
      <c r="B2539" s="1" t="s">
        <v>12999</v>
      </c>
      <c r="C2539" s="1" t="s">
        <v>14171</v>
      </c>
      <c r="D2539" s="1" t="s">
        <v>14172</v>
      </c>
      <c r="E2539" s="1" t="s">
        <v>14173</v>
      </c>
      <c r="F2539" s="1" t="s">
        <v>14174</v>
      </c>
      <c r="G2539" s="1" t="s">
        <v>14175</v>
      </c>
      <c r="H2539" s="1" t="s">
        <v>14176</v>
      </c>
    </row>
    <row r="2540" spans="1:8" x14ac:dyDescent="0.3">
      <c r="A2540" s="2" t="s">
        <v>14177</v>
      </c>
      <c r="B2540" s="1" t="s">
        <v>13007</v>
      </c>
      <c r="C2540" s="1" t="s">
        <v>14178</v>
      </c>
      <c r="D2540" s="1" t="s">
        <v>14179</v>
      </c>
      <c r="E2540" s="1" t="s">
        <v>14180</v>
      </c>
      <c r="F2540" s="1" t="s">
        <v>14181</v>
      </c>
      <c r="G2540" s="1" t="s">
        <v>14182</v>
      </c>
      <c r="H2540" s="1" t="s">
        <v>14183</v>
      </c>
    </row>
    <row r="2541" spans="1:8" x14ac:dyDescent="0.3">
      <c r="A2541" s="2">
        <v>32131</v>
      </c>
      <c r="B2541" s="1" t="s">
        <v>14184</v>
      </c>
    </row>
    <row r="2542" spans="1:8" x14ac:dyDescent="0.3">
      <c r="A2542" s="2" t="s">
        <v>14185</v>
      </c>
      <c r="B2542" s="1" t="s">
        <v>12999</v>
      </c>
      <c r="C2542" s="1" t="s">
        <v>14186</v>
      </c>
      <c r="D2542" s="1" t="s">
        <v>14187</v>
      </c>
      <c r="E2542" s="1" t="s">
        <v>14188</v>
      </c>
      <c r="F2542" s="1" t="s">
        <v>14189</v>
      </c>
      <c r="G2542" s="1" t="s">
        <v>14190</v>
      </c>
      <c r="H2542" s="1" t="s">
        <v>14191</v>
      </c>
    </row>
    <row r="2543" spans="1:8" x14ac:dyDescent="0.3">
      <c r="A2543" s="2" t="s">
        <v>14192</v>
      </c>
      <c r="B2543" s="1" t="s">
        <v>13007</v>
      </c>
      <c r="C2543" s="1" t="s">
        <v>14193</v>
      </c>
      <c r="D2543" s="1" t="s">
        <v>14194</v>
      </c>
      <c r="E2543" s="1" t="s">
        <v>14195</v>
      </c>
      <c r="F2543" s="1" t="s">
        <v>14196</v>
      </c>
      <c r="G2543" s="1" t="s">
        <v>14197</v>
      </c>
      <c r="H2543" s="1" t="s">
        <v>14195</v>
      </c>
    </row>
    <row r="2544" spans="1:8" x14ac:dyDescent="0.3">
      <c r="A2544" s="2">
        <v>32132</v>
      </c>
      <c r="B2544" s="1" t="s">
        <v>14198</v>
      </c>
    </row>
    <row r="2545" spans="1:8" x14ac:dyDescent="0.3">
      <c r="A2545" s="2" t="s">
        <v>14199</v>
      </c>
      <c r="B2545" s="1" t="s">
        <v>12999</v>
      </c>
      <c r="C2545" s="1" t="s">
        <v>14200</v>
      </c>
      <c r="D2545" s="1" t="s">
        <v>14201</v>
      </c>
      <c r="E2545" s="1" t="s">
        <v>14202</v>
      </c>
      <c r="F2545" s="1" t="s">
        <v>14203</v>
      </c>
      <c r="G2545" s="1" t="s">
        <v>14204</v>
      </c>
      <c r="H2545" s="1" t="s">
        <v>14205</v>
      </c>
    </row>
    <row r="2546" spans="1:8" x14ac:dyDescent="0.3">
      <c r="A2546" s="2" t="s">
        <v>14206</v>
      </c>
      <c r="B2546" s="1" t="s">
        <v>13007</v>
      </c>
      <c r="C2546" s="1" t="s">
        <v>14207</v>
      </c>
      <c r="E2546" s="1" t="s">
        <v>14208</v>
      </c>
      <c r="F2546" s="1" t="s">
        <v>7566</v>
      </c>
      <c r="G2546" s="1" t="s">
        <v>14209</v>
      </c>
      <c r="H2546" s="1" t="s">
        <v>14210</v>
      </c>
    </row>
    <row r="2547" spans="1:8" x14ac:dyDescent="0.3">
      <c r="A2547" s="2">
        <v>32133</v>
      </c>
      <c r="B2547" s="1" t="s">
        <v>14211</v>
      </c>
    </row>
    <row r="2548" spans="1:8" x14ac:dyDescent="0.3">
      <c r="A2548" s="2" t="s">
        <v>14212</v>
      </c>
      <c r="B2548" s="1" t="s">
        <v>12999</v>
      </c>
      <c r="C2548" s="1" t="s">
        <v>14213</v>
      </c>
      <c r="D2548" s="1" t="s">
        <v>14214</v>
      </c>
      <c r="E2548" s="1" t="s">
        <v>14215</v>
      </c>
      <c r="F2548" s="1" t="s">
        <v>14216</v>
      </c>
      <c r="G2548" s="1" t="s">
        <v>14217</v>
      </c>
      <c r="H2548" s="1" t="s">
        <v>14218</v>
      </c>
    </row>
    <row r="2549" spans="1:8" x14ac:dyDescent="0.3">
      <c r="A2549" s="2" t="s">
        <v>14219</v>
      </c>
      <c r="B2549" s="1" t="s">
        <v>13007</v>
      </c>
      <c r="C2549" s="1" t="s">
        <v>14220</v>
      </c>
      <c r="D2549" s="1" t="s">
        <v>14221</v>
      </c>
      <c r="E2549" s="1" t="s">
        <v>14222</v>
      </c>
      <c r="F2549" s="1" t="s">
        <v>14223</v>
      </c>
      <c r="G2549" s="1" t="s">
        <v>14224</v>
      </c>
      <c r="H2549" s="1" t="s">
        <v>14225</v>
      </c>
    </row>
    <row r="2550" spans="1:8" x14ac:dyDescent="0.3">
      <c r="A2550" s="2">
        <v>32134</v>
      </c>
      <c r="B2550" s="1" t="s">
        <v>14226</v>
      </c>
    </row>
    <row r="2551" spans="1:8" x14ac:dyDescent="0.3">
      <c r="A2551" s="2" t="s">
        <v>14227</v>
      </c>
      <c r="B2551" s="1" t="s">
        <v>12999</v>
      </c>
      <c r="C2551" s="1" t="s">
        <v>14228</v>
      </c>
      <c r="D2551" s="1" t="s">
        <v>14229</v>
      </c>
      <c r="E2551" s="1" t="s">
        <v>14230</v>
      </c>
      <c r="F2551" s="1" t="s">
        <v>14231</v>
      </c>
      <c r="G2551" s="1" t="s">
        <v>14232</v>
      </c>
      <c r="H2551" s="1" t="s">
        <v>14233</v>
      </c>
    </row>
    <row r="2552" spans="1:8" x14ac:dyDescent="0.3">
      <c r="A2552" s="2" t="s">
        <v>14234</v>
      </c>
      <c r="B2552" s="1" t="s">
        <v>13007</v>
      </c>
      <c r="C2552" s="1" t="s">
        <v>14235</v>
      </c>
      <c r="D2552" s="1" t="s">
        <v>14236</v>
      </c>
      <c r="E2552" s="1" t="s">
        <v>14237</v>
      </c>
      <c r="F2552" s="1" t="s">
        <v>14238</v>
      </c>
      <c r="G2552" s="1" t="s">
        <v>14239</v>
      </c>
      <c r="H2552" s="1" t="s">
        <v>14240</v>
      </c>
    </row>
    <row r="2553" spans="1:8" x14ac:dyDescent="0.3">
      <c r="A2553" s="2">
        <v>32135</v>
      </c>
      <c r="B2553" s="1" t="s">
        <v>14241</v>
      </c>
    </row>
    <row r="2554" spans="1:8" x14ac:dyDescent="0.3">
      <c r="A2554" s="2" t="s">
        <v>14242</v>
      </c>
      <c r="B2554" s="1" t="s">
        <v>12999</v>
      </c>
      <c r="C2554" s="1" t="s">
        <v>10640</v>
      </c>
      <c r="D2554" s="1" t="s">
        <v>14243</v>
      </c>
      <c r="E2554" s="1" t="s">
        <v>14244</v>
      </c>
      <c r="F2554" s="1" t="s">
        <v>14245</v>
      </c>
      <c r="G2554" s="1" t="s">
        <v>14246</v>
      </c>
      <c r="H2554" s="1" t="s">
        <v>14247</v>
      </c>
    </row>
    <row r="2555" spans="1:8" x14ac:dyDescent="0.3">
      <c r="A2555" s="2" t="s">
        <v>14248</v>
      </c>
      <c r="B2555" s="1" t="s">
        <v>13007</v>
      </c>
      <c r="C2555" s="1" t="s">
        <v>14249</v>
      </c>
      <c r="D2555" s="1" t="s">
        <v>14250</v>
      </c>
      <c r="E2555" s="1" t="s">
        <v>14251</v>
      </c>
      <c r="F2555" s="1" t="s">
        <v>14252</v>
      </c>
      <c r="G2555" s="1" t="s">
        <v>14252</v>
      </c>
    </row>
    <row r="2556" spans="1:8" x14ac:dyDescent="0.3">
      <c r="A2556" s="2">
        <v>32136</v>
      </c>
      <c r="B2556" s="1" t="s">
        <v>14253</v>
      </c>
    </row>
    <row r="2557" spans="1:8" x14ac:dyDescent="0.3">
      <c r="A2557" s="2" t="s">
        <v>14254</v>
      </c>
      <c r="B2557" s="1" t="s">
        <v>12999</v>
      </c>
      <c r="C2557" s="1" t="s">
        <v>14255</v>
      </c>
      <c r="D2557" s="1" t="s">
        <v>14256</v>
      </c>
      <c r="E2557" s="1" t="s">
        <v>14257</v>
      </c>
      <c r="F2557" s="1" t="s">
        <v>14258</v>
      </c>
      <c r="G2557" s="1" t="s">
        <v>14259</v>
      </c>
      <c r="H2557" s="1" t="s">
        <v>14260</v>
      </c>
    </row>
    <row r="2558" spans="1:8" x14ac:dyDescent="0.3">
      <c r="A2558" s="2" t="s">
        <v>14261</v>
      </c>
      <c r="B2558" s="1" t="s">
        <v>13007</v>
      </c>
      <c r="C2558" s="1" t="s">
        <v>14262</v>
      </c>
      <c r="D2558" s="1" t="s">
        <v>14263</v>
      </c>
      <c r="E2558" s="1" t="s">
        <v>14264</v>
      </c>
      <c r="F2558" s="1" t="s">
        <v>14265</v>
      </c>
      <c r="G2558" s="1" t="s">
        <v>14266</v>
      </c>
      <c r="H2558" s="1" t="s">
        <v>14265</v>
      </c>
    </row>
    <row r="2559" spans="1:8" x14ac:dyDescent="0.3">
      <c r="A2559" s="2">
        <v>32137</v>
      </c>
      <c r="B2559" s="1" t="s">
        <v>14267</v>
      </c>
    </row>
    <row r="2560" spans="1:8" x14ac:dyDescent="0.3">
      <c r="A2560" s="2" t="s">
        <v>14268</v>
      </c>
      <c r="B2560" s="1" t="s">
        <v>12999</v>
      </c>
      <c r="C2560" s="1" t="s">
        <v>14269</v>
      </c>
      <c r="D2560" s="1" t="s">
        <v>14270</v>
      </c>
      <c r="E2560" s="1" t="s">
        <v>14271</v>
      </c>
      <c r="F2560" s="1" t="s">
        <v>14272</v>
      </c>
      <c r="G2560" s="1" t="s">
        <v>14273</v>
      </c>
      <c r="H2560" s="1" t="s">
        <v>14274</v>
      </c>
    </row>
    <row r="2561" spans="1:8" x14ac:dyDescent="0.3">
      <c r="A2561" s="2" t="s">
        <v>14275</v>
      </c>
      <c r="B2561" s="1" t="s">
        <v>13007</v>
      </c>
      <c r="C2561" s="1" t="s">
        <v>14276</v>
      </c>
      <c r="D2561" s="1" t="s">
        <v>14277</v>
      </c>
      <c r="E2561" s="1" t="s">
        <v>14278</v>
      </c>
      <c r="F2561" s="1" t="s">
        <v>14279</v>
      </c>
      <c r="G2561" s="1" t="s">
        <v>14280</v>
      </c>
      <c r="H2561" s="1" t="s">
        <v>14278</v>
      </c>
    </row>
    <row r="2562" spans="1:8" x14ac:dyDescent="0.3">
      <c r="A2562" s="2">
        <v>32138</v>
      </c>
      <c r="B2562" s="1" t="s">
        <v>14281</v>
      </c>
    </row>
    <row r="2563" spans="1:8" x14ac:dyDescent="0.3">
      <c r="A2563" s="2" t="s">
        <v>14282</v>
      </c>
      <c r="B2563" s="1" t="s">
        <v>12999</v>
      </c>
      <c r="C2563" s="1" t="s">
        <v>14283</v>
      </c>
      <c r="D2563" s="1" t="s">
        <v>14284</v>
      </c>
      <c r="E2563" s="1" t="s">
        <v>14285</v>
      </c>
      <c r="F2563" s="1" t="s">
        <v>14286</v>
      </c>
      <c r="G2563" s="1" t="s">
        <v>14287</v>
      </c>
      <c r="H2563" s="1" t="s">
        <v>14288</v>
      </c>
    </row>
    <row r="2564" spans="1:8" x14ac:dyDescent="0.3">
      <c r="A2564" s="2" t="s">
        <v>14289</v>
      </c>
      <c r="B2564" s="1" t="s">
        <v>13007</v>
      </c>
      <c r="C2564" s="1" t="s">
        <v>14290</v>
      </c>
      <c r="D2564" s="1" t="s">
        <v>14291</v>
      </c>
      <c r="E2564" s="1" t="s">
        <v>14292</v>
      </c>
      <c r="F2564" s="1" t="s">
        <v>14293</v>
      </c>
      <c r="H2564" s="1" t="s">
        <v>14294</v>
      </c>
    </row>
    <row r="2565" spans="1:8" x14ac:dyDescent="0.3">
      <c r="A2565" s="2">
        <v>32139</v>
      </c>
      <c r="B2565" s="1" t="s">
        <v>14295</v>
      </c>
    </row>
    <row r="2566" spans="1:8" x14ac:dyDescent="0.3">
      <c r="A2566" s="2" t="s">
        <v>14296</v>
      </c>
      <c r="B2566" s="1" t="s">
        <v>12999</v>
      </c>
      <c r="C2566" s="1" t="s">
        <v>14297</v>
      </c>
      <c r="D2566" s="1" t="s">
        <v>14298</v>
      </c>
      <c r="E2566" s="1" t="s">
        <v>14299</v>
      </c>
      <c r="F2566" s="1" t="s">
        <v>14300</v>
      </c>
      <c r="G2566" s="1" t="s">
        <v>14301</v>
      </c>
      <c r="H2566" s="1" t="s">
        <v>14302</v>
      </c>
    </row>
    <row r="2567" spans="1:8" x14ac:dyDescent="0.3">
      <c r="A2567" s="2" t="s">
        <v>14303</v>
      </c>
      <c r="B2567" s="1" t="s">
        <v>13007</v>
      </c>
      <c r="C2567" s="1" t="s">
        <v>14304</v>
      </c>
      <c r="D2567" s="1" t="s">
        <v>14305</v>
      </c>
      <c r="E2567" s="1" t="s">
        <v>14306</v>
      </c>
      <c r="F2567" s="1" t="s">
        <v>14307</v>
      </c>
      <c r="G2567" s="1" t="s">
        <v>14308</v>
      </c>
      <c r="H2567" s="1" t="s">
        <v>14309</v>
      </c>
    </row>
    <row r="2568" spans="1:8" x14ac:dyDescent="0.3">
      <c r="A2568" s="2">
        <v>32140</v>
      </c>
      <c r="B2568" s="1" t="s">
        <v>19627</v>
      </c>
    </row>
    <row r="2569" spans="1:8" x14ac:dyDescent="0.3">
      <c r="A2569" s="2" t="s">
        <v>14310</v>
      </c>
      <c r="B2569" s="1" t="s">
        <v>12999</v>
      </c>
      <c r="C2569" s="1" t="s">
        <v>14311</v>
      </c>
      <c r="D2569" s="1" t="s">
        <v>14312</v>
      </c>
      <c r="E2569" s="1" t="s">
        <v>14313</v>
      </c>
      <c r="F2569" s="1" t="s">
        <v>14314</v>
      </c>
      <c r="G2569" s="1" t="s">
        <v>14315</v>
      </c>
      <c r="H2569" s="1" t="s">
        <v>14314</v>
      </c>
    </row>
    <row r="2570" spans="1:8" x14ac:dyDescent="0.3">
      <c r="A2570" s="2" t="s">
        <v>14316</v>
      </c>
      <c r="B2570" s="1" t="s">
        <v>13007</v>
      </c>
      <c r="C2570" s="1" t="s">
        <v>14317</v>
      </c>
      <c r="D2570" s="1" t="s">
        <v>14318</v>
      </c>
      <c r="E2570" s="1" t="s">
        <v>14319</v>
      </c>
      <c r="F2570" s="1" t="s">
        <v>14320</v>
      </c>
      <c r="G2570" s="1" t="s">
        <v>14321</v>
      </c>
      <c r="H2570" s="1" t="s">
        <v>14322</v>
      </c>
    </row>
    <row r="2571" spans="1:8" x14ac:dyDescent="0.3">
      <c r="A2571" s="2">
        <v>32141</v>
      </c>
      <c r="B2571" s="1" t="s">
        <v>14323</v>
      </c>
    </row>
    <row r="2572" spans="1:8" x14ac:dyDescent="0.3">
      <c r="A2572" s="2" t="s">
        <v>14324</v>
      </c>
      <c r="B2572" s="1" t="s">
        <v>12999</v>
      </c>
      <c r="C2572" s="1" t="s">
        <v>14325</v>
      </c>
      <c r="D2572" s="1" t="s">
        <v>14326</v>
      </c>
      <c r="E2572" s="1" t="s">
        <v>14327</v>
      </c>
      <c r="F2572" s="1" t="s">
        <v>14328</v>
      </c>
      <c r="G2572" s="1" t="s">
        <v>14329</v>
      </c>
      <c r="H2572" s="1" t="s">
        <v>14330</v>
      </c>
    </row>
    <row r="2573" spans="1:8" x14ac:dyDescent="0.3">
      <c r="A2573" s="2" t="s">
        <v>14331</v>
      </c>
      <c r="B2573" s="1" t="s">
        <v>13007</v>
      </c>
      <c r="C2573" s="1" t="s">
        <v>14332</v>
      </c>
      <c r="D2573" s="1" t="s">
        <v>14333</v>
      </c>
      <c r="E2573" s="1" t="s">
        <v>14334</v>
      </c>
      <c r="F2573" s="1" t="s">
        <v>14335</v>
      </c>
      <c r="G2573" s="1" t="s">
        <v>14336</v>
      </c>
      <c r="H2573" s="1" t="s">
        <v>13974</v>
      </c>
    </row>
    <row r="2574" spans="1:8" x14ac:dyDescent="0.3">
      <c r="A2574" s="2">
        <v>32142</v>
      </c>
      <c r="B2574" s="1" t="s">
        <v>14337</v>
      </c>
    </row>
    <row r="2575" spans="1:8" x14ac:dyDescent="0.3">
      <c r="A2575" s="2" t="s">
        <v>14338</v>
      </c>
      <c r="B2575" s="1" t="s">
        <v>12999</v>
      </c>
      <c r="C2575" s="1" t="s">
        <v>14339</v>
      </c>
      <c r="D2575" s="1" t="s">
        <v>14340</v>
      </c>
      <c r="E2575" s="1" t="s">
        <v>14341</v>
      </c>
      <c r="F2575" s="1" t="s">
        <v>14342</v>
      </c>
      <c r="G2575" s="1" t="s">
        <v>14343</v>
      </c>
      <c r="H2575" s="1" t="s">
        <v>14344</v>
      </c>
    </row>
    <row r="2576" spans="1:8" x14ac:dyDescent="0.3">
      <c r="A2576" s="2" t="s">
        <v>14345</v>
      </c>
      <c r="B2576" s="1" t="s">
        <v>13007</v>
      </c>
      <c r="C2576" s="1" t="s">
        <v>14346</v>
      </c>
      <c r="E2576" s="1" t="s">
        <v>14347</v>
      </c>
      <c r="F2576" s="1" t="s">
        <v>14348</v>
      </c>
      <c r="G2576" s="1" t="s">
        <v>14349</v>
      </c>
      <c r="H2576" s="1" t="s">
        <v>14349</v>
      </c>
    </row>
    <row r="2577" spans="1:8" x14ac:dyDescent="0.3">
      <c r="A2577" s="2">
        <v>32143</v>
      </c>
      <c r="B2577" s="1" t="s">
        <v>14350</v>
      </c>
    </row>
    <row r="2578" spans="1:8" x14ac:dyDescent="0.3">
      <c r="A2578" s="2" t="s">
        <v>14351</v>
      </c>
      <c r="B2578" s="1" t="s">
        <v>12999</v>
      </c>
      <c r="C2578" s="1" t="s">
        <v>14352</v>
      </c>
      <c r="D2578" s="1" t="s">
        <v>14353</v>
      </c>
      <c r="E2578" s="1" t="s">
        <v>14354</v>
      </c>
      <c r="F2578" s="1" t="s">
        <v>14355</v>
      </c>
      <c r="G2578" s="1" t="s">
        <v>14356</v>
      </c>
      <c r="H2578" s="1" t="s">
        <v>14357</v>
      </c>
    </row>
    <row r="2579" spans="1:8" x14ac:dyDescent="0.3">
      <c r="A2579" s="2" t="s">
        <v>14358</v>
      </c>
      <c r="B2579" s="1" t="s">
        <v>13007</v>
      </c>
      <c r="C2579" s="1" t="s">
        <v>14359</v>
      </c>
      <c r="D2579" s="1" t="s">
        <v>14360</v>
      </c>
      <c r="E2579" s="1" t="s">
        <v>14361</v>
      </c>
      <c r="F2579" s="1" t="s">
        <v>14362</v>
      </c>
      <c r="H2579" s="1" t="s">
        <v>14363</v>
      </c>
    </row>
    <row r="2580" spans="1:8" x14ac:dyDescent="0.3">
      <c r="A2580" s="2">
        <v>32144</v>
      </c>
      <c r="B2580" s="1" t="s">
        <v>14364</v>
      </c>
    </row>
    <row r="2581" spans="1:8" x14ac:dyDescent="0.3">
      <c r="A2581" s="2" t="s">
        <v>14365</v>
      </c>
      <c r="B2581" s="1" t="s">
        <v>12999</v>
      </c>
      <c r="C2581" s="1" t="s">
        <v>14366</v>
      </c>
      <c r="D2581" s="1" t="s">
        <v>14367</v>
      </c>
      <c r="E2581" s="1" t="s">
        <v>14368</v>
      </c>
      <c r="F2581" s="1" t="s">
        <v>14369</v>
      </c>
      <c r="G2581" s="1" t="s">
        <v>14370</v>
      </c>
      <c r="H2581" s="1" t="s">
        <v>14371</v>
      </c>
    </row>
    <row r="2582" spans="1:8" x14ac:dyDescent="0.3">
      <c r="A2582" s="2" t="s">
        <v>14372</v>
      </c>
      <c r="B2582" s="1" t="s">
        <v>13007</v>
      </c>
      <c r="C2582" s="1" t="s">
        <v>14373</v>
      </c>
      <c r="D2582" s="1" t="s">
        <v>10771</v>
      </c>
      <c r="E2582" s="1" t="s">
        <v>14374</v>
      </c>
      <c r="F2582" s="1" t="s">
        <v>14375</v>
      </c>
      <c r="G2582" s="1" t="s">
        <v>14376</v>
      </c>
      <c r="H2582" s="1" t="s">
        <v>14377</v>
      </c>
    </row>
    <row r="2583" spans="1:8" x14ac:dyDescent="0.3">
      <c r="A2583" s="2">
        <v>32145</v>
      </c>
      <c r="B2583" s="1" t="s">
        <v>14378</v>
      </c>
    </row>
    <row r="2584" spans="1:8" x14ac:dyDescent="0.3">
      <c r="A2584" s="2" t="s">
        <v>14379</v>
      </c>
      <c r="B2584" s="1" t="s">
        <v>12999</v>
      </c>
      <c r="C2584" s="1" t="s">
        <v>14380</v>
      </c>
      <c r="D2584" s="1" t="s">
        <v>14381</v>
      </c>
      <c r="E2584" s="1" t="s">
        <v>14382</v>
      </c>
      <c r="F2584" s="1" t="s">
        <v>14383</v>
      </c>
      <c r="G2584" s="1" t="s">
        <v>14384</v>
      </c>
      <c r="H2584" s="1" t="s">
        <v>14385</v>
      </c>
    </row>
    <row r="2585" spans="1:8" x14ac:dyDescent="0.3">
      <c r="A2585" s="2" t="s">
        <v>14386</v>
      </c>
      <c r="B2585" s="1" t="s">
        <v>13007</v>
      </c>
      <c r="C2585" s="1" t="s">
        <v>14387</v>
      </c>
      <c r="D2585" s="1" t="s">
        <v>14388</v>
      </c>
      <c r="E2585" s="1" t="s">
        <v>14389</v>
      </c>
      <c r="F2585" s="1" t="s">
        <v>14390</v>
      </c>
      <c r="G2585" s="1" t="s">
        <v>14391</v>
      </c>
      <c r="H2585" s="1" t="s">
        <v>14390</v>
      </c>
    </row>
    <row r="2586" spans="1:8" x14ac:dyDescent="0.3">
      <c r="A2586" s="2">
        <v>32146</v>
      </c>
      <c r="B2586" s="1" t="s">
        <v>14392</v>
      </c>
    </row>
    <row r="2587" spans="1:8" x14ac:dyDescent="0.3">
      <c r="A2587" s="2" t="s">
        <v>14393</v>
      </c>
      <c r="B2587" s="1" t="s">
        <v>12999</v>
      </c>
      <c r="C2587" s="1" t="s">
        <v>14394</v>
      </c>
      <c r="D2587" s="1" t="s">
        <v>14395</v>
      </c>
      <c r="E2587" s="1" t="s">
        <v>14396</v>
      </c>
      <c r="F2587" s="1" t="s">
        <v>14397</v>
      </c>
      <c r="G2587" s="1" t="s">
        <v>14398</v>
      </c>
      <c r="H2587" s="1" t="s">
        <v>14399</v>
      </c>
    </row>
    <row r="2588" spans="1:8" x14ac:dyDescent="0.3">
      <c r="A2588" s="2" t="s">
        <v>14400</v>
      </c>
      <c r="B2588" s="1" t="s">
        <v>13007</v>
      </c>
      <c r="C2588" s="1" t="s">
        <v>14401</v>
      </c>
      <c r="D2588" s="1" t="s">
        <v>14402</v>
      </c>
      <c r="E2588" s="1" t="s">
        <v>14403</v>
      </c>
      <c r="F2588" s="1" t="s">
        <v>14404</v>
      </c>
      <c r="G2588" s="1" t="s">
        <v>14405</v>
      </c>
      <c r="H2588" s="1" t="s">
        <v>14406</v>
      </c>
    </row>
    <row r="2589" spans="1:8" x14ac:dyDescent="0.3">
      <c r="A2589" s="2">
        <v>32147</v>
      </c>
      <c r="B2589" s="1" t="s">
        <v>14407</v>
      </c>
    </row>
    <row r="2590" spans="1:8" x14ac:dyDescent="0.3">
      <c r="A2590" s="2" t="s">
        <v>14408</v>
      </c>
      <c r="B2590" s="1" t="s">
        <v>12999</v>
      </c>
      <c r="C2590" s="1" t="s">
        <v>14409</v>
      </c>
      <c r="D2590" s="1" t="s">
        <v>14410</v>
      </c>
      <c r="E2590" s="1" t="s">
        <v>14411</v>
      </c>
      <c r="F2590" s="1" t="s">
        <v>14412</v>
      </c>
      <c r="G2590" s="1" t="s">
        <v>14413</v>
      </c>
      <c r="H2590" s="1" t="s">
        <v>14414</v>
      </c>
    </row>
    <row r="2591" spans="1:8" x14ac:dyDescent="0.3">
      <c r="A2591" s="2" t="s">
        <v>14415</v>
      </c>
      <c r="B2591" s="1" t="s">
        <v>13007</v>
      </c>
      <c r="C2591" s="1" t="s">
        <v>14416</v>
      </c>
      <c r="E2591" s="1" t="s">
        <v>14417</v>
      </c>
      <c r="F2591" s="1" t="s">
        <v>14418</v>
      </c>
      <c r="G2591" s="1" t="s">
        <v>14419</v>
      </c>
      <c r="H2591" s="1" t="s">
        <v>14420</v>
      </c>
    </row>
    <row r="2592" spans="1:8" x14ac:dyDescent="0.3">
      <c r="A2592" s="2">
        <v>32148</v>
      </c>
      <c r="B2592" s="1" t="s">
        <v>14421</v>
      </c>
    </row>
    <row r="2593" spans="1:8" x14ac:dyDescent="0.3">
      <c r="A2593" s="2" t="s">
        <v>14422</v>
      </c>
      <c r="B2593" s="1" t="s">
        <v>12999</v>
      </c>
      <c r="C2593" s="1" t="s">
        <v>14423</v>
      </c>
      <c r="D2593" s="1" t="s">
        <v>14424</v>
      </c>
      <c r="E2593" s="1" t="s">
        <v>14425</v>
      </c>
      <c r="F2593" s="1" t="s">
        <v>10584</v>
      </c>
      <c r="G2593" s="1" t="s">
        <v>10584</v>
      </c>
      <c r="H2593" s="1" t="s">
        <v>14426</v>
      </c>
    </row>
    <row r="2594" spans="1:8" x14ac:dyDescent="0.3">
      <c r="A2594" s="2" t="s">
        <v>14427</v>
      </c>
      <c r="B2594" s="1" t="s">
        <v>13007</v>
      </c>
      <c r="C2594" s="1" t="s">
        <v>14428</v>
      </c>
      <c r="D2594" s="1" t="s">
        <v>14429</v>
      </c>
      <c r="E2594" s="1" t="s">
        <v>14430</v>
      </c>
      <c r="F2594" s="1" t="s">
        <v>14431</v>
      </c>
      <c r="G2594" s="1" t="s">
        <v>14432</v>
      </c>
      <c r="H2594" s="1" t="s">
        <v>14433</v>
      </c>
    </row>
    <row r="2595" spans="1:8" x14ac:dyDescent="0.3">
      <c r="A2595" s="2">
        <v>32149</v>
      </c>
      <c r="B2595" s="1" t="s">
        <v>14434</v>
      </c>
    </row>
    <row r="2596" spans="1:8" x14ac:dyDescent="0.3">
      <c r="A2596" s="2" t="s">
        <v>14435</v>
      </c>
      <c r="B2596" s="1" t="s">
        <v>12999</v>
      </c>
      <c r="C2596" s="1" t="s">
        <v>14436</v>
      </c>
      <c r="D2596" s="1" t="s">
        <v>14437</v>
      </c>
      <c r="E2596" s="1" t="s">
        <v>14438</v>
      </c>
      <c r="F2596" s="1" t="s">
        <v>14439</v>
      </c>
      <c r="G2596" s="1" t="s">
        <v>14440</v>
      </c>
      <c r="H2596" s="1" t="s">
        <v>14441</v>
      </c>
    </row>
    <row r="2597" spans="1:8" x14ac:dyDescent="0.3">
      <c r="A2597" s="2" t="s">
        <v>14442</v>
      </c>
      <c r="B2597" s="1" t="s">
        <v>13007</v>
      </c>
      <c r="C2597" s="1" t="s">
        <v>14443</v>
      </c>
      <c r="D2597" s="1" t="s">
        <v>14444</v>
      </c>
      <c r="E2597" s="1" t="s">
        <v>14445</v>
      </c>
      <c r="F2597" s="1" t="s">
        <v>14446</v>
      </c>
      <c r="G2597" s="1" t="s">
        <v>14447</v>
      </c>
      <c r="H2597" s="1" t="s">
        <v>14448</v>
      </c>
    </row>
    <row r="2598" spans="1:8" x14ac:dyDescent="0.3">
      <c r="A2598" s="2">
        <v>32150</v>
      </c>
      <c r="B2598" s="1" t="s">
        <v>14449</v>
      </c>
    </row>
    <row r="2599" spans="1:8" x14ac:dyDescent="0.3">
      <c r="A2599" s="2" t="s">
        <v>14450</v>
      </c>
      <c r="B2599" s="1" t="s">
        <v>12999</v>
      </c>
      <c r="C2599" s="1" t="s">
        <v>14451</v>
      </c>
      <c r="D2599" s="1" t="s">
        <v>14452</v>
      </c>
      <c r="E2599" s="1" t="s">
        <v>14453</v>
      </c>
      <c r="F2599" s="1" t="s">
        <v>14454</v>
      </c>
      <c r="G2599" s="1" t="s">
        <v>14455</v>
      </c>
      <c r="H2599" s="1" t="s">
        <v>14456</v>
      </c>
    </row>
    <row r="2600" spans="1:8" x14ac:dyDescent="0.3">
      <c r="A2600" s="2" t="s">
        <v>14457</v>
      </c>
      <c r="B2600" s="1" t="s">
        <v>13007</v>
      </c>
      <c r="C2600" s="1" t="s">
        <v>14458</v>
      </c>
      <c r="D2600" s="1" t="s">
        <v>14459</v>
      </c>
      <c r="E2600" s="1" t="s">
        <v>14460</v>
      </c>
      <c r="F2600" s="1" t="s">
        <v>14461</v>
      </c>
      <c r="G2600" s="1" t="s">
        <v>14462</v>
      </c>
      <c r="H2600" s="1" t="s">
        <v>14463</v>
      </c>
    </row>
    <row r="2601" spans="1:8" x14ac:dyDescent="0.3">
      <c r="A2601" s="2">
        <v>32151</v>
      </c>
      <c r="B2601" s="1" t="s">
        <v>14464</v>
      </c>
    </row>
    <row r="2602" spans="1:8" x14ac:dyDescent="0.3">
      <c r="A2602" s="2" t="s">
        <v>14465</v>
      </c>
      <c r="B2602" s="1" t="s">
        <v>12999</v>
      </c>
      <c r="C2602" s="1" t="s">
        <v>14466</v>
      </c>
      <c r="D2602" s="1" t="s">
        <v>14467</v>
      </c>
      <c r="E2602" s="1" t="s">
        <v>14468</v>
      </c>
      <c r="F2602" s="1" t="s">
        <v>14469</v>
      </c>
      <c r="G2602" s="1" t="s">
        <v>14470</v>
      </c>
      <c r="H2602" s="1" t="s">
        <v>14471</v>
      </c>
    </row>
    <row r="2603" spans="1:8" x14ac:dyDescent="0.3">
      <c r="A2603" s="2" t="s">
        <v>14472</v>
      </c>
      <c r="B2603" s="1" t="s">
        <v>13007</v>
      </c>
      <c r="C2603" s="1" t="s">
        <v>14473</v>
      </c>
      <c r="D2603" s="1" t="s">
        <v>14474</v>
      </c>
      <c r="E2603" s="1" t="s">
        <v>14475</v>
      </c>
      <c r="F2603" s="1" t="s">
        <v>14476</v>
      </c>
      <c r="G2603" s="1" t="s">
        <v>14477</v>
      </c>
      <c r="H2603" s="1" t="s">
        <v>14478</v>
      </c>
    </row>
    <row r="2604" spans="1:8" x14ac:dyDescent="0.3">
      <c r="A2604" s="2">
        <v>32152</v>
      </c>
      <c r="B2604" s="1" t="s">
        <v>14479</v>
      </c>
    </row>
    <row r="2605" spans="1:8" x14ac:dyDescent="0.3">
      <c r="A2605" s="2" t="s">
        <v>14480</v>
      </c>
      <c r="B2605" s="1" t="s">
        <v>12999</v>
      </c>
      <c r="C2605" s="1" t="s">
        <v>14481</v>
      </c>
      <c r="D2605" s="1" t="s">
        <v>14482</v>
      </c>
      <c r="E2605" s="1" t="s">
        <v>14483</v>
      </c>
      <c r="F2605" s="1" t="s">
        <v>14484</v>
      </c>
      <c r="G2605" s="1" t="s">
        <v>14484</v>
      </c>
      <c r="H2605" s="1" t="s">
        <v>14485</v>
      </c>
    </row>
    <row r="2606" spans="1:8" x14ac:dyDescent="0.3">
      <c r="A2606" s="2" t="s">
        <v>14486</v>
      </c>
      <c r="B2606" s="1" t="s">
        <v>13007</v>
      </c>
      <c r="C2606" s="1" t="s">
        <v>14487</v>
      </c>
      <c r="D2606" s="1" t="s">
        <v>14488</v>
      </c>
      <c r="E2606" s="1" t="s">
        <v>14489</v>
      </c>
      <c r="F2606" s="1" t="s">
        <v>14489</v>
      </c>
      <c r="G2606" s="1" t="s">
        <v>14489</v>
      </c>
      <c r="H2606" s="1" t="s">
        <v>14490</v>
      </c>
    </row>
    <row r="2607" spans="1:8" x14ac:dyDescent="0.3">
      <c r="A2607" s="2">
        <v>32153</v>
      </c>
      <c r="B2607" s="1" t="s">
        <v>14491</v>
      </c>
    </row>
    <row r="2608" spans="1:8" x14ac:dyDescent="0.3">
      <c r="A2608" s="2" t="s">
        <v>14492</v>
      </c>
      <c r="B2608" s="1" t="s">
        <v>12999</v>
      </c>
      <c r="C2608" s="1" t="s">
        <v>14493</v>
      </c>
      <c r="D2608" s="1" t="s">
        <v>14494</v>
      </c>
      <c r="E2608" s="1" t="s">
        <v>14495</v>
      </c>
      <c r="F2608" s="1" t="s">
        <v>14496</v>
      </c>
      <c r="G2608" s="1" t="s">
        <v>14497</v>
      </c>
      <c r="H2608" s="1" t="s">
        <v>14496</v>
      </c>
    </row>
    <row r="2609" spans="1:8" x14ac:dyDescent="0.3">
      <c r="A2609" s="2" t="s">
        <v>14498</v>
      </c>
      <c r="B2609" s="1" t="s">
        <v>13007</v>
      </c>
      <c r="C2609" s="1" t="s">
        <v>14493</v>
      </c>
      <c r="D2609" s="1" t="s">
        <v>14499</v>
      </c>
      <c r="E2609" s="1" t="s">
        <v>14500</v>
      </c>
      <c r="F2609" s="1" t="s">
        <v>14501</v>
      </c>
      <c r="G2609" s="1" t="s">
        <v>14502</v>
      </c>
      <c r="H2609" s="1" t="s">
        <v>14501</v>
      </c>
    </row>
    <row r="2610" spans="1:8" x14ac:dyDescent="0.3">
      <c r="A2610" s="2">
        <v>32154</v>
      </c>
      <c r="B2610" s="1" t="s">
        <v>14503</v>
      </c>
    </row>
    <row r="2611" spans="1:8" x14ac:dyDescent="0.3">
      <c r="A2611" s="2" t="s">
        <v>14504</v>
      </c>
      <c r="B2611" s="1" t="s">
        <v>12999</v>
      </c>
      <c r="C2611" s="1" t="s">
        <v>14505</v>
      </c>
      <c r="D2611" s="1" t="s">
        <v>14506</v>
      </c>
      <c r="E2611" s="1" t="s">
        <v>14507</v>
      </c>
      <c r="F2611" s="1" t="s">
        <v>14508</v>
      </c>
      <c r="G2611" s="1" t="s">
        <v>14509</v>
      </c>
      <c r="H2611" s="1" t="s">
        <v>14510</v>
      </c>
    </row>
    <row r="2612" spans="1:8" x14ac:dyDescent="0.3">
      <c r="A2612" s="2" t="s">
        <v>14511</v>
      </c>
      <c r="B2612" s="1" t="s">
        <v>13007</v>
      </c>
      <c r="C2612" s="1" t="s">
        <v>14512</v>
      </c>
      <c r="D2612" s="1" t="s">
        <v>14513</v>
      </c>
      <c r="E2612" s="1" t="s">
        <v>14514</v>
      </c>
      <c r="F2612" s="1" t="s">
        <v>14515</v>
      </c>
      <c r="G2612" s="1" t="s">
        <v>14516</v>
      </c>
      <c r="H2612" s="1" t="s">
        <v>14517</v>
      </c>
    </row>
    <row r="2613" spans="1:8" x14ac:dyDescent="0.3">
      <c r="A2613" s="2">
        <v>32155</v>
      </c>
      <c r="B2613" s="1" t="s">
        <v>14518</v>
      </c>
    </row>
    <row r="2614" spans="1:8" x14ac:dyDescent="0.3">
      <c r="A2614" s="2" t="s">
        <v>14519</v>
      </c>
      <c r="B2614" s="1" t="s">
        <v>12999</v>
      </c>
      <c r="C2614" s="1" t="s">
        <v>14520</v>
      </c>
      <c r="D2614" s="1" t="s">
        <v>14521</v>
      </c>
      <c r="G2614" s="1" t="s">
        <v>14522</v>
      </c>
      <c r="H2614" s="1" t="s">
        <v>14523</v>
      </c>
    </row>
    <row r="2615" spans="1:8" x14ac:dyDescent="0.3">
      <c r="A2615" s="2" t="s">
        <v>14524</v>
      </c>
      <c r="B2615" s="1" t="s">
        <v>13007</v>
      </c>
      <c r="C2615" s="1" t="s">
        <v>14525</v>
      </c>
      <c r="D2615" s="1" t="s">
        <v>14526</v>
      </c>
      <c r="F2615" s="1" t="s">
        <v>14527</v>
      </c>
      <c r="G2615" s="1" t="s">
        <v>14527</v>
      </c>
      <c r="H2615" s="1" t="s">
        <v>14528</v>
      </c>
    </row>
    <row r="2616" spans="1:8" x14ac:dyDescent="0.3">
      <c r="A2616" s="2">
        <v>32156</v>
      </c>
      <c r="B2616" s="1" t="s">
        <v>14529</v>
      </c>
    </row>
    <row r="2617" spans="1:8" x14ac:dyDescent="0.3">
      <c r="A2617" s="2" t="s">
        <v>14530</v>
      </c>
      <c r="B2617" s="1" t="s">
        <v>12999</v>
      </c>
      <c r="C2617" s="1" t="s">
        <v>14531</v>
      </c>
      <c r="E2617" s="1" t="s">
        <v>14532</v>
      </c>
      <c r="F2617" s="1" t="s">
        <v>14533</v>
      </c>
      <c r="G2617" s="1" t="s">
        <v>14534</v>
      </c>
      <c r="H2617" s="1" t="s">
        <v>14535</v>
      </c>
    </row>
    <row r="2618" spans="1:8" x14ac:dyDescent="0.3">
      <c r="A2618" s="2" t="s">
        <v>14536</v>
      </c>
      <c r="B2618" s="1" t="s">
        <v>13007</v>
      </c>
      <c r="C2618" s="1" t="s">
        <v>14537</v>
      </c>
      <c r="D2618" s="1" t="s">
        <v>14538</v>
      </c>
      <c r="E2618" s="1" t="s">
        <v>14539</v>
      </c>
      <c r="F2618" s="1" t="s">
        <v>14540</v>
      </c>
      <c r="G2618" s="1" t="s">
        <v>14540</v>
      </c>
      <c r="H2618" s="1" t="s">
        <v>14541</v>
      </c>
    </row>
    <row r="2619" spans="1:8" x14ac:dyDescent="0.3">
      <c r="A2619" s="2">
        <v>32157</v>
      </c>
      <c r="B2619" s="1" t="s">
        <v>14542</v>
      </c>
    </row>
    <row r="2620" spans="1:8" x14ac:dyDescent="0.3">
      <c r="A2620" s="2" t="s">
        <v>14543</v>
      </c>
      <c r="B2620" s="1" t="s">
        <v>12999</v>
      </c>
      <c r="C2620" s="1" t="s">
        <v>14544</v>
      </c>
      <c r="D2620" s="1" t="s">
        <v>14545</v>
      </c>
      <c r="E2620" s="1" t="s">
        <v>14546</v>
      </c>
      <c r="F2620" s="1" t="s">
        <v>14547</v>
      </c>
      <c r="G2620" s="1" t="s">
        <v>14548</v>
      </c>
      <c r="H2620" s="1" t="s">
        <v>14549</v>
      </c>
    </row>
    <row r="2621" spans="1:8" x14ac:dyDescent="0.3">
      <c r="A2621" s="2" t="s">
        <v>14550</v>
      </c>
      <c r="B2621" s="1" t="s">
        <v>13007</v>
      </c>
      <c r="C2621" s="1" t="s">
        <v>14551</v>
      </c>
      <c r="D2621" s="1" t="s">
        <v>14552</v>
      </c>
      <c r="E2621" s="1" t="s">
        <v>14553</v>
      </c>
      <c r="F2621" s="1" t="s">
        <v>14554</v>
      </c>
      <c r="G2621" s="1" t="s">
        <v>14555</v>
      </c>
      <c r="H2621" s="1" t="s">
        <v>14556</v>
      </c>
    </row>
    <row r="2622" spans="1:8" x14ac:dyDescent="0.3">
      <c r="A2622" s="2">
        <v>32158</v>
      </c>
      <c r="B2622" s="1" t="s">
        <v>14557</v>
      </c>
    </row>
    <row r="2623" spans="1:8" x14ac:dyDescent="0.3">
      <c r="A2623" s="2" t="s">
        <v>14558</v>
      </c>
      <c r="B2623" s="1" t="s">
        <v>12999</v>
      </c>
      <c r="C2623" s="1" t="s">
        <v>14559</v>
      </c>
      <c r="D2623" s="1" t="s">
        <v>14560</v>
      </c>
      <c r="E2623" s="1" t="s">
        <v>14561</v>
      </c>
      <c r="F2623" s="1" t="s">
        <v>14562</v>
      </c>
      <c r="G2623" s="1" t="s">
        <v>14563</v>
      </c>
      <c r="H2623" s="1" t="s">
        <v>14564</v>
      </c>
    </row>
    <row r="2624" spans="1:8" x14ac:dyDescent="0.3">
      <c r="A2624" s="2" t="s">
        <v>14565</v>
      </c>
      <c r="B2624" s="1" t="s">
        <v>13007</v>
      </c>
      <c r="C2624" s="1" t="s">
        <v>14566</v>
      </c>
      <c r="D2624" s="1" t="s">
        <v>14567</v>
      </c>
      <c r="E2624" s="1" t="s">
        <v>14568</v>
      </c>
      <c r="F2624" s="1" t="s">
        <v>14569</v>
      </c>
      <c r="G2624" s="1" t="s">
        <v>14570</v>
      </c>
      <c r="H2624" s="1" t="s">
        <v>14571</v>
      </c>
    </row>
    <row r="2625" spans="1:8" x14ac:dyDescent="0.3">
      <c r="A2625" s="2">
        <v>32159</v>
      </c>
      <c r="B2625" s="1" t="s">
        <v>14572</v>
      </c>
    </row>
    <row r="2626" spans="1:8" x14ac:dyDescent="0.3">
      <c r="A2626" s="2" t="s">
        <v>14573</v>
      </c>
      <c r="B2626" s="1" t="s">
        <v>12999</v>
      </c>
      <c r="C2626" s="1" t="s">
        <v>14574</v>
      </c>
      <c r="D2626" s="1" t="s">
        <v>14575</v>
      </c>
      <c r="E2626" s="1" t="s">
        <v>14576</v>
      </c>
      <c r="F2626" s="1" t="s">
        <v>14577</v>
      </c>
      <c r="G2626" s="1" t="s">
        <v>14578</v>
      </c>
      <c r="H2626" s="1" t="s">
        <v>14579</v>
      </c>
    </row>
    <row r="2627" spans="1:8" x14ac:dyDescent="0.3">
      <c r="A2627" s="2" t="s">
        <v>14580</v>
      </c>
      <c r="B2627" s="1" t="s">
        <v>13007</v>
      </c>
      <c r="C2627" s="1" t="s">
        <v>14581</v>
      </c>
      <c r="D2627" s="1" t="s">
        <v>14582</v>
      </c>
      <c r="E2627" s="1" t="s">
        <v>14583</v>
      </c>
      <c r="F2627" s="1" t="s">
        <v>14584</v>
      </c>
      <c r="G2627" s="1" t="s">
        <v>14585</v>
      </c>
      <c r="H2627" s="1" t="s">
        <v>14586</v>
      </c>
    </row>
    <row r="2628" spans="1:8" x14ac:dyDescent="0.3">
      <c r="A2628" s="2">
        <v>32160</v>
      </c>
      <c r="B2628" s="1" t="s">
        <v>14587</v>
      </c>
    </row>
    <row r="2629" spans="1:8" x14ac:dyDescent="0.3">
      <c r="A2629" s="2" t="s">
        <v>14588</v>
      </c>
      <c r="B2629" s="1" t="s">
        <v>12999</v>
      </c>
      <c r="C2629" s="1" t="s">
        <v>14589</v>
      </c>
      <c r="D2629" s="1" t="s">
        <v>14590</v>
      </c>
      <c r="E2629" s="1" t="s">
        <v>14591</v>
      </c>
      <c r="F2629" s="1" t="s">
        <v>14592</v>
      </c>
      <c r="G2629" s="1" t="s">
        <v>14593</v>
      </c>
      <c r="H2629" s="1" t="s">
        <v>14594</v>
      </c>
    </row>
    <row r="2630" spans="1:8" x14ac:dyDescent="0.3">
      <c r="A2630" s="2" t="s">
        <v>14595</v>
      </c>
      <c r="B2630" s="1" t="s">
        <v>13007</v>
      </c>
      <c r="C2630" s="1" t="s">
        <v>14596</v>
      </c>
      <c r="D2630" s="1" t="s">
        <v>14597</v>
      </c>
      <c r="E2630" s="1" t="s">
        <v>14598</v>
      </c>
      <c r="F2630" s="1" t="s">
        <v>14599</v>
      </c>
      <c r="G2630" s="1" t="s">
        <v>14599</v>
      </c>
      <c r="H2630" s="1" t="s">
        <v>14600</v>
      </c>
    </row>
    <row r="2631" spans="1:8" x14ac:dyDescent="0.3">
      <c r="A2631" s="2">
        <v>32161</v>
      </c>
      <c r="B2631" s="1" t="s">
        <v>14601</v>
      </c>
    </row>
    <row r="2632" spans="1:8" x14ac:dyDescent="0.3">
      <c r="A2632" s="2" t="s">
        <v>14602</v>
      </c>
      <c r="B2632" s="1" t="s">
        <v>12999</v>
      </c>
      <c r="C2632" s="1" t="s">
        <v>14603</v>
      </c>
      <c r="D2632" s="1" t="s">
        <v>14604</v>
      </c>
      <c r="E2632" s="1" t="s">
        <v>14605</v>
      </c>
      <c r="F2632" s="1" t="s">
        <v>14606</v>
      </c>
      <c r="G2632" s="1" t="s">
        <v>14607</v>
      </c>
      <c r="H2632" s="1" t="s">
        <v>14608</v>
      </c>
    </row>
    <row r="2633" spans="1:8" x14ac:dyDescent="0.3">
      <c r="A2633" s="2" t="s">
        <v>14609</v>
      </c>
      <c r="B2633" s="1" t="s">
        <v>13007</v>
      </c>
      <c r="C2633" s="1" t="s">
        <v>14610</v>
      </c>
      <c r="D2633" s="1" t="s">
        <v>14611</v>
      </c>
      <c r="E2633" s="1" t="s">
        <v>14612</v>
      </c>
      <c r="F2633" s="1" t="s">
        <v>14612</v>
      </c>
      <c r="G2633" s="1" t="s">
        <v>14612</v>
      </c>
      <c r="H2633" s="1" t="s">
        <v>14612</v>
      </c>
    </row>
    <row r="2634" spans="1:8" x14ac:dyDescent="0.3">
      <c r="A2634" s="2">
        <v>32162</v>
      </c>
      <c r="B2634" s="1" t="s">
        <v>14613</v>
      </c>
    </row>
    <row r="2635" spans="1:8" x14ac:dyDescent="0.3">
      <c r="A2635" s="2" t="s">
        <v>14614</v>
      </c>
      <c r="B2635" s="1" t="s">
        <v>12999</v>
      </c>
      <c r="C2635" s="1" t="s">
        <v>14615</v>
      </c>
      <c r="D2635" s="1" t="s">
        <v>14616</v>
      </c>
      <c r="E2635" s="1" t="s">
        <v>14617</v>
      </c>
      <c r="F2635" s="1" t="s">
        <v>14618</v>
      </c>
      <c r="G2635" s="1" t="s">
        <v>14619</v>
      </c>
      <c r="H2635" s="1" t="s">
        <v>14619</v>
      </c>
    </row>
    <row r="2636" spans="1:8" x14ac:dyDescent="0.3">
      <c r="A2636" s="2" t="s">
        <v>14620</v>
      </c>
      <c r="B2636" s="1" t="s">
        <v>13007</v>
      </c>
      <c r="C2636" s="1" t="s">
        <v>14621</v>
      </c>
      <c r="D2636" s="1" t="s">
        <v>14622</v>
      </c>
      <c r="E2636" s="1" t="s">
        <v>14623</v>
      </c>
      <c r="F2636" s="1" t="s">
        <v>14624</v>
      </c>
      <c r="G2636" s="1" t="s">
        <v>14625</v>
      </c>
      <c r="H2636" s="1" t="s">
        <v>14626</v>
      </c>
    </row>
    <row r="2637" spans="1:8" x14ac:dyDescent="0.3">
      <c r="A2637" s="2">
        <v>32163</v>
      </c>
      <c r="B2637" s="1" t="s">
        <v>19628</v>
      </c>
    </row>
    <row r="2638" spans="1:8" x14ac:dyDescent="0.3">
      <c r="A2638" s="2" t="s">
        <v>14627</v>
      </c>
      <c r="B2638" s="1" t="s">
        <v>12999</v>
      </c>
      <c r="C2638" s="1" t="s">
        <v>14628</v>
      </c>
      <c r="D2638" s="1" t="s">
        <v>14629</v>
      </c>
      <c r="E2638" s="1" t="s">
        <v>14630</v>
      </c>
      <c r="F2638" s="1" t="s">
        <v>14631</v>
      </c>
      <c r="G2638" s="1" t="s">
        <v>14632</v>
      </c>
      <c r="H2638" s="1" t="s">
        <v>14633</v>
      </c>
    </row>
    <row r="2639" spans="1:8" x14ac:dyDescent="0.3">
      <c r="A2639" s="2" t="s">
        <v>14634</v>
      </c>
      <c r="B2639" s="1" t="s">
        <v>13007</v>
      </c>
      <c r="C2639" s="1" t="s">
        <v>14635</v>
      </c>
      <c r="D2639" s="1" t="s">
        <v>14636</v>
      </c>
      <c r="E2639" s="1" t="s">
        <v>14637</v>
      </c>
      <c r="F2639" s="1" t="s">
        <v>14638</v>
      </c>
      <c r="G2639" s="1" t="s">
        <v>14637</v>
      </c>
      <c r="H2639" s="1" t="s">
        <v>14639</v>
      </c>
    </row>
    <row r="2640" spans="1:8" x14ac:dyDescent="0.3">
      <c r="A2640" s="2">
        <v>32164</v>
      </c>
      <c r="B2640" s="1" t="s">
        <v>14640</v>
      </c>
    </row>
    <row r="2641" spans="1:8" x14ac:dyDescent="0.3">
      <c r="A2641" s="2" t="s">
        <v>14641</v>
      </c>
      <c r="B2641" s="1" t="s">
        <v>12999</v>
      </c>
      <c r="C2641" s="1" t="s">
        <v>14642</v>
      </c>
      <c r="D2641" s="1" t="s">
        <v>14643</v>
      </c>
      <c r="E2641" s="1" t="s">
        <v>14644</v>
      </c>
      <c r="F2641" s="1" t="s">
        <v>14645</v>
      </c>
      <c r="G2641" s="1" t="s">
        <v>14646</v>
      </c>
      <c r="H2641" s="1" t="s">
        <v>14647</v>
      </c>
    </row>
    <row r="2642" spans="1:8" x14ac:dyDescent="0.3">
      <c r="A2642" s="2" t="s">
        <v>14648</v>
      </c>
      <c r="B2642" s="1" t="s">
        <v>13007</v>
      </c>
      <c r="C2642" s="1" t="s">
        <v>14649</v>
      </c>
      <c r="D2642" s="1" t="s">
        <v>14650</v>
      </c>
      <c r="E2642" s="1" t="s">
        <v>14651</v>
      </c>
      <c r="F2642" s="1" t="s">
        <v>14652</v>
      </c>
      <c r="G2642" s="1" t="s">
        <v>14653</v>
      </c>
      <c r="H2642" s="1" t="s">
        <v>14654</v>
      </c>
    </row>
    <row r="2643" spans="1:8" x14ac:dyDescent="0.3">
      <c r="A2643" s="2">
        <v>32165</v>
      </c>
      <c r="B2643" s="1" t="s">
        <v>14655</v>
      </c>
    </row>
    <row r="2644" spans="1:8" x14ac:dyDescent="0.3">
      <c r="A2644" s="2" t="s">
        <v>14656</v>
      </c>
      <c r="B2644" s="1" t="s">
        <v>12999</v>
      </c>
      <c r="C2644" s="1" t="s">
        <v>14657</v>
      </c>
      <c r="D2644" s="1" t="s">
        <v>14658</v>
      </c>
      <c r="E2644" s="1" t="s">
        <v>14659</v>
      </c>
      <c r="F2644" s="1" t="s">
        <v>14660</v>
      </c>
      <c r="G2644" s="1" t="s">
        <v>14661</v>
      </c>
      <c r="H2644" s="1" t="s">
        <v>14662</v>
      </c>
    </row>
    <row r="2645" spans="1:8" x14ac:dyDescent="0.3">
      <c r="A2645" s="2" t="s">
        <v>14663</v>
      </c>
      <c r="B2645" s="1" t="s">
        <v>13007</v>
      </c>
      <c r="C2645" s="1" t="s">
        <v>14664</v>
      </c>
      <c r="D2645" s="1" t="s">
        <v>14665</v>
      </c>
      <c r="E2645" s="1" t="s">
        <v>14666</v>
      </c>
      <c r="F2645" s="1" t="s">
        <v>14666</v>
      </c>
      <c r="G2645" s="1" t="s">
        <v>14667</v>
      </c>
      <c r="H2645" s="1" t="s">
        <v>14668</v>
      </c>
    </row>
    <row r="2646" spans="1:8" x14ac:dyDescent="0.3">
      <c r="A2646" s="2">
        <v>32166</v>
      </c>
      <c r="B2646" s="1" t="s">
        <v>14669</v>
      </c>
    </row>
    <row r="2647" spans="1:8" x14ac:dyDescent="0.3">
      <c r="A2647" s="2" t="s">
        <v>14670</v>
      </c>
      <c r="B2647" s="1" t="s">
        <v>12999</v>
      </c>
      <c r="C2647" s="1" t="s">
        <v>14671</v>
      </c>
      <c r="D2647" s="1" t="s">
        <v>14672</v>
      </c>
      <c r="E2647" s="1" t="s">
        <v>14673</v>
      </c>
      <c r="F2647" s="1" t="s">
        <v>14674</v>
      </c>
      <c r="G2647" s="1" t="s">
        <v>14675</v>
      </c>
      <c r="H2647" s="1" t="s">
        <v>14676</v>
      </c>
    </row>
    <row r="2648" spans="1:8" x14ac:dyDescent="0.3">
      <c r="A2648" s="2" t="s">
        <v>14677</v>
      </c>
      <c r="B2648" s="1" t="s">
        <v>13007</v>
      </c>
      <c r="C2648" s="1" t="s">
        <v>10295</v>
      </c>
      <c r="D2648" s="1" t="s">
        <v>14678</v>
      </c>
      <c r="E2648" s="1" t="s">
        <v>14679</v>
      </c>
      <c r="F2648" s="1" t="s">
        <v>10298</v>
      </c>
      <c r="G2648" s="1" t="s">
        <v>14680</v>
      </c>
      <c r="H2648" s="1" t="s">
        <v>14681</v>
      </c>
    </row>
    <row r="2649" spans="1:8" x14ac:dyDescent="0.3">
      <c r="A2649" s="2">
        <v>32167</v>
      </c>
      <c r="B2649" s="1" t="s">
        <v>14682</v>
      </c>
    </row>
    <row r="2650" spans="1:8" x14ac:dyDescent="0.3">
      <c r="A2650" s="2" t="s">
        <v>14683</v>
      </c>
      <c r="B2650" s="1" t="s">
        <v>12999</v>
      </c>
      <c r="C2650" s="1" t="s">
        <v>14684</v>
      </c>
      <c r="D2650" s="1" t="s">
        <v>14685</v>
      </c>
      <c r="E2650" s="1" t="s">
        <v>14686</v>
      </c>
      <c r="F2650" s="1" t="s">
        <v>14687</v>
      </c>
      <c r="G2650" s="1" t="s">
        <v>14688</v>
      </c>
      <c r="H2650" s="1" t="s">
        <v>14689</v>
      </c>
    </row>
    <row r="2651" spans="1:8" x14ac:dyDescent="0.3">
      <c r="A2651" s="2" t="s">
        <v>14690</v>
      </c>
      <c r="B2651" s="1" t="s">
        <v>13007</v>
      </c>
      <c r="C2651" s="1" t="s">
        <v>14691</v>
      </c>
      <c r="D2651" s="1" t="s">
        <v>14692</v>
      </c>
      <c r="E2651" s="1" t="s">
        <v>14693</v>
      </c>
      <c r="F2651" s="1" t="s">
        <v>14694</v>
      </c>
      <c r="G2651" s="1" t="s">
        <v>14695</v>
      </c>
      <c r="H2651" s="1" t="s">
        <v>14696</v>
      </c>
    </row>
    <row r="2652" spans="1:8" x14ac:dyDescent="0.3">
      <c r="A2652" s="2">
        <v>32168</v>
      </c>
      <c r="B2652" s="1" t="s">
        <v>14697</v>
      </c>
    </row>
    <row r="2653" spans="1:8" x14ac:dyDescent="0.3">
      <c r="A2653" s="2" t="s">
        <v>14698</v>
      </c>
      <c r="B2653" s="1" t="s">
        <v>12999</v>
      </c>
      <c r="C2653" s="1" t="s">
        <v>14699</v>
      </c>
      <c r="D2653" s="1" t="s">
        <v>14700</v>
      </c>
      <c r="E2653" s="1" t="s">
        <v>14701</v>
      </c>
      <c r="F2653" s="1" t="s">
        <v>14701</v>
      </c>
      <c r="G2653" s="1" t="s">
        <v>14701</v>
      </c>
      <c r="H2653" s="1" t="s">
        <v>14702</v>
      </c>
    </row>
    <row r="2654" spans="1:8" x14ac:dyDescent="0.3">
      <c r="A2654" s="2" t="s">
        <v>14703</v>
      </c>
      <c r="B2654" s="1" t="s">
        <v>13007</v>
      </c>
      <c r="C2654" s="1" t="s">
        <v>14704</v>
      </c>
      <c r="E2654" s="1" t="s">
        <v>14705</v>
      </c>
      <c r="F2654" s="1" t="s">
        <v>14706</v>
      </c>
      <c r="G2654" s="1" t="s">
        <v>14707</v>
      </c>
      <c r="H2654" s="1" t="s">
        <v>14707</v>
      </c>
    </row>
    <row r="2655" spans="1:8" x14ac:dyDescent="0.3">
      <c r="A2655" s="2">
        <v>32169</v>
      </c>
      <c r="B2655" s="1" t="s">
        <v>14708</v>
      </c>
    </row>
    <row r="2656" spans="1:8" x14ac:dyDescent="0.3">
      <c r="A2656" s="2" t="s">
        <v>14709</v>
      </c>
      <c r="B2656" s="1" t="s">
        <v>12999</v>
      </c>
      <c r="C2656" s="1" t="s">
        <v>14710</v>
      </c>
      <c r="D2656" s="1" t="s">
        <v>14711</v>
      </c>
      <c r="E2656" s="1" t="s">
        <v>14712</v>
      </c>
      <c r="F2656" s="1" t="s">
        <v>14712</v>
      </c>
      <c r="G2656" s="1" t="s">
        <v>14713</v>
      </c>
      <c r="H2656" s="1" t="s">
        <v>14714</v>
      </c>
    </row>
    <row r="2657" spans="1:8" x14ac:dyDescent="0.3">
      <c r="A2657" s="2" t="s">
        <v>14715</v>
      </c>
      <c r="B2657" s="1" t="s">
        <v>13007</v>
      </c>
      <c r="C2657" s="1" t="s">
        <v>14716</v>
      </c>
      <c r="E2657" s="1" t="s">
        <v>14717</v>
      </c>
      <c r="F2657" s="1" t="s">
        <v>14718</v>
      </c>
      <c r="G2657" s="1" t="s">
        <v>14719</v>
      </c>
      <c r="H2657" s="1" t="s">
        <v>14720</v>
      </c>
    </row>
    <row r="2658" spans="1:8" x14ac:dyDescent="0.3">
      <c r="A2658" s="2">
        <v>32170</v>
      </c>
      <c r="B2658" s="1" t="s">
        <v>19629</v>
      </c>
    </row>
    <row r="2659" spans="1:8" x14ac:dyDescent="0.3">
      <c r="A2659" s="2" t="s">
        <v>14721</v>
      </c>
      <c r="B2659" s="1" t="s">
        <v>12999</v>
      </c>
      <c r="C2659" s="1" t="s">
        <v>14722</v>
      </c>
      <c r="D2659" s="1" t="s">
        <v>14723</v>
      </c>
      <c r="E2659" s="1" t="s">
        <v>14724</v>
      </c>
      <c r="F2659" s="1" t="s">
        <v>14725</v>
      </c>
      <c r="G2659" s="1" t="s">
        <v>13553</v>
      </c>
      <c r="H2659" s="1" t="s">
        <v>14726</v>
      </c>
    </row>
    <row r="2660" spans="1:8" x14ac:dyDescent="0.3">
      <c r="A2660" s="2" t="s">
        <v>14727</v>
      </c>
      <c r="B2660" s="1" t="s">
        <v>13007</v>
      </c>
      <c r="C2660" s="1" t="s">
        <v>14728</v>
      </c>
      <c r="D2660" s="1" t="s">
        <v>14729</v>
      </c>
      <c r="E2660" s="1" t="s">
        <v>14730</v>
      </c>
      <c r="F2660" s="1" t="s">
        <v>14731</v>
      </c>
      <c r="G2660" s="1" t="s">
        <v>14731</v>
      </c>
      <c r="H2660" s="1" t="s">
        <v>14732</v>
      </c>
    </row>
    <row r="2661" spans="1:8" x14ac:dyDescent="0.3">
      <c r="A2661" s="2">
        <v>32171</v>
      </c>
      <c r="B2661" s="1" t="s">
        <v>14733</v>
      </c>
    </row>
    <row r="2662" spans="1:8" x14ac:dyDescent="0.3">
      <c r="A2662" s="2" t="s">
        <v>14734</v>
      </c>
      <c r="B2662" s="1" t="s">
        <v>12999</v>
      </c>
      <c r="C2662" s="1" t="s">
        <v>14735</v>
      </c>
      <c r="D2662" s="1" t="s">
        <v>14736</v>
      </c>
      <c r="E2662" s="1" t="s">
        <v>14737</v>
      </c>
      <c r="F2662" s="1" t="s">
        <v>14738</v>
      </c>
      <c r="G2662" s="1" t="s">
        <v>14739</v>
      </c>
      <c r="H2662" s="1" t="s">
        <v>14740</v>
      </c>
    </row>
    <row r="2663" spans="1:8" x14ac:dyDescent="0.3">
      <c r="A2663" s="2" t="s">
        <v>14741</v>
      </c>
      <c r="B2663" s="1" t="s">
        <v>13007</v>
      </c>
      <c r="C2663" s="1" t="s">
        <v>14742</v>
      </c>
      <c r="D2663" s="1" t="s">
        <v>14743</v>
      </c>
      <c r="E2663" s="1" t="s">
        <v>14744</v>
      </c>
      <c r="F2663" s="1" t="s">
        <v>14745</v>
      </c>
      <c r="G2663" s="1" t="s">
        <v>14746</v>
      </c>
      <c r="H2663" s="1" t="s">
        <v>14747</v>
      </c>
    </row>
    <row r="2664" spans="1:8" x14ac:dyDescent="0.3">
      <c r="A2664" s="2">
        <v>32172</v>
      </c>
      <c r="B2664" s="1" t="s">
        <v>14748</v>
      </c>
    </row>
    <row r="2665" spans="1:8" x14ac:dyDescent="0.3">
      <c r="A2665" s="2" t="s">
        <v>14749</v>
      </c>
      <c r="B2665" s="1" t="s">
        <v>12999</v>
      </c>
      <c r="C2665" s="1" t="s">
        <v>14750</v>
      </c>
      <c r="E2665" s="1" t="s">
        <v>14751</v>
      </c>
      <c r="F2665" s="1" t="s">
        <v>14752</v>
      </c>
      <c r="G2665" s="1" t="s">
        <v>14753</v>
      </c>
      <c r="H2665" s="1" t="s">
        <v>14754</v>
      </c>
    </row>
    <row r="2666" spans="1:8" x14ac:dyDescent="0.3">
      <c r="A2666" s="2" t="s">
        <v>14755</v>
      </c>
      <c r="B2666" s="1" t="s">
        <v>13007</v>
      </c>
      <c r="C2666" s="1" t="s">
        <v>14756</v>
      </c>
      <c r="E2666" s="1" t="s">
        <v>14757</v>
      </c>
      <c r="F2666" s="1" t="s">
        <v>14758</v>
      </c>
      <c r="G2666" s="1" t="s">
        <v>14759</v>
      </c>
      <c r="H2666" s="1" t="s">
        <v>14760</v>
      </c>
    </row>
    <row r="2667" spans="1:8" x14ac:dyDescent="0.3">
      <c r="A2667" s="2">
        <v>32173</v>
      </c>
      <c r="B2667" s="1" t="s">
        <v>14761</v>
      </c>
    </row>
    <row r="2668" spans="1:8" x14ac:dyDescent="0.3">
      <c r="A2668" s="2" t="s">
        <v>14762</v>
      </c>
      <c r="B2668" s="1" t="s">
        <v>12999</v>
      </c>
      <c r="C2668" s="1" t="s">
        <v>14763</v>
      </c>
      <c r="D2668" s="1" t="s">
        <v>14764</v>
      </c>
      <c r="E2668" s="1" t="s">
        <v>14765</v>
      </c>
      <c r="F2668" s="1" t="s">
        <v>14766</v>
      </c>
      <c r="G2668" s="1" t="s">
        <v>14767</v>
      </c>
      <c r="H2668" s="1" t="s">
        <v>14768</v>
      </c>
    </row>
    <row r="2669" spans="1:8" x14ac:dyDescent="0.3">
      <c r="A2669" s="2" t="s">
        <v>14769</v>
      </c>
      <c r="B2669" s="1" t="s">
        <v>13007</v>
      </c>
      <c r="C2669" s="1" t="s">
        <v>14770</v>
      </c>
      <c r="D2669" s="1" t="s">
        <v>14771</v>
      </c>
      <c r="E2669" s="1" t="s">
        <v>14772</v>
      </c>
      <c r="F2669" s="1" t="s">
        <v>14773</v>
      </c>
      <c r="G2669" s="1" t="s">
        <v>14774</v>
      </c>
      <c r="H2669" s="1" t="s">
        <v>14775</v>
      </c>
    </row>
    <row r="2670" spans="1:8" x14ac:dyDescent="0.3">
      <c r="A2670" s="2">
        <v>32174</v>
      </c>
      <c r="B2670" s="1" t="s">
        <v>14776</v>
      </c>
      <c r="D2670" s="1" t="s">
        <v>14777</v>
      </c>
    </row>
    <row r="2671" spans="1:8" x14ac:dyDescent="0.3">
      <c r="A2671" s="2" t="s">
        <v>14778</v>
      </c>
      <c r="B2671" s="1" t="s">
        <v>12999</v>
      </c>
      <c r="C2671" s="1" t="s">
        <v>14779</v>
      </c>
      <c r="D2671" s="1" t="s">
        <v>14780</v>
      </c>
      <c r="E2671" s="1" t="s">
        <v>14781</v>
      </c>
      <c r="F2671" s="1" t="s">
        <v>14782</v>
      </c>
      <c r="G2671" s="1" t="s">
        <v>14783</v>
      </c>
      <c r="H2671" s="1" t="s">
        <v>14784</v>
      </c>
    </row>
    <row r="2672" spans="1:8" x14ac:dyDescent="0.3">
      <c r="A2672" s="2" t="s">
        <v>14785</v>
      </c>
      <c r="B2672" s="1" t="s">
        <v>13007</v>
      </c>
      <c r="C2672" s="1" t="s">
        <v>14786</v>
      </c>
      <c r="D2672" s="1" t="s">
        <v>14787</v>
      </c>
      <c r="E2672" s="1" t="s">
        <v>14788</v>
      </c>
      <c r="F2672" s="1" t="s">
        <v>14789</v>
      </c>
      <c r="G2672" s="1" t="s">
        <v>14790</v>
      </c>
      <c r="H2672" s="1" t="s">
        <v>14791</v>
      </c>
    </row>
    <row r="2673" spans="1:8" x14ac:dyDescent="0.3">
      <c r="A2673" s="2">
        <v>32175</v>
      </c>
      <c r="B2673" s="1" t="s">
        <v>14792</v>
      </c>
      <c r="D2673" s="1" t="s">
        <v>14793</v>
      </c>
    </row>
    <row r="2674" spans="1:8" x14ac:dyDescent="0.3">
      <c r="A2674" s="2" t="s">
        <v>14794</v>
      </c>
      <c r="B2674" s="1" t="s">
        <v>12999</v>
      </c>
      <c r="C2674" s="1" t="s">
        <v>14795</v>
      </c>
      <c r="D2674" s="1" t="s">
        <v>14796</v>
      </c>
      <c r="E2674" s="1" t="s">
        <v>14797</v>
      </c>
      <c r="F2674" s="1" t="s">
        <v>14798</v>
      </c>
      <c r="G2674" s="1" t="s">
        <v>14799</v>
      </c>
    </row>
    <row r="2675" spans="1:8" x14ac:dyDescent="0.3">
      <c r="A2675" s="2" t="s">
        <v>14800</v>
      </c>
      <c r="B2675" s="1" t="s">
        <v>13007</v>
      </c>
      <c r="C2675" s="1" t="s">
        <v>14801</v>
      </c>
      <c r="D2675" s="1" t="s">
        <v>14802</v>
      </c>
      <c r="E2675" s="1" t="s">
        <v>14803</v>
      </c>
      <c r="F2675" s="1" t="s">
        <v>14804</v>
      </c>
      <c r="G2675" s="1" t="s">
        <v>14805</v>
      </c>
      <c r="H2675" s="1" t="s">
        <v>14806</v>
      </c>
    </row>
    <row r="2676" spans="1:8" x14ac:dyDescent="0.3">
      <c r="A2676" s="2">
        <v>32176</v>
      </c>
      <c r="B2676" s="1" t="s">
        <v>14807</v>
      </c>
    </row>
    <row r="2677" spans="1:8" x14ac:dyDescent="0.3">
      <c r="A2677" s="2" t="s">
        <v>14808</v>
      </c>
      <c r="B2677" s="1" t="s">
        <v>12999</v>
      </c>
      <c r="C2677" s="1" t="s">
        <v>14809</v>
      </c>
      <c r="D2677" s="1" t="s">
        <v>14810</v>
      </c>
      <c r="E2677" s="1" t="s">
        <v>14811</v>
      </c>
      <c r="F2677" s="1" t="s">
        <v>14812</v>
      </c>
      <c r="G2677" s="1" t="s">
        <v>14813</v>
      </c>
      <c r="H2677" s="1" t="s">
        <v>14814</v>
      </c>
    </row>
    <row r="2678" spans="1:8" x14ac:dyDescent="0.3">
      <c r="A2678" s="2" t="s">
        <v>14815</v>
      </c>
      <c r="B2678" s="1" t="s">
        <v>13007</v>
      </c>
      <c r="C2678" s="1" t="s">
        <v>14816</v>
      </c>
      <c r="D2678" s="1" t="s">
        <v>14817</v>
      </c>
      <c r="E2678" s="1" t="s">
        <v>14818</v>
      </c>
      <c r="F2678" s="1" t="s">
        <v>14819</v>
      </c>
      <c r="G2678" s="1" t="s">
        <v>14820</v>
      </c>
      <c r="H2678" s="1" t="s">
        <v>14821</v>
      </c>
    </row>
    <row r="2679" spans="1:8" x14ac:dyDescent="0.3">
      <c r="A2679" s="2">
        <v>32177</v>
      </c>
      <c r="B2679" s="1" t="s">
        <v>14822</v>
      </c>
    </row>
    <row r="2680" spans="1:8" x14ac:dyDescent="0.3">
      <c r="A2680" s="2" t="s">
        <v>14823</v>
      </c>
      <c r="B2680" s="1" t="s">
        <v>12999</v>
      </c>
      <c r="C2680" s="1" t="s">
        <v>14824</v>
      </c>
      <c r="D2680" s="1" t="s">
        <v>14825</v>
      </c>
      <c r="E2680" s="1" t="s">
        <v>14826</v>
      </c>
      <c r="F2680" s="1" t="s">
        <v>14827</v>
      </c>
      <c r="G2680" s="1" t="s">
        <v>14828</v>
      </c>
      <c r="H2680" s="1" t="s">
        <v>14829</v>
      </c>
    </row>
    <row r="2681" spans="1:8" x14ac:dyDescent="0.3">
      <c r="A2681" s="2" t="s">
        <v>14830</v>
      </c>
      <c r="B2681" s="1" t="s">
        <v>13007</v>
      </c>
      <c r="C2681" s="1" t="s">
        <v>14831</v>
      </c>
      <c r="E2681" s="1" t="s">
        <v>14832</v>
      </c>
      <c r="F2681" s="1" t="s">
        <v>14833</v>
      </c>
      <c r="G2681" s="1" t="s">
        <v>14834</v>
      </c>
      <c r="H2681" s="1" t="s">
        <v>14835</v>
      </c>
    </row>
    <row r="2682" spans="1:8" x14ac:dyDescent="0.3">
      <c r="A2682" s="2">
        <v>32178</v>
      </c>
      <c r="B2682" s="1" t="s">
        <v>14836</v>
      </c>
    </row>
    <row r="2683" spans="1:8" x14ac:dyDescent="0.3">
      <c r="A2683" s="2" t="s">
        <v>14837</v>
      </c>
      <c r="B2683" s="1" t="s">
        <v>12999</v>
      </c>
      <c r="C2683" s="1" t="s">
        <v>14838</v>
      </c>
      <c r="D2683" s="1" t="s">
        <v>14839</v>
      </c>
      <c r="E2683" s="1" t="s">
        <v>14840</v>
      </c>
      <c r="F2683" s="1" t="s">
        <v>14841</v>
      </c>
      <c r="G2683" s="1" t="s">
        <v>14842</v>
      </c>
    </row>
    <row r="2684" spans="1:8" x14ac:dyDescent="0.3">
      <c r="A2684" s="2" t="s">
        <v>14843</v>
      </c>
      <c r="B2684" s="1" t="s">
        <v>13007</v>
      </c>
      <c r="C2684" s="1" t="s">
        <v>14844</v>
      </c>
      <c r="D2684" s="1" t="s">
        <v>14845</v>
      </c>
      <c r="E2684" s="1" t="s">
        <v>14846</v>
      </c>
      <c r="F2684" s="1" t="s">
        <v>14847</v>
      </c>
      <c r="G2684" s="1" t="s">
        <v>14848</v>
      </c>
    </row>
    <row r="2685" spans="1:8" x14ac:dyDescent="0.3">
      <c r="A2685" s="2">
        <v>32179</v>
      </c>
      <c r="B2685" s="1" t="s">
        <v>14849</v>
      </c>
    </row>
    <row r="2686" spans="1:8" x14ac:dyDescent="0.3">
      <c r="A2686" s="2" t="s">
        <v>14850</v>
      </c>
      <c r="B2686" s="1" t="s">
        <v>12999</v>
      </c>
      <c r="C2686" s="1" t="s">
        <v>14851</v>
      </c>
      <c r="D2686" s="1" t="s">
        <v>14852</v>
      </c>
      <c r="E2686" s="1" t="s">
        <v>14853</v>
      </c>
      <c r="F2686" s="1" t="s">
        <v>14854</v>
      </c>
      <c r="G2686" s="1" t="s">
        <v>14855</v>
      </c>
    </row>
    <row r="2687" spans="1:8" x14ac:dyDescent="0.3">
      <c r="A2687" s="2" t="s">
        <v>14856</v>
      </c>
      <c r="B2687" s="1" t="s">
        <v>13007</v>
      </c>
      <c r="C2687" s="1" t="s">
        <v>14857</v>
      </c>
      <c r="D2687" s="1" t="s">
        <v>14858</v>
      </c>
      <c r="E2687" s="1" t="s">
        <v>14859</v>
      </c>
      <c r="F2687" s="1" t="s">
        <v>14860</v>
      </c>
      <c r="G2687" s="1" t="s">
        <v>14861</v>
      </c>
    </row>
    <row r="2688" spans="1:8" x14ac:dyDescent="0.3">
      <c r="A2688" s="2">
        <v>32180</v>
      </c>
      <c r="B2688" s="1" t="s">
        <v>14862</v>
      </c>
    </row>
    <row r="2689" spans="1:8" x14ac:dyDescent="0.3">
      <c r="A2689" s="2" t="s">
        <v>14863</v>
      </c>
      <c r="B2689" s="1" t="s">
        <v>12999</v>
      </c>
      <c r="C2689" s="1" t="s">
        <v>14864</v>
      </c>
      <c r="E2689" s="1" t="s">
        <v>14865</v>
      </c>
      <c r="G2689" s="1" t="s">
        <v>14866</v>
      </c>
    </row>
    <row r="2690" spans="1:8" x14ac:dyDescent="0.3">
      <c r="A2690" s="2" t="s">
        <v>14867</v>
      </c>
      <c r="B2690" s="1" t="s">
        <v>13007</v>
      </c>
      <c r="C2690" s="1" t="s">
        <v>14868</v>
      </c>
      <c r="F2690" s="1" t="s">
        <v>14869</v>
      </c>
      <c r="G2690" s="1" t="s">
        <v>14870</v>
      </c>
    </row>
    <row r="2691" spans="1:8" x14ac:dyDescent="0.3">
      <c r="A2691" s="2">
        <v>32181</v>
      </c>
      <c r="B2691" s="1" t="s">
        <v>14871</v>
      </c>
    </row>
    <row r="2692" spans="1:8" x14ac:dyDescent="0.3">
      <c r="A2692" s="2" t="s">
        <v>14872</v>
      </c>
      <c r="B2692" s="1" t="s">
        <v>12999</v>
      </c>
      <c r="C2692" s="1" t="s">
        <v>14873</v>
      </c>
      <c r="D2692" s="1" t="s">
        <v>14874</v>
      </c>
      <c r="E2692" s="1" t="s">
        <v>14875</v>
      </c>
      <c r="F2692" s="1" t="s">
        <v>14876</v>
      </c>
      <c r="G2692" s="1" t="s">
        <v>14877</v>
      </c>
    </row>
    <row r="2693" spans="1:8" x14ac:dyDescent="0.3">
      <c r="A2693" s="2" t="s">
        <v>14878</v>
      </c>
      <c r="B2693" s="1" t="s">
        <v>13007</v>
      </c>
      <c r="C2693" s="1" t="s">
        <v>14879</v>
      </c>
      <c r="D2693" s="1" t="s">
        <v>14880</v>
      </c>
      <c r="E2693" s="1" t="s">
        <v>14881</v>
      </c>
      <c r="F2693" s="1" t="s">
        <v>14881</v>
      </c>
      <c r="G2693" s="1" t="s">
        <v>14881</v>
      </c>
    </row>
    <row r="2694" spans="1:8" x14ac:dyDescent="0.3">
      <c r="A2694" s="2">
        <v>32182</v>
      </c>
      <c r="B2694" s="1" t="s">
        <v>14882</v>
      </c>
    </row>
    <row r="2695" spans="1:8" x14ac:dyDescent="0.3">
      <c r="A2695" s="2" t="s">
        <v>14883</v>
      </c>
      <c r="B2695" s="1" t="s">
        <v>12999</v>
      </c>
      <c r="C2695" s="1" t="s">
        <v>14884</v>
      </c>
      <c r="D2695" s="1" t="s">
        <v>14885</v>
      </c>
      <c r="E2695" s="1" t="s">
        <v>14886</v>
      </c>
      <c r="F2695" s="1" t="s">
        <v>14887</v>
      </c>
      <c r="G2695" s="1" t="s">
        <v>14888</v>
      </c>
      <c r="H2695" s="1" t="s">
        <v>14889</v>
      </c>
    </row>
    <row r="2696" spans="1:8" x14ac:dyDescent="0.3">
      <c r="A2696" s="2" t="s">
        <v>14890</v>
      </c>
      <c r="B2696" s="1" t="s">
        <v>13007</v>
      </c>
      <c r="C2696" s="1" t="s">
        <v>14891</v>
      </c>
      <c r="D2696" s="1" t="s">
        <v>14892</v>
      </c>
      <c r="E2696" s="1" t="s">
        <v>14893</v>
      </c>
      <c r="F2696" s="1" t="s">
        <v>14894</v>
      </c>
      <c r="G2696" s="1" t="s">
        <v>14895</v>
      </c>
      <c r="H2696" s="1" t="s">
        <v>14896</v>
      </c>
    </row>
    <row r="2697" spans="1:8" x14ac:dyDescent="0.3">
      <c r="A2697" s="2">
        <v>32183</v>
      </c>
      <c r="B2697" s="1" t="s">
        <v>14897</v>
      </c>
    </row>
    <row r="2698" spans="1:8" x14ac:dyDescent="0.3">
      <c r="A2698" s="2" t="s">
        <v>14898</v>
      </c>
      <c r="B2698" s="1" t="s">
        <v>12999</v>
      </c>
      <c r="C2698" s="1" t="s">
        <v>14899</v>
      </c>
      <c r="D2698" s="1" t="s">
        <v>14900</v>
      </c>
      <c r="E2698" s="1" t="s">
        <v>14901</v>
      </c>
      <c r="F2698" s="1" t="s">
        <v>14902</v>
      </c>
      <c r="G2698" s="1" t="s">
        <v>14903</v>
      </c>
    </row>
    <row r="2699" spans="1:8" x14ac:dyDescent="0.3">
      <c r="A2699" s="2" t="s">
        <v>14904</v>
      </c>
      <c r="B2699" s="1" t="s">
        <v>13007</v>
      </c>
      <c r="C2699" s="1" t="s">
        <v>14905</v>
      </c>
      <c r="D2699" s="1" t="s">
        <v>14906</v>
      </c>
      <c r="E2699" s="1" t="s">
        <v>14907</v>
      </c>
      <c r="F2699" s="1" t="s">
        <v>14908</v>
      </c>
      <c r="G2699" s="1" t="s">
        <v>14909</v>
      </c>
    </row>
    <row r="2700" spans="1:8" x14ac:dyDescent="0.3">
      <c r="A2700" s="2">
        <v>32184</v>
      </c>
      <c r="B2700" s="1" t="s">
        <v>14910</v>
      </c>
    </row>
    <row r="2701" spans="1:8" x14ac:dyDescent="0.3">
      <c r="A2701" s="2" t="s">
        <v>14911</v>
      </c>
      <c r="B2701" s="1" t="s">
        <v>12999</v>
      </c>
      <c r="C2701" s="1" t="s">
        <v>14912</v>
      </c>
      <c r="D2701" s="1" t="s">
        <v>14913</v>
      </c>
      <c r="E2701" s="1" t="s">
        <v>14914</v>
      </c>
      <c r="F2701" s="1" t="s">
        <v>14915</v>
      </c>
      <c r="G2701" s="1" t="s">
        <v>14916</v>
      </c>
      <c r="H2701" s="1" t="s">
        <v>14917</v>
      </c>
    </row>
    <row r="2702" spans="1:8" x14ac:dyDescent="0.3">
      <c r="A2702" s="2" t="s">
        <v>14918</v>
      </c>
      <c r="B2702" s="1" t="s">
        <v>13007</v>
      </c>
      <c r="C2702" s="1" t="s">
        <v>14919</v>
      </c>
      <c r="D2702" s="1" t="s">
        <v>14920</v>
      </c>
      <c r="E2702" s="1" t="s">
        <v>14921</v>
      </c>
      <c r="F2702" s="1" t="s">
        <v>14922</v>
      </c>
      <c r="G2702" s="1" t="s">
        <v>14923</v>
      </c>
    </row>
    <row r="2703" spans="1:8" x14ac:dyDescent="0.3">
      <c r="A2703" s="2">
        <v>32185</v>
      </c>
      <c r="B2703" s="1" t="s">
        <v>14924</v>
      </c>
    </row>
    <row r="2704" spans="1:8" x14ac:dyDescent="0.3">
      <c r="A2704" s="2" t="s">
        <v>14925</v>
      </c>
      <c r="B2704" s="1" t="s">
        <v>12999</v>
      </c>
      <c r="C2704" s="1" t="s">
        <v>14926</v>
      </c>
      <c r="D2704" s="1" t="s">
        <v>14927</v>
      </c>
      <c r="E2704" s="1" t="s">
        <v>14928</v>
      </c>
      <c r="F2704" s="1" t="s">
        <v>14929</v>
      </c>
      <c r="G2704" s="1" t="s">
        <v>14930</v>
      </c>
    </row>
    <row r="2705" spans="1:8" x14ac:dyDescent="0.3">
      <c r="A2705" s="2" t="s">
        <v>14931</v>
      </c>
      <c r="B2705" s="1" t="s">
        <v>13007</v>
      </c>
      <c r="C2705" s="1" t="s">
        <v>14932</v>
      </c>
      <c r="D2705" s="1" t="s">
        <v>14933</v>
      </c>
      <c r="E2705" s="1" t="s">
        <v>14934</v>
      </c>
      <c r="G2705" s="1" t="s">
        <v>14935</v>
      </c>
    </row>
    <row r="2706" spans="1:8" x14ac:dyDescent="0.3">
      <c r="A2706" s="2">
        <v>32186</v>
      </c>
      <c r="B2706" s="1" t="s">
        <v>14936</v>
      </c>
    </row>
    <row r="2707" spans="1:8" x14ac:dyDescent="0.3">
      <c r="A2707" s="2" t="s">
        <v>14937</v>
      </c>
      <c r="B2707" s="1" t="s">
        <v>12999</v>
      </c>
      <c r="C2707" s="1" t="s">
        <v>14938</v>
      </c>
      <c r="D2707" s="1" t="s">
        <v>14939</v>
      </c>
      <c r="E2707" s="1" t="s">
        <v>14940</v>
      </c>
      <c r="F2707" s="1" t="s">
        <v>14941</v>
      </c>
      <c r="G2707" s="1" t="s">
        <v>14942</v>
      </c>
    </row>
    <row r="2708" spans="1:8" x14ac:dyDescent="0.3">
      <c r="A2708" s="2" t="s">
        <v>14943</v>
      </c>
      <c r="B2708" s="1" t="s">
        <v>13007</v>
      </c>
      <c r="C2708" s="1" t="s">
        <v>14944</v>
      </c>
      <c r="D2708" s="1" t="s">
        <v>14945</v>
      </c>
      <c r="E2708" s="1" t="s">
        <v>14946</v>
      </c>
      <c r="F2708" s="1" t="s">
        <v>14947</v>
      </c>
      <c r="G2708" s="1" t="s">
        <v>14948</v>
      </c>
    </row>
    <row r="2709" spans="1:8" x14ac:dyDescent="0.3">
      <c r="A2709" s="2">
        <v>32187</v>
      </c>
      <c r="B2709" s="1" t="s">
        <v>14949</v>
      </c>
    </row>
    <row r="2710" spans="1:8" x14ac:dyDescent="0.3">
      <c r="A2710" s="2" t="s">
        <v>14950</v>
      </c>
      <c r="B2710" s="1" t="s">
        <v>12999</v>
      </c>
      <c r="C2710" s="1" t="s">
        <v>14951</v>
      </c>
      <c r="D2710" s="1" t="s">
        <v>14952</v>
      </c>
      <c r="E2710" s="1" t="s">
        <v>14953</v>
      </c>
      <c r="F2710" s="1" t="s">
        <v>14954</v>
      </c>
      <c r="G2710" s="1" t="s">
        <v>14955</v>
      </c>
      <c r="H2710" s="1" t="s">
        <v>14956</v>
      </c>
    </row>
    <row r="2711" spans="1:8" x14ac:dyDescent="0.3">
      <c r="A2711" s="2" t="s">
        <v>14957</v>
      </c>
      <c r="B2711" s="1" t="s">
        <v>13007</v>
      </c>
      <c r="C2711" s="1" t="s">
        <v>14958</v>
      </c>
      <c r="D2711" s="1" t="s">
        <v>14959</v>
      </c>
      <c r="E2711" s="1" t="s">
        <v>14960</v>
      </c>
      <c r="F2711" s="1" t="s">
        <v>14961</v>
      </c>
      <c r="G2711" s="1" t="s">
        <v>14962</v>
      </c>
      <c r="H2711" s="1" t="s">
        <v>14963</v>
      </c>
    </row>
    <row r="2712" spans="1:8" x14ac:dyDescent="0.3">
      <c r="A2712" s="2">
        <v>32188</v>
      </c>
      <c r="B2712" s="1" t="s">
        <v>14964</v>
      </c>
    </row>
    <row r="2713" spans="1:8" x14ac:dyDescent="0.3">
      <c r="A2713" s="2" t="s">
        <v>14965</v>
      </c>
      <c r="B2713" s="1" t="s">
        <v>12999</v>
      </c>
      <c r="C2713" s="1" t="s">
        <v>14966</v>
      </c>
      <c r="D2713" s="1" t="s">
        <v>14967</v>
      </c>
      <c r="E2713" s="1" t="s">
        <v>14968</v>
      </c>
      <c r="F2713" s="1" t="s">
        <v>14969</v>
      </c>
      <c r="G2713" s="1" t="s">
        <v>14970</v>
      </c>
      <c r="H2713" s="1" t="s">
        <v>5606</v>
      </c>
    </row>
    <row r="2714" spans="1:8" x14ac:dyDescent="0.3">
      <c r="A2714" s="2" t="s">
        <v>14971</v>
      </c>
      <c r="B2714" s="1" t="s">
        <v>13007</v>
      </c>
      <c r="C2714" s="1" t="s">
        <v>14972</v>
      </c>
      <c r="E2714" s="1" t="s">
        <v>5614</v>
      </c>
      <c r="F2714" s="1" t="s">
        <v>14973</v>
      </c>
      <c r="G2714" s="1" t="s">
        <v>14974</v>
      </c>
      <c r="H2714" s="1" t="s">
        <v>14975</v>
      </c>
    </row>
    <row r="2715" spans="1:8" x14ac:dyDescent="0.3">
      <c r="A2715" s="2">
        <v>32189</v>
      </c>
      <c r="B2715" s="1" t="s">
        <v>14976</v>
      </c>
    </row>
    <row r="2716" spans="1:8" x14ac:dyDescent="0.3">
      <c r="A2716" s="2" t="s">
        <v>14977</v>
      </c>
      <c r="B2716" s="1" t="s">
        <v>12999</v>
      </c>
      <c r="C2716" s="1" t="s">
        <v>14978</v>
      </c>
      <c r="D2716" s="1" t="s">
        <v>14979</v>
      </c>
      <c r="E2716" s="1" t="s">
        <v>14980</v>
      </c>
      <c r="F2716" s="1" t="s">
        <v>14981</v>
      </c>
      <c r="G2716" s="1" t="s">
        <v>14981</v>
      </c>
      <c r="H2716" s="1" t="s">
        <v>14982</v>
      </c>
    </row>
    <row r="2717" spans="1:8" x14ac:dyDescent="0.3">
      <c r="A2717" s="2" t="s">
        <v>14983</v>
      </c>
      <c r="B2717" s="1" t="s">
        <v>13007</v>
      </c>
      <c r="C2717" s="1" t="s">
        <v>14984</v>
      </c>
      <c r="D2717" s="1" t="s">
        <v>14985</v>
      </c>
      <c r="E2717" s="1" t="s">
        <v>14986</v>
      </c>
      <c r="F2717" s="1" t="s">
        <v>14987</v>
      </c>
      <c r="G2717" s="1" t="s">
        <v>14988</v>
      </c>
      <c r="H2717" s="1" t="s">
        <v>14989</v>
      </c>
    </row>
    <row r="2718" spans="1:8" x14ac:dyDescent="0.3">
      <c r="A2718" s="2">
        <v>32190</v>
      </c>
      <c r="B2718" s="1" t="s">
        <v>14990</v>
      </c>
    </row>
    <row r="2719" spans="1:8" x14ac:dyDescent="0.3">
      <c r="A2719" s="2" t="s">
        <v>14991</v>
      </c>
      <c r="B2719" s="1" t="s">
        <v>12999</v>
      </c>
      <c r="C2719" s="1" t="s">
        <v>14992</v>
      </c>
      <c r="D2719" s="1" t="s">
        <v>14993</v>
      </c>
      <c r="E2719" s="1" t="s">
        <v>14994</v>
      </c>
      <c r="F2719" s="1" t="s">
        <v>14995</v>
      </c>
      <c r="G2719" s="1" t="s">
        <v>14996</v>
      </c>
      <c r="H2719" s="1" t="s">
        <v>14997</v>
      </c>
    </row>
    <row r="2720" spans="1:8" x14ac:dyDescent="0.3">
      <c r="A2720" s="2" t="s">
        <v>14998</v>
      </c>
      <c r="B2720" s="1" t="s">
        <v>13007</v>
      </c>
      <c r="C2720" s="1" t="s">
        <v>14999</v>
      </c>
      <c r="D2720" s="1" t="s">
        <v>15000</v>
      </c>
      <c r="E2720" s="1" t="s">
        <v>15001</v>
      </c>
      <c r="F2720" s="1" t="s">
        <v>15002</v>
      </c>
      <c r="G2720" s="1" t="s">
        <v>15003</v>
      </c>
      <c r="H2720" s="1" t="s">
        <v>15004</v>
      </c>
    </row>
    <row r="2721" spans="1:8" x14ac:dyDescent="0.3">
      <c r="A2721" s="2">
        <v>32191</v>
      </c>
      <c r="B2721" s="1" t="s">
        <v>15005</v>
      </c>
    </row>
    <row r="2722" spans="1:8" x14ac:dyDescent="0.3">
      <c r="A2722" s="2" t="s">
        <v>15006</v>
      </c>
      <c r="B2722" s="1" t="s">
        <v>12999</v>
      </c>
      <c r="C2722" s="1" t="s">
        <v>15007</v>
      </c>
      <c r="D2722" s="1" t="s">
        <v>15008</v>
      </c>
      <c r="E2722" s="1" t="s">
        <v>15009</v>
      </c>
      <c r="F2722" s="1" t="s">
        <v>15010</v>
      </c>
      <c r="G2722" s="1" t="s">
        <v>15011</v>
      </c>
      <c r="H2722" s="1" t="s">
        <v>15012</v>
      </c>
    </row>
    <row r="2723" spans="1:8" x14ac:dyDescent="0.3">
      <c r="A2723" s="2" t="s">
        <v>15013</v>
      </c>
      <c r="B2723" s="1" t="s">
        <v>13007</v>
      </c>
      <c r="C2723" s="1" t="s">
        <v>15014</v>
      </c>
      <c r="D2723" s="1" t="s">
        <v>15015</v>
      </c>
      <c r="E2723" s="1" t="s">
        <v>15016</v>
      </c>
      <c r="F2723" s="1" t="s">
        <v>15017</v>
      </c>
      <c r="G2723" s="1" t="s">
        <v>15016</v>
      </c>
      <c r="H2723" s="1" t="s">
        <v>15018</v>
      </c>
    </row>
    <row r="2724" spans="1:8" x14ac:dyDescent="0.3">
      <c r="A2724" s="2">
        <v>32192</v>
      </c>
      <c r="B2724" s="1" t="s">
        <v>15019</v>
      </c>
    </row>
    <row r="2725" spans="1:8" x14ac:dyDescent="0.3">
      <c r="A2725" s="2" t="s">
        <v>15020</v>
      </c>
      <c r="B2725" s="1" t="s">
        <v>12999</v>
      </c>
      <c r="C2725" s="1" t="s">
        <v>15021</v>
      </c>
      <c r="D2725" s="1" t="s">
        <v>15022</v>
      </c>
      <c r="E2725" s="1" t="s">
        <v>15023</v>
      </c>
      <c r="F2725" s="1" t="s">
        <v>15024</v>
      </c>
      <c r="G2725" s="1" t="s">
        <v>15025</v>
      </c>
      <c r="H2725" s="1" t="s">
        <v>15026</v>
      </c>
    </row>
    <row r="2726" spans="1:8" x14ac:dyDescent="0.3">
      <c r="A2726" s="2" t="s">
        <v>15027</v>
      </c>
      <c r="B2726" s="1" t="s">
        <v>13007</v>
      </c>
      <c r="C2726" s="1" t="s">
        <v>15028</v>
      </c>
      <c r="D2726" s="1" t="s">
        <v>15029</v>
      </c>
      <c r="E2726" s="1" t="s">
        <v>15030</v>
      </c>
      <c r="F2726" s="1" t="s">
        <v>15031</v>
      </c>
      <c r="G2726" s="1" t="s">
        <v>11568</v>
      </c>
      <c r="H2726" s="1" t="s">
        <v>15032</v>
      </c>
    </row>
    <row r="2727" spans="1:8" x14ac:dyDescent="0.3">
      <c r="A2727" s="2">
        <v>32193</v>
      </c>
      <c r="B2727" s="1" t="s">
        <v>15033</v>
      </c>
    </row>
    <row r="2728" spans="1:8" x14ac:dyDescent="0.3">
      <c r="A2728" s="2" t="s">
        <v>15034</v>
      </c>
      <c r="B2728" s="1" t="s">
        <v>12999</v>
      </c>
      <c r="C2728" s="1" t="s">
        <v>15035</v>
      </c>
      <c r="D2728" s="1" t="s">
        <v>15036</v>
      </c>
      <c r="E2728" s="1" t="s">
        <v>15037</v>
      </c>
      <c r="F2728" s="1" t="s">
        <v>15038</v>
      </c>
      <c r="G2728" s="1" t="s">
        <v>15039</v>
      </c>
      <c r="H2728" s="1" t="s">
        <v>15040</v>
      </c>
    </row>
    <row r="2729" spans="1:8" x14ac:dyDescent="0.3">
      <c r="A2729" s="2" t="s">
        <v>15041</v>
      </c>
      <c r="B2729" s="1" t="s">
        <v>13007</v>
      </c>
      <c r="C2729" s="1" t="s">
        <v>15042</v>
      </c>
      <c r="D2729" s="1" t="s">
        <v>15043</v>
      </c>
      <c r="E2729" s="1" t="s">
        <v>15044</v>
      </c>
      <c r="F2729" s="1" t="s">
        <v>15045</v>
      </c>
      <c r="G2729" s="1" t="s">
        <v>15046</v>
      </c>
      <c r="H2729" s="1" t="s">
        <v>15047</v>
      </c>
    </row>
    <row r="2730" spans="1:8" x14ac:dyDescent="0.3">
      <c r="A2730" s="2">
        <v>32194</v>
      </c>
      <c r="B2730" s="1" t="s">
        <v>15048</v>
      </c>
    </row>
    <row r="2731" spans="1:8" x14ac:dyDescent="0.3">
      <c r="A2731" s="2" t="s">
        <v>15049</v>
      </c>
      <c r="B2731" s="1" t="s">
        <v>12999</v>
      </c>
      <c r="C2731" s="1" t="s">
        <v>15050</v>
      </c>
      <c r="D2731" s="1" t="s">
        <v>15051</v>
      </c>
      <c r="E2731" s="1" t="s">
        <v>15052</v>
      </c>
      <c r="F2731" s="1" t="s">
        <v>15053</v>
      </c>
      <c r="G2731" s="1" t="s">
        <v>15054</v>
      </c>
      <c r="H2731" s="1" t="s">
        <v>15055</v>
      </c>
    </row>
    <row r="2732" spans="1:8" x14ac:dyDescent="0.3">
      <c r="A2732" s="2" t="s">
        <v>15056</v>
      </c>
      <c r="B2732" s="1" t="s">
        <v>13007</v>
      </c>
      <c r="C2732" s="1" t="s">
        <v>15057</v>
      </c>
      <c r="E2732" s="1" t="s">
        <v>15058</v>
      </c>
      <c r="F2732" s="1" t="s">
        <v>15059</v>
      </c>
      <c r="G2732" s="1" t="s">
        <v>15060</v>
      </c>
      <c r="H2732" s="1" t="s">
        <v>15061</v>
      </c>
    </row>
    <row r="2733" spans="1:8" x14ac:dyDescent="0.3">
      <c r="A2733" s="2">
        <v>32195</v>
      </c>
      <c r="B2733" s="1" t="s">
        <v>15062</v>
      </c>
    </row>
    <row r="2734" spans="1:8" x14ac:dyDescent="0.3">
      <c r="A2734" s="2" t="s">
        <v>15063</v>
      </c>
      <c r="B2734" s="1" t="s">
        <v>12999</v>
      </c>
      <c r="C2734" s="1" t="s">
        <v>15064</v>
      </c>
      <c r="D2734" s="1" t="s">
        <v>15065</v>
      </c>
      <c r="E2734" s="1" t="s">
        <v>15066</v>
      </c>
      <c r="F2734" s="1" t="s">
        <v>15067</v>
      </c>
      <c r="G2734" s="1" t="s">
        <v>15065</v>
      </c>
      <c r="H2734" s="1" t="s">
        <v>15068</v>
      </c>
    </row>
    <row r="2735" spans="1:8" x14ac:dyDescent="0.3">
      <c r="A2735" s="2" t="s">
        <v>15069</v>
      </c>
      <c r="B2735" s="1" t="s">
        <v>13007</v>
      </c>
      <c r="C2735" s="1" t="s">
        <v>15070</v>
      </c>
      <c r="D2735" s="1" t="s">
        <v>15071</v>
      </c>
      <c r="E2735" s="1" t="s">
        <v>15072</v>
      </c>
      <c r="F2735" s="1" t="s">
        <v>15073</v>
      </c>
      <c r="G2735" s="1" t="s">
        <v>15074</v>
      </c>
      <c r="H2735" s="1" t="s">
        <v>15074</v>
      </c>
    </row>
    <row r="2736" spans="1:8" x14ac:dyDescent="0.3">
      <c r="A2736" s="2">
        <v>32196</v>
      </c>
      <c r="B2736" s="1" t="s">
        <v>15075</v>
      </c>
    </row>
    <row r="2737" spans="1:8" x14ac:dyDescent="0.3">
      <c r="A2737" s="2" t="s">
        <v>15076</v>
      </c>
      <c r="B2737" s="1" t="s">
        <v>12999</v>
      </c>
      <c r="C2737" s="1" t="s">
        <v>15077</v>
      </c>
      <c r="D2737" s="1" t="s">
        <v>15078</v>
      </c>
      <c r="E2737" s="1" t="s">
        <v>15079</v>
      </c>
      <c r="F2737" s="1" t="s">
        <v>15080</v>
      </c>
      <c r="G2737" s="1" t="s">
        <v>15081</v>
      </c>
      <c r="H2737" s="1" t="s">
        <v>15082</v>
      </c>
    </row>
    <row r="2738" spans="1:8" x14ac:dyDescent="0.3">
      <c r="A2738" s="2" t="s">
        <v>15083</v>
      </c>
      <c r="B2738" s="1" t="s">
        <v>13007</v>
      </c>
      <c r="C2738" s="1" t="s">
        <v>15084</v>
      </c>
      <c r="D2738" s="1" t="s">
        <v>15085</v>
      </c>
      <c r="E2738" s="1" t="s">
        <v>15086</v>
      </c>
      <c r="F2738" s="1" t="s">
        <v>15086</v>
      </c>
      <c r="G2738" s="1" t="s">
        <v>15087</v>
      </c>
      <c r="H2738" s="1" t="s">
        <v>15086</v>
      </c>
    </row>
    <row r="2739" spans="1:8" x14ac:dyDescent="0.3">
      <c r="A2739" s="2">
        <v>32197</v>
      </c>
      <c r="B2739" s="1" t="s">
        <v>15088</v>
      </c>
    </row>
    <row r="2740" spans="1:8" x14ac:dyDescent="0.3">
      <c r="A2740" s="2" t="s">
        <v>15089</v>
      </c>
      <c r="B2740" s="1" t="s">
        <v>12999</v>
      </c>
      <c r="C2740" s="1" t="s">
        <v>15090</v>
      </c>
      <c r="D2740" s="1" t="s">
        <v>15091</v>
      </c>
      <c r="E2740" s="1" t="s">
        <v>15092</v>
      </c>
      <c r="F2740" s="1" t="s">
        <v>15093</v>
      </c>
      <c r="G2740" s="1" t="s">
        <v>15094</v>
      </c>
      <c r="H2740" s="1" t="s">
        <v>15093</v>
      </c>
    </row>
    <row r="2741" spans="1:8" x14ac:dyDescent="0.3">
      <c r="A2741" s="2" t="s">
        <v>15095</v>
      </c>
      <c r="B2741" s="1" t="s">
        <v>13007</v>
      </c>
      <c r="C2741" s="1" t="s">
        <v>15096</v>
      </c>
      <c r="D2741" s="1" t="s">
        <v>15097</v>
      </c>
      <c r="E2741" s="1" t="s">
        <v>15098</v>
      </c>
      <c r="F2741" s="1" t="s">
        <v>15099</v>
      </c>
      <c r="G2741" s="1" t="s">
        <v>15100</v>
      </c>
      <c r="H2741" s="1" t="s">
        <v>15101</v>
      </c>
    </row>
    <row r="2742" spans="1:8" x14ac:dyDescent="0.3">
      <c r="A2742" s="2">
        <v>32198</v>
      </c>
      <c r="B2742" s="1" t="s">
        <v>15102</v>
      </c>
    </row>
    <row r="2743" spans="1:8" x14ac:dyDescent="0.3">
      <c r="A2743" s="2" t="s">
        <v>15103</v>
      </c>
      <c r="B2743" s="1" t="s">
        <v>12999</v>
      </c>
      <c r="C2743" s="1" t="s">
        <v>15104</v>
      </c>
      <c r="D2743" s="1" t="s">
        <v>15105</v>
      </c>
      <c r="E2743" s="1" t="s">
        <v>15106</v>
      </c>
      <c r="F2743" s="1" t="s">
        <v>15107</v>
      </c>
      <c r="G2743" s="1" t="s">
        <v>15108</v>
      </c>
      <c r="H2743" s="1" t="s">
        <v>15109</v>
      </c>
    </row>
    <row r="2744" spans="1:8" x14ac:dyDescent="0.3">
      <c r="A2744" s="2" t="s">
        <v>15110</v>
      </c>
      <c r="B2744" s="1" t="s">
        <v>13007</v>
      </c>
      <c r="C2744" s="1" t="s">
        <v>15111</v>
      </c>
      <c r="D2744" s="1" t="s">
        <v>15112</v>
      </c>
      <c r="E2744" s="1" t="s">
        <v>15113</v>
      </c>
      <c r="F2744" s="1" t="s">
        <v>15114</v>
      </c>
      <c r="H2744" s="1" t="s">
        <v>15115</v>
      </c>
    </row>
    <row r="2745" spans="1:8" x14ac:dyDescent="0.3">
      <c r="A2745" s="2">
        <v>32199</v>
      </c>
      <c r="B2745" s="1" t="s">
        <v>15116</v>
      </c>
    </row>
    <row r="2746" spans="1:8" x14ac:dyDescent="0.3">
      <c r="A2746" s="2" t="s">
        <v>15117</v>
      </c>
      <c r="B2746" s="1" t="s">
        <v>12999</v>
      </c>
      <c r="C2746" s="1" t="s">
        <v>15118</v>
      </c>
      <c r="D2746" s="1" t="s">
        <v>15119</v>
      </c>
      <c r="E2746" s="1" t="s">
        <v>15119</v>
      </c>
      <c r="F2746" s="1" t="s">
        <v>15120</v>
      </c>
      <c r="G2746" s="1" t="s">
        <v>15119</v>
      </c>
      <c r="H2746" s="1" t="s">
        <v>15121</v>
      </c>
    </row>
    <row r="2747" spans="1:8" x14ac:dyDescent="0.3">
      <c r="A2747" s="2" t="s">
        <v>15122</v>
      </c>
      <c r="B2747" s="1" t="s">
        <v>13007</v>
      </c>
      <c r="C2747" s="1" t="s">
        <v>15123</v>
      </c>
      <c r="D2747" s="1" t="s">
        <v>15124</v>
      </c>
      <c r="E2747" s="1" t="s">
        <v>15125</v>
      </c>
      <c r="F2747" s="1" t="s">
        <v>15126</v>
      </c>
      <c r="G2747" s="1" t="s">
        <v>15127</v>
      </c>
      <c r="H2747" s="1" t="s">
        <v>15128</v>
      </c>
    </row>
    <row r="2748" spans="1:8" x14ac:dyDescent="0.3">
      <c r="A2748" s="2">
        <v>32200</v>
      </c>
      <c r="B2748" s="1" t="s">
        <v>15129</v>
      </c>
    </row>
    <row r="2749" spans="1:8" x14ac:dyDescent="0.3">
      <c r="A2749" s="2" t="s">
        <v>15130</v>
      </c>
      <c r="B2749" s="1" t="s">
        <v>12999</v>
      </c>
      <c r="C2749" s="1" t="s">
        <v>15131</v>
      </c>
      <c r="D2749" s="1" t="s">
        <v>15132</v>
      </c>
      <c r="E2749" s="1" t="s">
        <v>15133</v>
      </c>
      <c r="F2749" s="1" t="s">
        <v>15134</v>
      </c>
      <c r="G2749" s="1" t="s">
        <v>15135</v>
      </c>
      <c r="H2749" s="1" t="s">
        <v>15136</v>
      </c>
    </row>
    <row r="2750" spans="1:8" x14ac:dyDescent="0.3">
      <c r="A2750" s="2" t="s">
        <v>15137</v>
      </c>
      <c r="B2750" s="1" t="s">
        <v>13007</v>
      </c>
      <c r="C2750" s="1" t="s">
        <v>15138</v>
      </c>
      <c r="D2750" s="1" t="s">
        <v>15139</v>
      </c>
      <c r="E2750" s="1" t="s">
        <v>15140</v>
      </c>
      <c r="F2750" s="1" t="s">
        <v>15141</v>
      </c>
      <c r="G2750" s="1" t="s">
        <v>15142</v>
      </c>
      <c r="H2750" s="1" t="s">
        <v>15143</v>
      </c>
    </row>
    <row r="2751" spans="1:8" x14ac:dyDescent="0.3">
      <c r="A2751" s="2">
        <v>32201</v>
      </c>
      <c r="B2751" s="1" t="s">
        <v>15144</v>
      </c>
    </row>
    <row r="2752" spans="1:8" x14ac:dyDescent="0.3">
      <c r="A2752" s="2" t="s">
        <v>15145</v>
      </c>
      <c r="B2752" s="1" t="s">
        <v>12999</v>
      </c>
      <c r="C2752" s="1" t="s">
        <v>15146</v>
      </c>
      <c r="D2752" s="1" t="s">
        <v>15147</v>
      </c>
      <c r="E2752" s="1" t="s">
        <v>15148</v>
      </c>
      <c r="F2752" s="1" t="s">
        <v>15149</v>
      </c>
      <c r="G2752" s="1" t="s">
        <v>15150</v>
      </c>
      <c r="H2752" s="1" t="s">
        <v>15151</v>
      </c>
    </row>
    <row r="2753" spans="1:8" x14ac:dyDescent="0.3">
      <c r="A2753" s="2" t="s">
        <v>15152</v>
      </c>
      <c r="B2753" s="1" t="s">
        <v>13007</v>
      </c>
      <c r="C2753" s="1" t="s">
        <v>15153</v>
      </c>
      <c r="D2753" s="1" t="s">
        <v>15154</v>
      </c>
      <c r="E2753" s="1" t="s">
        <v>15155</v>
      </c>
      <c r="F2753" s="1" t="s">
        <v>15156</v>
      </c>
      <c r="G2753" s="1" t="s">
        <v>15156</v>
      </c>
      <c r="H2753" s="1" t="s">
        <v>15157</v>
      </c>
    </row>
    <row r="2754" spans="1:8" x14ac:dyDescent="0.3">
      <c r="A2754" s="2">
        <v>32202</v>
      </c>
      <c r="B2754" s="1" t="s">
        <v>15158</v>
      </c>
    </row>
    <row r="2755" spans="1:8" x14ac:dyDescent="0.3">
      <c r="A2755" s="2" t="s">
        <v>15159</v>
      </c>
      <c r="B2755" s="1" t="s">
        <v>12999</v>
      </c>
      <c r="C2755" s="1" t="s">
        <v>15160</v>
      </c>
      <c r="D2755" s="1" t="s">
        <v>15161</v>
      </c>
      <c r="E2755" s="1" t="s">
        <v>15162</v>
      </c>
      <c r="F2755" s="1" t="s">
        <v>15163</v>
      </c>
      <c r="G2755" s="1" t="s">
        <v>15164</v>
      </c>
      <c r="H2755" s="1" t="s">
        <v>15165</v>
      </c>
    </row>
    <row r="2756" spans="1:8" x14ac:dyDescent="0.3">
      <c r="A2756" s="2" t="s">
        <v>15166</v>
      </c>
      <c r="B2756" s="1" t="s">
        <v>13007</v>
      </c>
      <c r="C2756" s="1" t="s">
        <v>15167</v>
      </c>
      <c r="D2756" s="1" t="s">
        <v>15168</v>
      </c>
      <c r="E2756" s="1" t="s">
        <v>15169</v>
      </c>
      <c r="G2756" s="1" t="s">
        <v>15170</v>
      </c>
      <c r="H2756" s="1" t="s">
        <v>15171</v>
      </c>
    </row>
    <row r="2757" spans="1:8" x14ac:dyDescent="0.3">
      <c r="A2757" s="2">
        <v>32203</v>
      </c>
      <c r="B2757" s="1" t="s">
        <v>15172</v>
      </c>
    </row>
    <row r="2758" spans="1:8" x14ac:dyDescent="0.3">
      <c r="A2758" s="2" t="s">
        <v>15173</v>
      </c>
      <c r="B2758" s="1" t="s">
        <v>12999</v>
      </c>
      <c r="C2758" s="1" t="s">
        <v>15174</v>
      </c>
      <c r="D2758" s="1" t="s">
        <v>15175</v>
      </c>
      <c r="E2758" s="1" t="s">
        <v>15176</v>
      </c>
      <c r="F2758" s="1" t="s">
        <v>15177</v>
      </c>
      <c r="G2758" s="1" t="s">
        <v>15178</v>
      </c>
      <c r="H2758" s="1" t="s">
        <v>15179</v>
      </c>
    </row>
    <row r="2759" spans="1:8" x14ac:dyDescent="0.3">
      <c r="A2759" s="2" t="s">
        <v>15180</v>
      </c>
      <c r="B2759" s="1" t="s">
        <v>13007</v>
      </c>
      <c r="C2759" s="1" t="s">
        <v>15181</v>
      </c>
      <c r="D2759" s="1" t="s">
        <v>15182</v>
      </c>
      <c r="E2759" s="1" t="s">
        <v>15183</v>
      </c>
      <c r="F2759" s="1" t="s">
        <v>15184</v>
      </c>
      <c r="G2759" s="1" t="s">
        <v>15185</v>
      </c>
      <c r="H2759" s="1" t="s">
        <v>15186</v>
      </c>
    </row>
    <row r="2760" spans="1:8" x14ac:dyDescent="0.3">
      <c r="A2760" s="2">
        <v>32204</v>
      </c>
      <c r="B2760" s="1" t="s">
        <v>15187</v>
      </c>
    </row>
    <row r="2761" spans="1:8" x14ac:dyDescent="0.3">
      <c r="A2761" s="2" t="s">
        <v>15188</v>
      </c>
      <c r="B2761" s="1" t="s">
        <v>12999</v>
      </c>
      <c r="C2761" s="1" t="s">
        <v>15189</v>
      </c>
      <c r="D2761" s="1" t="s">
        <v>15190</v>
      </c>
      <c r="E2761" s="1" t="s">
        <v>15191</v>
      </c>
      <c r="F2761" s="1" t="s">
        <v>15192</v>
      </c>
      <c r="G2761" s="1" t="s">
        <v>15193</v>
      </c>
      <c r="H2761" s="1" t="s">
        <v>15194</v>
      </c>
    </row>
    <row r="2762" spans="1:8" x14ac:dyDescent="0.3">
      <c r="A2762" s="2" t="s">
        <v>15195</v>
      </c>
      <c r="B2762" s="1" t="s">
        <v>13007</v>
      </c>
      <c r="C2762" s="1" t="s">
        <v>15196</v>
      </c>
      <c r="D2762" s="1" t="s">
        <v>15197</v>
      </c>
      <c r="E2762" s="1" t="s">
        <v>15198</v>
      </c>
      <c r="F2762" s="1" t="s">
        <v>15199</v>
      </c>
      <c r="G2762" s="1" t="s">
        <v>15198</v>
      </c>
      <c r="H2762" s="1" t="s">
        <v>15200</v>
      </c>
    </row>
    <row r="2763" spans="1:8" x14ac:dyDescent="0.3">
      <c r="A2763" s="2">
        <v>32205</v>
      </c>
      <c r="B2763" s="1" t="s">
        <v>15201</v>
      </c>
    </row>
    <row r="2764" spans="1:8" x14ac:dyDescent="0.3">
      <c r="A2764" s="2" t="s">
        <v>15202</v>
      </c>
      <c r="B2764" s="1" t="s">
        <v>12999</v>
      </c>
      <c r="C2764" s="1" t="s">
        <v>15203</v>
      </c>
      <c r="D2764" s="1" t="s">
        <v>15204</v>
      </c>
      <c r="E2764" s="1" t="s">
        <v>15205</v>
      </c>
      <c r="F2764" s="1" t="s">
        <v>15206</v>
      </c>
      <c r="G2764" s="1" t="s">
        <v>15207</v>
      </c>
      <c r="H2764" s="1" t="s">
        <v>15208</v>
      </c>
    </row>
    <row r="2765" spans="1:8" x14ac:dyDescent="0.3">
      <c r="A2765" s="2" t="s">
        <v>15209</v>
      </c>
      <c r="B2765" s="1" t="s">
        <v>13007</v>
      </c>
      <c r="C2765" s="1" t="s">
        <v>15210</v>
      </c>
      <c r="D2765" s="1" t="s">
        <v>15211</v>
      </c>
      <c r="E2765" s="1" t="s">
        <v>15211</v>
      </c>
      <c r="F2765" s="1" t="s">
        <v>15211</v>
      </c>
      <c r="G2765" s="1" t="s">
        <v>15212</v>
      </c>
      <c r="H2765" s="1" t="s">
        <v>15211</v>
      </c>
    </row>
    <row r="2766" spans="1:8" x14ac:dyDescent="0.3">
      <c r="A2766" s="2">
        <v>32206</v>
      </c>
      <c r="B2766" s="1" t="s">
        <v>15213</v>
      </c>
    </row>
    <row r="2767" spans="1:8" x14ac:dyDescent="0.3">
      <c r="A2767" s="2" t="s">
        <v>15214</v>
      </c>
      <c r="B2767" s="1" t="s">
        <v>12999</v>
      </c>
      <c r="C2767" s="1" t="s">
        <v>15215</v>
      </c>
      <c r="D2767" s="1" t="s">
        <v>15216</v>
      </c>
      <c r="E2767" s="1" t="s">
        <v>15217</v>
      </c>
      <c r="F2767" s="1" t="s">
        <v>15218</v>
      </c>
      <c r="G2767" s="1" t="s">
        <v>15219</v>
      </c>
      <c r="H2767" s="1" t="s">
        <v>15220</v>
      </c>
    </row>
    <row r="2768" spans="1:8" x14ac:dyDescent="0.3">
      <c r="A2768" s="2" t="s">
        <v>15221</v>
      </c>
      <c r="B2768" s="1" t="s">
        <v>13007</v>
      </c>
      <c r="C2768" s="1" t="s">
        <v>15222</v>
      </c>
      <c r="D2768" s="1" t="s">
        <v>15223</v>
      </c>
      <c r="E2768" s="1" t="s">
        <v>15224</v>
      </c>
      <c r="F2768" s="1" t="s">
        <v>15225</v>
      </c>
      <c r="G2768" s="1" t="s">
        <v>15226</v>
      </c>
      <c r="H2768" s="1" t="s">
        <v>15227</v>
      </c>
    </row>
    <row r="2769" spans="1:8" x14ac:dyDescent="0.3">
      <c r="A2769" s="2">
        <v>32207</v>
      </c>
      <c r="B2769" s="1" t="s">
        <v>15228</v>
      </c>
    </row>
    <row r="2770" spans="1:8" x14ac:dyDescent="0.3">
      <c r="A2770" s="2" t="s">
        <v>15229</v>
      </c>
      <c r="B2770" s="1" t="s">
        <v>12999</v>
      </c>
      <c r="C2770" s="1" t="s">
        <v>15230</v>
      </c>
      <c r="D2770" s="1" t="s">
        <v>15231</v>
      </c>
      <c r="E2770" s="1" t="s">
        <v>15232</v>
      </c>
      <c r="F2770" s="1" t="s">
        <v>15233</v>
      </c>
      <c r="G2770" s="1" t="s">
        <v>15234</v>
      </c>
      <c r="H2770" s="1" t="s">
        <v>15235</v>
      </c>
    </row>
    <row r="2771" spans="1:8" x14ac:dyDescent="0.3">
      <c r="A2771" s="2" t="s">
        <v>15236</v>
      </c>
      <c r="B2771" s="1" t="s">
        <v>13007</v>
      </c>
      <c r="C2771" s="1" t="s">
        <v>15237</v>
      </c>
      <c r="D2771" s="1" t="s">
        <v>15238</v>
      </c>
      <c r="E2771" s="1" t="s">
        <v>15238</v>
      </c>
      <c r="F2771" s="1" t="s">
        <v>15239</v>
      </c>
      <c r="G2771" s="1" t="s">
        <v>15239</v>
      </c>
      <c r="H2771" s="1" t="s">
        <v>15240</v>
      </c>
    </row>
    <row r="2772" spans="1:8" x14ac:dyDescent="0.3">
      <c r="A2772" s="2">
        <v>32208</v>
      </c>
      <c r="B2772" s="1" t="s">
        <v>15241</v>
      </c>
    </row>
    <row r="2773" spans="1:8" x14ac:dyDescent="0.3">
      <c r="A2773" s="2" t="s">
        <v>15242</v>
      </c>
      <c r="B2773" s="1" t="s">
        <v>12999</v>
      </c>
      <c r="C2773" s="1" t="s">
        <v>15243</v>
      </c>
      <c r="D2773" s="1" t="s">
        <v>15244</v>
      </c>
      <c r="E2773" s="1" t="s">
        <v>15245</v>
      </c>
      <c r="F2773" s="1" t="s">
        <v>15246</v>
      </c>
      <c r="G2773" s="1" t="s">
        <v>15247</v>
      </c>
      <c r="H2773" s="1" t="s">
        <v>15248</v>
      </c>
    </row>
    <row r="2774" spans="1:8" x14ac:dyDescent="0.3">
      <c r="A2774" s="2" t="s">
        <v>15249</v>
      </c>
      <c r="B2774" s="1" t="s">
        <v>13007</v>
      </c>
      <c r="C2774" s="1" t="s">
        <v>15250</v>
      </c>
      <c r="D2774" s="1" t="s">
        <v>15251</v>
      </c>
      <c r="E2774" s="1" t="s">
        <v>15252</v>
      </c>
      <c r="F2774" s="1" t="s">
        <v>15253</v>
      </c>
      <c r="G2774" s="1" t="s">
        <v>15254</v>
      </c>
      <c r="H2774" s="1" t="s">
        <v>15255</v>
      </c>
    </row>
    <row r="2775" spans="1:8" x14ac:dyDescent="0.3">
      <c r="A2775" s="2">
        <v>32209</v>
      </c>
      <c r="B2775" s="1" t="s">
        <v>15256</v>
      </c>
      <c r="D2775" s="1" t="s">
        <v>15257</v>
      </c>
    </row>
    <row r="2776" spans="1:8" x14ac:dyDescent="0.3">
      <c r="A2776" s="2" t="s">
        <v>15258</v>
      </c>
      <c r="B2776" s="1" t="s">
        <v>12999</v>
      </c>
      <c r="C2776" s="1" t="s">
        <v>15259</v>
      </c>
      <c r="D2776" s="1" t="s">
        <v>15260</v>
      </c>
      <c r="E2776" s="1" t="s">
        <v>15261</v>
      </c>
      <c r="F2776" s="1" t="s">
        <v>15262</v>
      </c>
      <c r="G2776" s="1" t="s">
        <v>15263</v>
      </c>
      <c r="H2776" s="1" t="s">
        <v>15264</v>
      </c>
    </row>
    <row r="2777" spans="1:8" x14ac:dyDescent="0.3">
      <c r="A2777" s="2" t="s">
        <v>15265</v>
      </c>
      <c r="B2777" s="1" t="s">
        <v>13007</v>
      </c>
      <c r="C2777" s="1" t="s">
        <v>15266</v>
      </c>
      <c r="D2777" s="1" t="s">
        <v>15267</v>
      </c>
      <c r="E2777" s="1" t="s">
        <v>15268</v>
      </c>
      <c r="F2777" s="1" t="s">
        <v>15269</v>
      </c>
      <c r="G2777" s="1" t="s">
        <v>15270</v>
      </c>
      <c r="H2777" s="1" t="s">
        <v>15269</v>
      </c>
    </row>
    <row r="2778" spans="1:8" x14ac:dyDescent="0.3">
      <c r="A2778" s="2">
        <v>32210</v>
      </c>
      <c r="B2778" s="1" t="s">
        <v>15271</v>
      </c>
    </row>
    <row r="2779" spans="1:8" x14ac:dyDescent="0.3">
      <c r="A2779" s="2" t="s">
        <v>15272</v>
      </c>
      <c r="B2779" s="1" t="s">
        <v>12999</v>
      </c>
      <c r="C2779" s="1" t="s">
        <v>15273</v>
      </c>
      <c r="D2779" s="1" t="s">
        <v>15274</v>
      </c>
      <c r="E2779" s="1" t="s">
        <v>15275</v>
      </c>
      <c r="F2779" s="1" t="s">
        <v>15276</v>
      </c>
      <c r="G2779" s="1" t="s">
        <v>15277</v>
      </c>
      <c r="H2779" s="1" t="s">
        <v>15278</v>
      </c>
    </row>
    <row r="2780" spans="1:8" x14ac:dyDescent="0.3">
      <c r="A2780" s="2" t="s">
        <v>15279</v>
      </c>
      <c r="B2780" s="1" t="s">
        <v>13007</v>
      </c>
      <c r="C2780" s="1" t="s">
        <v>15280</v>
      </c>
      <c r="D2780" s="1" t="s">
        <v>15281</v>
      </c>
      <c r="E2780" s="1" t="s">
        <v>15282</v>
      </c>
      <c r="F2780" s="1" t="s">
        <v>15283</v>
      </c>
      <c r="G2780" s="1" t="s">
        <v>15284</v>
      </c>
      <c r="H2780" s="1" t="s">
        <v>15285</v>
      </c>
    </row>
    <row r="2781" spans="1:8" x14ac:dyDescent="0.3">
      <c r="A2781" s="2">
        <v>32211</v>
      </c>
      <c r="B2781" s="1" t="s">
        <v>15286</v>
      </c>
    </row>
    <row r="2782" spans="1:8" x14ac:dyDescent="0.3">
      <c r="A2782" s="2" t="s">
        <v>15287</v>
      </c>
      <c r="B2782" s="1" t="s">
        <v>12999</v>
      </c>
      <c r="C2782" s="1" t="s">
        <v>15288</v>
      </c>
      <c r="D2782" s="1" t="s">
        <v>15289</v>
      </c>
      <c r="E2782" s="1" t="s">
        <v>15290</v>
      </c>
      <c r="F2782" s="1" t="s">
        <v>15291</v>
      </c>
      <c r="G2782" s="1" t="s">
        <v>15292</v>
      </c>
      <c r="H2782" s="1" t="s">
        <v>15293</v>
      </c>
    </row>
    <row r="2783" spans="1:8" x14ac:dyDescent="0.3">
      <c r="A2783" s="2" t="s">
        <v>15294</v>
      </c>
      <c r="B2783" s="1" t="s">
        <v>13007</v>
      </c>
      <c r="D2783" s="1" t="s">
        <v>15295</v>
      </c>
      <c r="E2783" s="1" t="s">
        <v>15296</v>
      </c>
      <c r="F2783" s="1" t="s">
        <v>15297</v>
      </c>
      <c r="G2783" s="1" t="s">
        <v>15298</v>
      </c>
      <c r="H2783" s="1" t="s">
        <v>15297</v>
      </c>
    </row>
    <row r="2784" spans="1:8" x14ac:dyDescent="0.3">
      <c r="A2784" s="2">
        <v>32212</v>
      </c>
      <c r="B2784" s="1" t="s">
        <v>15299</v>
      </c>
    </row>
    <row r="2785" spans="1:8" x14ac:dyDescent="0.3">
      <c r="A2785" s="2" t="s">
        <v>15300</v>
      </c>
      <c r="B2785" s="1" t="s">
        <v>12999</v>
      </c>
      <c r="C2785" s="1" t="s">
        <v>15301</v>
      </c>
      <c r="D2785" s="1" t="s">
        <v>15302</v>
      </c>
      <c r="E2785" s="1" t="s">
        <v>15303</v>
      </c>
      <c r="F2785" s="1" t="s">
        <v>15304</v>
      </c>
      <c r="G2785" s="1" t="s">
        <v>15304</v>
      </c>
      <c r="H2785" s="1" t="s">
        <v>15304</v>
      </c>
    </row>
    <row r="2786" spans="1:8" x14ac:dyDescent="0.3">
      <c r="A2786" s="2" t="s">
        <v>15305</v>
      </c>
      <c r="B2786" s="1" t="s">
        <v>13007</v>
      </c>
      <c r="C2786" s="1" t="s">
        <v>15306</v>
      </c>
      <c r="D2786" s="1" t="s">
        <v>15307</v>
      </c>
      <c r="E2786" s="1" t="s">
        <v>15308</v>
      </c>
      <c r="F2786" s="1" t="s">
        <v>15309</v>
      </c>
      <c r="G2786" s="1" t="s">
        <v>15310</v>
      </c>
      <c r="H2786" s="1" t="s">
        <v>15310</v>
      </c>
    </row>
    <row r="2787" spans="1:8" x14ac:dyDescent="0.3">
      <c r="A2787" s="2">
        <v>32213</v>
      </c>
      <c r="B2787" s="1" t="s">
        <v>15311</v>
      </c>
    </row>
    <row r="2788" spans="1:8" x14ac:dyDescent="0.3">
      <c r="A2788" s="2" t="s">
        <v>15312</v>
      </c>
      <c r="B2788" s="1" t="s">
        <v>12999</v>
      </c>
      <c r="C2788" s="1" t="s">
        <v>15313</v>
      </c>
      <c r="D2788" s="1" t="s">
        <v>15314</v>
      </c>
      <c r="E2788" s="1" t="s">
        <v>15315</v>
      </c>
      <c r="F2788" s="1" t="s">
        <v>15316</v>
      </c>
      <c r="G2788" s="1" t="s">
        <v>15317</v>
      </c>
      <c r="H2788" s="1" t="s">
        <v>15318</v>
      </c>
    </row>
    <row r="2789" spans="1:8" x14ac:dyDescent="0.3">
      <c r="A2789" s="2" t="s">
        <v>15319</v>
      </c>
      <c r="B2789" s="1" t="s">
        <v>13007</v>
      </c>
      <c r="C2789" s="1" t="s">
        <v>15320</v>
      </c>
      <c r="E2789" s="1" t="s">
        <v>15321</v>
      </c>
      <c r="F2789" s="1" t="s">
        <v>15322</v>
      </c>
      <c r="G2789" s="1" t="s">
        <v>15323</v>
      </c>
      <c r="H2789" s="1" t="s">
        <v>15324</v>
      </c>
    </row>
    <row r="2790" spans="1:8" x14ac:dyDescent="0.3">
      <c r="A2790" s="2">
        <v>32214</v>
      </c>
      <c r="B2790" s="1" t="s">
        <v>15325</v>
      </c>
    </row>
    <row r="2791" spans="1:8" x14ac:dyDescent="0.3">
      <c r="A2791" s="2" t="s">
        <v>15326</v>
      </c>
      <c r="B2791" s="1" t="s">
        <v>12999</v>
      </c>
      <c r="C2791" s="1" t="s">
        <v>15327</v>
      </c>
      <c r="D2791" s="1" t="s">
        <v>15328</v>
      </c>
      <c r="E2791" s="1" t="s">
        <v>15329</v>
      </c>
      <c r="F2791" s="1" t="s">
        <v>15330</v>
      </c>
      <c r="G2791" s="1" t="s">
        <v>15331</v>
      </c>
      <c r="H2791" s="1" t="s">
        <v>15332</v>
      </c>
    </row>
    <row r="2792" spans="1:8" x14ac:dyDescent="0.3">
      <c r="A2792" s="2" t="s">
        <v>15333</v>
      </c>
      <c r="B2792" s="1" t="s">
        <v>13007</v>
      </c>
      <c r="C2792" s="1" t="s">
        <v>15334</v>
      </c>
      <c r="D2792" s="1" t="s">
        <v>15335</v>
      </c>
      <c r="E2792" s="1" t="s">
        <v>15336</v>
      </c>
      <c r="F2792" s="1" t="s">
        <v>15337</v>
      </c>
      <c r="G2792" s="1" t="s">
        <v>15338</v>
      </c>
      <c r="H2792" s="1" t="s">
        <v>15339</v>
      </c>
    </row>
    <row r="2793" spans="1:8" x14ac:dyDescent="0.3">
      <c r="A2793" s="2">
        <v>32215</v>
      </c>
      <c r="B2793" s="1" t="s">
        <v>15340</v>
      </c>
    </row>
    <row r="2794" spans="1:8" x14ac:dyDescent="0.3">
      <c r="A2794" s="2" t="s">
        <v>15341</v>
      </c>
      <c r="B2794" s="1" t="s">
        <v>12999</v>
      </c>
      <c r="C2794" s="1" t="s">
        <v>15342</v>
      </c>
      <c r="D2794" s="1" t="s">
        <v>15343</v>
      </c>
      <c r="E2794" s="1" t="s">
        <v>15344</v>
      </c>
      <c r="F2794" s="1" t="s">
        <v>15345</v>
      </c>
      <c r="G2794" s="1" t="s">
        <v>15346</v>
      </c>
      <c r="H2794" s="1" t="s">
        <v>15347</v>
      </c>
    </row>
    <row r="2795" spans="1:8" x14ac:dyDescent="0.3">
      <c r="A2795" s="2" t="s">
        <v>15348</v>
      </c>
      <c r="B2795" s="1" t="s">
        <v>13007</v>
      </c>
      <c r="C2795" s="1" t="s">
        <v>15349</v>
      </c>
      <c r="D2795" s="1" t="s">
        <v>15350</v>
      </c>
      <c r="E2795" s="1" t="s">
        <v>15351</v>
      </c>
      <c r="F2795" s="1" t="s">
        <v>15352</v>
      </c>
      <c r="G2795" s="1" t="s">
        <v>15353</v>
      </c>
      <c r="H2795" s="1" t="s">
        <v>15354</v>
      </c>
    </row>
    <row r="2796" spans="1:8" x14ac:dyDescent="0.3">
      <c r="A2796" s="2">
        <v>32216</v>
      </c>
      <c r="B2796" s="1" t="s">
        <v>15355</v>
      </c>
    </row>
    <row r="2797" spans="1:8" x14ac:dyDescent="0.3">
      <c r="A2797" s="2" t="s">
        <v>15356</v>
      </c>
      <c r="B2797" s="1" t="s">
        <v>12999</v>
      </c>
      <c r="C2797" s="1" t="s">
        <v>15357</v>
      </c>
      <c r="D2797" s="1" t="s">
        <v>15358</v>
      </c>
      <c r="E2797" s="1" t="s">
        <v>15359</v>
      </c>
      <c r="F2797" s="1" t="s">
        <v>15360</v>
      </c>
      <c r="G2797" s="1" t="s">
        <v>15361</v>
      </c>
      <c r="H2797" s="1" t="s">
        <v>15359</v>
      </c>
    </row>
    <row r="2798" spans="1:8" x14ac:dyDescent="0.3">
      <c r="A2798" s="2" t="s">
        <v>15362</v>
      </c>
      <c r="B2798" s="1" t="s">
        <v>13007</v>
      </c>
      <c r="C2798" s="1" t="s">
        <v>15363</v>
      </c>
      <c r="D2798" s="1" t="s">
        <v>15364</v>
      </c>
      <c r="E2798" s="1" t="s">
        <v>15365</v>
      </c>
      <c r="F2798" s="1" t="s">
        <v>15366</v>
      </c>
      <c r="G2798" s="1" t="s">
        <v>15367</v>
      </c>
      <c r="H2798" s="1" t="s">
        <v>15368</v>
      </c>
    </row>
    <row r="2799" spans="1:8" x14ac:dyDescent="0.3">
      <c r="A2799" s="2">
        <v>32217</v>
      </c>
      <c r="B2799" s="1" t="s">
        <v>15369</v>
      </c>
    </row>
    <row r="2800" spans="1:8" x14ac:dyDescent="0.3">
      <c r="A2800" s="2" t="s">
        <v>15370</v>
      </c>
      <c r="B2800" s="1" t="s">
        <v>12999</v>
      </c>
      <c r="C2800" s="1" t="s">
        <v>15371</v>
      </c>
      <c r="D2800" s="1" t="s">
        <v>15372</v>
      </c>
      <c r="E2800" s="1" t="s">
        <v>15373</v>
      </c>
      <c r="F2800" s="1" t="s">
        <v>15374</v>
      </c>
      <c r="G2800" s="1" t="s">
        <v>15375</v>
      </c>
      <c r="H2800" s="1" t="s">
        <v>15376</v>
      </c>
    </row>
    <row r="2801" spans="1:8" x14ac:dyDescent="0.3">
      <c r="A2801" s="2" t="s">
        <v>15377</v>
      </c>
      <c r="B2801" s="1" t="s">
        <v>13007</v>
      </c>
      <c r="C2801" s="1" t="s">
        <v>15378</v>
      </c>
      <c r="D2801" s="1" t="s">
        <v>15379</v>
      </c>
      <c r="E2801" s="1" t="s">
        <v>15380</v>
      </c>
      <c r="F2801" s="1" t="s">
        <v>15381</v>
      </c>
      <c r="G2801" s="1" t="s">
        <v>15382</v>
      </c>
      <c r="H2801" s="1" t="s">
        <v>15382</v>
      </c>
    </row>
    <row r="2802" spans="1:8" x14ac:dyDescent="0.3">
      <c r="A2802" s="2">
        <v>32218</v>
      </c>
      <c r="B2802" s="1" t="s">
        <v>15383</v>
      </c>
    </row>
    <row r="2803" spans="1:8" x14ac:dyDescent="0.3">
      <c r="A2803" s="2" t="s">
        <v>15384</v>
      </c>
      <c r="B2803" s="1" t="s">
        <v>12999</v>
      </c>
      <c r="C2803" s="1" t="s">
        <v>15385</v>
      </c>
      <c r="D2803" s="1" t="s">
        <v>15386</v>
      </c>
      <c r="E2803" s="1" t="s">
        <v>15387</v>
      </c>
      <c r="F2803" s="1" t="s">
        <v>15388</v>
      </c>
      <c r="G2803" s="1" t="s">
        <v>15389</v>
      </c>
      <c r="H2803" s="1" t="s">
        <v>15390</v>
      </c>
    </row>
    <row r="2804" spans="1:8" x14ac:dyDescent="0.3">
      <c r="A2804" s="2" t="s">
        <v>15391</v>
      </c>
      <c r="B2804" s="1" t="s">
        <v>13007</v>
      </c>
      <c r="C2804" s="1" t="s">
        <v>15392</v>
      </c>
      <c r="D2804" s="1" t="s">
        <v>15393</v>
      </c>
      <c r="E2804" s="1" t="s">
        <v>15394</v>
      </c>
      <c r="F2804" s="1" t="s">
        <v>15395</v>
      </c>
      <c r="G2804" s="1" t="s">
        <v>15396</v>
      </c>
      <c r="H2804" s="1" t="s">
        <v>15397</v>
      </c>
    </row>
    <row r="2805" spans="1:8" x14ac:dyDescent="0.3">
      <c r="A2805" s="2">
        <v>32219</v>
      </c>
      <c r="B2805" s="1" t="s">
        <v>15398</v>
      </c>
    </row>
    <row r="2806" spans="1:8" x14ac:dyDescent="0.3">
      <c r="A2806" s="2" t="s">
        <v>15399</v>
      </c>
      <c r="B2806" s="1" t="s">
        <v>12999</v>
      </c>
      <c r="C2806" s="1" t="s">
        <v>15400</v>
      </c>
      <c r="D2806" s="1" t="s">
        <v>15401</v>
      </c>
      <c r="E2806" s="1" t="s">
        <v>15402</v>
      </c>
      <c r="F2806" s="1" t="s">
        <v>15403</v>
      </c>
      <c r="G2806" s="1" t="s">
        <v>14440</v>
      </c>
      <c r="H2806" s="1" t="s">
        <v>15404</v>
      </c>
    </row>
    <row r="2807" spans="1:8" x14ac:dyDescent="0.3">
      <c r="A2807" s="2" t="s">
        <v>15405</v>
      </c>
      <c r="B2807" s="1" t="s">
        <v>13007</v>
      </c>
      <c r="C2807" s="1" t="s">
        <v>15406</v>
      </c>
      <c r="D2807" s="1" t="s">
        <v>15407</v>
      </c>
      <c r="E2807" s="1" t="s">
        <v>15408</v>
      </c>
      <c r="F2807" s="1" t="s">
        <v>15409</v>
      </c>
      <c r="G2807" s="1" t="s">
        <v>15410</v>
      </c>
      <c r="H2807" s="1" t="s">
        <v>15411</v>
      </c>
    </row>
    <row r="2808" spans="1:8" x14ac:dyDescent="0.3">
      <c r="A2808" s="2">
        <v>32220</v>
      </c>
      <c r="B2808" s="1" t="s">
        <v>15412</v>
      </c>
    </row>
    <row r="2809" spans="1:8" x14ac:dyDescent="0.3">
      <c r="A2809" s="2" t="s">
        <v>15413</v>
      </c>
      <c r="B2809" s="1" t="s">
        <v>12999</v>
      </c>
      <c r="C2809" s="1" t="s">
        <v>15414</v>
      </c>
      <c r="D2809" s="1" t="s">
        <v>15415</v>
      </c>
      <c r="E2809" s="1" t="s">
        <v>15416</v>
      </c>
      <c r="F2809" s="1" t="s">
        <v>15417</v>
      </c>
      <c r="G2809" s="1" t="s">
        <v>15418</v>
      </c>
      <c r="H2809" s="1" t="s">
        <v>15419</v>
      </c>
    </row>
    <row r="2810" spans="1:8" x14ac:dyDescent="0.3">
      <c r="A2810" s="2" t="s">
        <v>15420</v>
      </c>
      <c r="B2810" s="1" t="s">
        <v>13007</v>
      </c>
      <c r="C2810" s="1" t="s">
        <v>15421</v>
      </c>
      <c r="D2810" s="1" t="s">
        <v>15422</v>
      </c>
      <c r="E2810" s="1" t="s">
        <v>15423</v>
      </c>
      <c r="F2810" s="1" t="s">
        <v>15424</v>
      </c>
      <c r="G2810" s="1" t="s">
        <v>15425</v>
      </c>
      <c r="H2810" s="1" t="s">
        <v>15423</v>
      </c>
    </row>
    <row r="2811" spans="1:8" x14ac:dyDescent="0.3">
      <c r="A2811" s="2">
        <v>32221</v>
      </c>
      <c r="B2811" s="1" t="s">
        <v>15426</v>
      </c>
    </row>
    <row r="2812" spans="1:8" x14ac:dyDescent="0.3">
      <c r="A2812" s="2" t="s">
        <v>15427</v>
      </c>
      <c r="B2812" s="1" t="s">
        <v>12999</v>
      </c>
      <c r="C2812" s="1" t="s">
        <v>15428</v>
      </c>
      <c r="D2812" s="1" t="s">
        <v>15429</v>
      </c>
      <c r="E2812" s="1" t="s">
        <v>15430</v>
      </c>
      <c r="F2812" s="1" t="s">
        <v>15431</v>
      </c>
      <c r="G2812" s="1" t="s">
        <v>15432</v>
      </c>
      <c r="H2812" s="1" t="s">
        <v>15430</v>
      </c>
    </row>
    <row r="2813" spans="1:8" x14ac:dyDescent="0.3">
      <c r="A2813" s="2" t="s">
        <v>15433</v>
      </c>
      <c r="B2813" s="1" t="s">
        <v>13007</v>
      </c>
      <c r="C2813" s="1" t="s">
        <v>15434</v>
      </c>
      <c r="D2813" s="1" t="s">
        <v>15435</v>
      </c>
      <c r="E2813" s="1" t="s">
        <v>15436</v>
      </c>
      <c r="F2813" s="1" t="s">
        <v>15437</v>
      </c>
      <c r="G2813" s="1" t="s">
        <v>15438</v>
      </c>
      <c r="H2813" s="1" t="s">
        <v>15439</v>
      </c>
    </row>
    <row r="2814" spans="1:8" x14ac:dyDescent="0.3">
      <c r="A2814" s="2">
        <v>32222</v>
      </c>
      <c r="B2814" s="1" t="s">
        <v>15440</v>
      </c>
    </row>
    <row r="2815" spans="1:8" x14ac:dyDescent="0.3">
      <c r="A2815" s="2" t="s">
        <v>15441</v>
      </c>
      <c r="B2815" s="1" t="s">
        <v>12999</v>
      </c>
      <c r="C2815" s="1" t="s">
        <v>15442</v>
      </c>
      <c r="D2815" s="1" t="s">
        <v>15443</v>
      </c>
      <c r="E2815" s="1" t="s">
        <v>15444</v>
      </c>
      <c r="F2815" s="1" t="s">
        <v>15445</v>
      </c>
      <c r="G2815" s="1" t="s">
        <v>15444</v>
      </c>
      <c r="H2815" s="1" t="s">
        <v>15444</v>
      </c>
    </row>
    <row r="2816" spans="1:8" x14ac:dyDescent="0.3">
      <c r="A2816" s="2" t="s">
        <v>15446</v>
      </c>
      <c r="B2816" s="1" t="s">
        <v>13007</v>
      </c>
      <c r="D2816" s="1" t="s">
        <v>15447</v>
      </c>
      <c r="E2816" s="1" t="s">
        <v>15448</v>
      </c>
      <c r="F2816" s="1" t="s">
        <v>15449</v>
      </c>
      <c r="G2816" s="1" t="s">
        <v>15450</v>
      </c>
      <c r="H2816" s="1" t="s">
        <v>15450</v>
      </c>
    </row>
    <row r="2817" spans="1:8" x14ac:dyDescent="0.3">
      <c r="A2817" s="2">
        <v>32223</v>
      </c>
      <c r="B2817" s="1" t="s">
        <v>15451</v>
      </c>
    </row>
    <row r="2818" spans="1:8" x14ac:dyDescent="0.3">
      <c r="A2818" s="2" t="s">
        <v>15452</v>
      </c>
      <c r="B2818" s="1" t="s">
        <v>12999</v>
      </c>
      <c r="C2818" s="1" t="s">
        <v>15453</v>
      </c>
      <c r="D2818" s="1" t="s">
        <v>15454</v>
      </c>
      <c r="E2818" s="1" t="s">
        <v>15455</v>
      </c>
      <c r="F2818" s="1" t="s">
        <v>15456</v>
      </c>
      <c r="G2818" s="1" t="s">
        <v>15455</v>
      </c>
      <c r="H2818" s="1" t="s">
        <v>15457</v>
      </c>
    </row>
    <row r="2819" spans="1:8" x14ac:dyDescent="0.3">
      <c r="A2819" s="2" t="s">
        <v>15458</v>
      </c>
      <c r="B2819" s="1" t="s">
        <v>13007</v>
      </c>
      <c r="C2819" s="1" t="s">
        <v>15459</v>
      </c>
      <c r="D2819" s="1" t="s">
        <v>15460</v>
      </c>
      <c r="E2819" s="1" t="s">
        <v>15461</v>
      </c>
      <c r="F2819" s="1" t="s">
        <v>15462</v>
      </c>
      <c r="G2819" s="1" t="s">
        <v>15463</v>
      </c>
      <c r="H2819" s="1" t="s">
        <v>15464</v>
      </c>
    </row>
    <row r="2820" spans="1:8" x14ac:dyDescent="0.3">
      <c r="A2820" s="2">
        <v>32224</v>
      </c>
      <c r="B2820" s="1" t="s">
        <v>15465</v>
      </c>
    </row>
    <row r="2821" spans="1:8" x14ac:dyDescent="0.3">
      <c r="A2821" s="2" t="s">
        <v>15466</v>
      </c>
      <c r="B2821" s="1" t="s">
        <v>12999</v>
      </c>
      <c r="C2821" s="1" t="s">
        <v>15467</v>
      </c>
      <c r="D2821" s="1" t="s">
        <v>15468</v>
      </c>
      <c r="E2821" s="1" t="s">
        <v>15469</v>
      </c>
      <c r="F2821" s="1" t="s">
        <v>15470</v>
      </c>
      <c r="G2821" s="1" t="s">
        <v>15471</v>
      </c>
      <c r="H2821" s="1" t="s">
        <v>15472</v>
      </c>
    </row>
    <row r="2822" spans="1:8" x14ac:dyDescent="0.3">
      <c r="A2822" s="2" t="s">
        <v>15473</v>
      </c>
      <c r="B2822" s="1" t="s">
        <v>13007</v>
      </c>
      <c r="C2822" s="1" t="s">
        <v>15474</v>
      </c>
      <c r="D2822" s="1" t="s">
        <v>15475</v>
      </c>
      <c r="E2822" s="1" t="s">
        <v>15476</v>
      </c>
      <c r="F2822" s="1" t="s">
        <v>15477</v>
      </c>
      <c r="G2822" s="1" t="s">
        <v>15478</v>
      </c>
      <c r="H2822" s="1" t="s">
        <v>15479</v>
      </c>
    </row>
    <row r="2823" spans="1:8" x14ac:dyDescent="0.3">
      <c r="A2823" s="2">
        <v>32225</v>
      </c>
      <c r="B2823" s="1" t="s">
        <v>15480</v>
      </c>
    </row>
    <row r="2824" spans="1:8" x14ac:dyDescent="0.3">
      <c r="A2824" s="2" t="s">
        <v>15481</v>
      </c>
      <c r="B2824" s="1" t="s">
        <v>12999</v>
      </c>
      <c r="C2824" s="1" t="s">
        <v>15482</v>
      </c>
      <c r="D2824" s="1" t="s">
        <v>15483</v>
      </c>
      <c r="E2824" s="1" t="s">
        <v>15484</v>
      </c>
      <c r="F2824" s="1" t="s">
        <v>15485</v>
      </c>
      <c r="G2824" s="1" t="s">
        <v>15486</v>
      </c>
      <c r="H2824" s="1" t="s">
        <v>15485</v>
      </c>
    </row>
    <row r="2825" spans="1:8" x14ac:dyDescent="0.3">
      <c r="A2825" s="2" t="s">
        <v>15487</v>
      </c>
      <c r="B2825" s="1" t="s">
        <v>13007</v>
      </c>
      <c r="C2825" s="1" t="s">
        <v>15488</v>
      </c>
      <c r="D2825" s="1" t="s">
        <v>15489</v>
      </c>
      <c r="E2825" s="1" t="s">
        <v>15490</v>
      </c>
      <c r="F2825" s="1" t="s">
        <v>15491</v>
      </c>
      <c r="G2825" s="1" t="s">
        <v>15492</v>
      </c>
      <c r="H2825" s="1" t="s">
        <v>15490</v>
      </c>
    </row>
    <row r="2826" spans="1:8" x14ac:dyDescent="0.3">
      <c r="A2826" s="2">
        <v>32226</v>
      </c>
      <c r="B2826" s="1" t="s">
        <v>15493</v>
      </c>
    </row>
    <row r="2827" spans="1:8" x14ac:dyDescent="0.3">
      <c r="A2827" s="2" t="s">
        <v>15494</v>
      </c>
      <c r="B2827" s="1" t="s">
        <v>12999</v>
      </c>
      <c r="C2827" s="1" t="s">
        <v>15495</v>
      </c>
      <c r="D2827" s="1" t="s">
        <v>15496</v>
      </c>
      <c r="E2827" s="1" t="s">
        <v>15497</v>
      </c>
      <c r="F2827" s="1" t="s">
        <v>15498</v>
      </c>
      <c r="G2827" s="1" t="s">
        <v>15499</v>
      </c>
      <c r="H2827" s="1" t="s">
        <v>15500</v>
      </c>
    </row>
    <row r="2828" spans="1:8" x14ac:dyDescent="0.3">
      <c r="A2828" s="2" t="s">
        <v>15501</v>
      </c>
      <c r="B2828" s="1" t="s">
        <v>13007</v>
      </c>
      <c r="C2828" s="1" t="s">
        <v>15502</v>
      </c>
      <c r="D2828" s="1" t="s">
        <v>15503</v>
      </c>
      <c r="E2828" s="1" t="s">
        <v>15504</v>
      </c>
      <c r="F2828" s="1" t="s">
        <v>15505</v>
      </c>
      <c r="G2828" s="1" t="s">
        <v>15506</v>
      </c>
      <c r="H2828" s="1" t="s">
        <v>15507</v>
      </c>
    </row>
    <row r="2829" spans="1:8" x14ac:dyDescent="0.3">
      <c r="A2829" s="2">
        <v>32227</v>
      </c>
      <c r="B2829" s="1" t="s">
        <v>15508</v>
      </c>
    </row>
    <row r="2830" spans="1:8" x14ac:dyDescent="0.3">
      <c r="A2830" s="2" t="s">
        <v>15509</v>
      </c>
      <c r="B2830" s="1" t="s">
        <v>12999</v>
      </c>
      <c r="C2830" s="1" t="s">
        <v>15510</v>
      </c>
      <c r="D2830" s="1" t="s">
        <v>15511</v>
      </c>
      <c r="E2830" s="1" t="s">
        <v>15511</v>
      </c>
      <c r="F2830" s="1" t="s">
        <v>15512</v>
      </c>
      <c r="G2830" s="1" t="s">
        <v>15513</v>
      </c>
      <c r="H2830" s="1" t="s">
        <v>15514</v>
      </c>
    </row>
    <row r="2831" spans="1:8" x14ac:dyDescent="0.3">
      <c r="A2831" s="2" t="s">
        <v>15515</v>
      </c>
      <c r="B2831" s="1" t="s">
        <v>13007</v>
      </c>
      <c r="C2831" s="1" t="s">
        <v>15516</v>
      </c>
      <c r="D2831" s="1" t="s">
        <v>15517</v>
      </c>
      <c r="E2831" s="1" t="s">
        <v>15518</v>
      </c>
      <c r="F2831" s="1" t="s">
        <v>15519</v>
      </c>
      <c r="G2831" s="1" t="s">
        <v>15520</v>
      </c>
      <c r="H2831" s="1" t="s">
        <v>15521</v>
      </c>
    </row>
    <row r="2832" spans="1:8" x14ac:dyDescent="0.3">
      <c r="A2832" s="2">
        <v>32228</v>
      </c>
      <c r="B2832" s="1" t="s">
        <v>15522</v>
      </c>
    </row>
    <row r="2833" spans="1:8" x14ac:dyDescent="0.3">
      <c r="A2833" s="2" t="s">
        <v>15523</v>
      </c>
      <c r="B2833" s="1" t="s">
        <v>12999</v>
      </c>
      <c r="C2833" s="1" t="s">
        <v>15524</v>
      </c>
      <c r="D2833" s="1" t="s">
        <v>15525</v>
      </c>
      <c r="E2833" s="1" t="s">
        <v>15526</v>
      </c>
      <c r="F2833" s="1" t="s">
        <v>12125</v>
      </c>
      <c r="G2833" s="1" t="s">
        <v>15527</v>
      </c>
      <c r="H2833" s="1" t="s">
        <v>15528</v>
      </c>
    </row>
    <row r="2834" spans="1:8" x14ac:dyDescent="0.3">
      <c r="A2834" s="2" t="s">
        <v>15529</v>
      </c>
      <c r="B2834" s="1" t="s">
        <v>13007</v>
      </c>
      <c r="C2834" s="1" t="s">
        <v>15530</v>
      </c>
      <c r="D2834" s="1" t="s">
        <v>15531</v>
      </c>
      <c r="E2834" s="1" t="s">
        <v>15532</v>
      </c>
      <c r="F2834" s="1" t="s">
        <v>15533</v>
      </c>
      <c r="G2834" s="1" t="s">
        <v>15534</v>
      </c>
      <c r="H2834" s="1" t="s">
        <v>15535</v>
      </c>
    </row>
    <row r="2835" spans="1:8" x14ac:dyDescent="0.3">
      <c r="A2835" s="2">
        <v>32229</v>
      </c>
      <c r="B2835" s="1" t="s">
        <v>15536</v>
      </c>
    </row>
    <row r="2836" spans="1:8" x14ac:dyDescent="0.3">
      <c r="A2836" s="2" t="s">
        <v>15537</v>
      </c>
      <c r="B2836" s="1" t="s">
        <v>12999</v>
      </c>
      <c r="C2836" s="1" t="s">
        <v>15538</v>
      </c>
      <c r="D2836" s="1" t="s">
        <v>15539</v>
      </c>
      <c r="E2836" s="1" t="s">
        <v>15540</v>
      </c>
      <c r="F2836" s="1" t="s">
        <v>15541</v>
      </c>
      <c r="G2836" s="1" t="s">
        <v>15542</v>
      </c>
      <c r="H2836" s="1" t="s">
        <v>15543</v>
      </c>
    </row>
    <row r="2837" spans="1:8" x14ac:dyDescent="0.3">
      <c r="A2837" s="2" t="s">
        <v>15544</v>
      </c>
      <c r="B2837" s="1" t="s">
        <v>13007</v>
      </c>
      <c r="C2837" s="1" t="s">
        <v>15545</v>
      </c>
      <c r="D2837" s="1" t="s">
        <v>15546</v>
      </c>
      <c r="E2837" s="1" t="s">
        <v>15547</v>
      </c>
      <c r="F2837" s="1" t="s">
        <v>15548</v>
      </c>
      <c r="G2837" s="1" t="s">
        <v>15549</v>
      </c>
      <c r="H2837" s="1" t="s">
        <v>15550</v>
      </c>
    </row>
    <row r="2838" spans="1:8" x14ac:dyDescent="0.3">
      <c r="A2838" s="2">
        <v>32230</v>
      </c>
      <c r="B2838" s="1" t="s">
        <v>15551</v>
      </c>
    </row>
    <row r="2839" spans="1:8" x14ac:dyDescent="0.3">
      <c r="A2839" s="2" t="s">
        <v>15552</v>
      </c>
      <c r="B2839" s="1" t="s">
        <v>12999</v>
      </c>
      <c r="C2839" s="1" t="s">
        <v>15553</v>
      </c>
      <c r="D2839" s="1" t="s">
        <v>15554</v>
      </c>
      <c r="E2839" s="1" t="s">
        <v>15555</v>
      </c>
      <c r="F2839" s="1" t="s">
        <v>15556</v>
      </c>
      <c r="G2839" s="1" t="s">
        <v>15555</v>
      </c>
      <c r="H2839" s="1" t="s">
        <v>15557</v>
      </c>
    </row>
    <row r="2840" spans="1:8" x14ac:dyDescent="0.3">
      <c r="A2840" s="2" t="s">
        <v>15558</v>
      </c>
      <c r="B2840" s="1" t="s">
        <v>13007</v>
      </c>
      <c r="C2840" s="1" t="s">
        <v>15559</v>
      </c>
      <c r="D2840" s="1" t="s">
        <v>15560</v>
      </c>
      <c r="E2840" s="1" t="s">
        <v>15561</v>
      </c>
      <c r="F2840" s="1" t="s">
        <v>10702</v>
      </c>
      <c r="G2840" s="1" t="s">
        <v>15562</v>
      </c>
      <c r="H2840" s="1" t="s">
        <v>15563</v>
      </c>
    </row>
    <row r="2841" spans="1:8" x14ac:dyDescent="0.3">
      <c r="A2841" s="2">
        <v>32231</v>
      </c>
      <c r="B2841" s="1" t="s">
        <v>15564</v>
      </c>
    </row>
    <row r="2842" spans="1:8" x14ac:dyDescent="0.3">
      <c r="A2842" s="2" t="s">
        <v>15565</v>
      </c>
      <c r="B2842" s="1" t="s">
        <v>12999</v>
      </c>
      <c r="C2842" s="1" t="s">
        <v>15566</v>
      </c>
      <c r="D2842" s="1" t="s">
        <v>15567</v>
      </c>
      <c r="E2842" s="1" t="s">
        <v>15568</v>
      </c>
      <c r="F2842" s="1" t="s">
        <v>15569</v>
      </c>
      <c r="G2842" s="1" t="s">
        <v>15555</v>
      </c>
      <c r="H2842" s="1" t="s">
        <v>15570</v>
      </c>
    </row>
    <row r="2843" spans="1:8" x14ac:dyDescent="0.3">
      <c r="A2843" s="2" t="s">
        <v>15571</v>
      </c>
      <c r="B2843" s="1" t="s">
        <v>13007</v>
      </c>
      <c r="C2843" s="1" t="s">
        <v>15572</v>
      </c>
      <c r="D2843" s="1" t="s">
        <v>15573</v>
      </c>
      <c r="E2843" s="1" t="s">
        <v>15574</v>
      </c>
      <c r="F2843" s="1" t="s">
        <v>10702</v>
      </c>
      <c r="G2843" s="1" t="s">
        <v>15563</v>
      </c>
      <c r="H2843" s="1" t="s">
        <v>10702</v>
      </c>
    </row>
    <row r="2844" spans="1:8" x14ac:dyDescent="0.3">
      <c r="A2844" s="2">
        <v>32232</v>
      </c>
      <c r="B2844" s="1" t="s">
        <v>15575</v>
      </c>
    </row>
    <row r="2845" spans="1:8" x14ac:dyDescent="0.3">
      <c r="A2845" s="2" t="s">
        <v>15576</v>
      </c>
      <c r="B2845" s="1" t="s">
        <v>12999</v>
      </c>
      <c r="C2845" s="1" t="s">
        <v>15577</v>
      </c>
      <c r="D2845" s="1" t="s">
        <v>15578</v>
      </c>
      <c r="E2845" s="1" t="s">
        <v>15579</v>
      </c>
      <c r="F2845" s="1" t="s">
        <v>15580</v>
      </c>
      <c r="G2845" s="1" t="s">
        <v>15581</v>
      </c>
      <c r="H2845" s="1" t="s">
        <v>15582</v>
      </c>
    </row>
    <row r="2846" spans="1:8" x14ac:dyDescent="0.3">
      <c r="A2846" s="2" t="s">
        <v>15583</v>
      </c>
      <c r="B2846" s="1" t="s">
        <v>13007</v>
      </c>
      <c r="C2846" s="1" t="s">
        <v>15584</v>
      </c>
      <c r="D2846" s="1" t="s">
        <v>15585</v>
      </c>
      <c r="E2846" s="1" t="s">
        <v>15586</v>
      </c>
      <c r="F2846" s="1" t="s">
        <v>15587</v>
      </c>
      <c r="G2846" s="1" t="s">
        <v>15588</v>
      </c>
      <c r="H2846" s="1" t="s">
        <v>15589</v>
      </c>
    </row>
    <row r="2847" spans="1:8" x14ac:dyDescent="0.3">
      <c r="A2847" s="2">
        <v>32233</v>
      </c>
      <c r="B2847" s="1" t="s">
        <v>15590</v>
      </c>
    </row>
    <row r="2848" spans="1:8" x14ac:dyDescent="0.3">
      <c r="A2848" s="2" t="s">
        <v>15591</v>
      </c>
      <c r="B2848" s="1" t="s">
        <v>12999</v>
      </c>
      <c r="C2848" s="1" t="s">
        <v>15592</v>
      </c>
      <c r="D2848" s="1" t="s">
        <v>15593</v>
      </c>
      <c r="E2848" s="1" t="s">
        <v>15594</v>
      </c>
      <c r="F2848" s="1" t="s">
        <v>15595</v>
      </c>
      <c r="G2848" s="1" t="s">
        <v>15596</v>
      </c>
      <c r="H2848" s="1" t="s">
        <v>15597</v>
      </c>
    </row>
    <row r="2849" spans="1:8" x14ac:dyDescent="0.3">
      <c r="A2849" s="2" t="s">
        <v>15598</v>
      </c>
      <c r="B2849" s="1" t="s">
        <v>13007</v>
      </c>
      <c r="C2849" s="1" t="s">
        <v>15599</v>
      </c>
      <c r="D2849" s="1" t="s">
        <v>15600</v>
      </c>
      <c r="E2849" s="1" t="s">
        <v>15601</v>
      </c>
      <c r="F2849" s="1" t="s">
        <v>15602</v>
      </c>
      <c r="G2849" s="1" t="s">
        <v>15603</v>
      </c>
      <c r="H2849" s="1" t="s">
        <v>15604</v>
      </c>
    </row>
    <row r="2850" spans="1:8" x14ac:dyDescent="0.3">
      <c r="A2850" s="2">
        <v>32234</v>
      </c>
      <c r="B2850" s="1" t="s">
        <v>15605</v>
      </c>
    </row>
    <row r="2851" spans="1:8" x14ac:dyDescent="0.3">
      <c r="A2851" s="2" t="s">
        <v>15606</v>
      </c>
      <c r="B2851" s="1" t="s">
        <v>12999</v>
      </c>
      <c r="C2851" s="1" t="s">
        <v>15607</v>
      </c>
      <c r="D2851" s="1" t="s">
        <v>15608</v>
      </c>
      <c r="E2851" s="1" t="s">
        <v>15609</v>
      </c>
      <c r="F2851" s="1" t="s">
        <v>15610</v>
      </c>
      <c r="G2851" s="1" t="s">
        <v>15611</v>
      </c>
      <c r="H2851" s="1" t="s">
        <v>15612</v>
      </c>
    </row>
    <row r="2852" spans="1:8" x14ac:dyDescent="0.3">
      <c r="A2852" s="2" t="s">
        <v>15613</v>
      </c>
      <c r="B2852" s="1" t="s">
        <v>13007</v>
      </c>
      <c r="C2852" s="1" t="s">
        <v>15614</v>
      </c>
      <c r="D2852" s="1" t="s">
        <v>15615</v>
      </c>
      <c r="E2852" s="1" t="s">
        <v>15616</v>
      </c>
      <c r="F2852" s="1" t="s">
        <v>15617</v>
      </c>
      <c r="G2852" s="1" t="s">
        <v>15618</v>
      </c>
      <c r="H2852" s="1" t="s">
        <v>15619</v>
      </c>
    </row>
    <row r="2853" spans="1:8" x14ac:dyDescent="0.3">
      <c r="A2853" s="2">
        <v>32235</v>
      </c>
      <c r="B2853" s="1" t="s">
        <v>15620</v>
      </c>
    </row>
    <row r="2854" spans="1:8" x14ac:dyDescent="0.3">
      <c r="A2854" s="2" t="s">
        <v>15621</v>
      </c>
      <c r="B2854" s="1" t="s">
        <v>12999</v>
      </c>
      <c r="C2854" s="1" t="s">
        <v>15622</v>
      </c>
      <c r="D2854" s="1" t="s">
        <v>15623</v>
      </c>
      <c r="E2854" s="1" t="s">
        <v>15624</v>
      </c>
      <c r="F2854" s="1" t="s">
        <v>15624</v>
      </c>
      <c r="G2854" s="1" t="s">
        <v>15625</v>
      </c>
      <c r="H2854" s="1" t="s">
        <v>15624</v>
      </c>
    </row>
    <row r="2855" spans="1:8" x14ac:dyDescent="0.3">
      <c r="A2855" s="2" t="s">
        <v>15626</v>
      </c>
      <c r="B2855" s="1" t="s">
        <v>13007</v>
      </c>
      <c r="C2855" s="1" t="s">
        <v>15627</v>
      </c>
      <c r="D2855" s="1" t="s">
        <v>15628</v>
      </c>
      <c r="E2855" s="1" t="s">
        <v>15629</v>
      </c>
      <c r="F2855" s="1" t="s">
        <v>15630</v>
      </c>
      <c r="G2855" s="1" t="s">
        <v>15631</v>
      </c>
      <c r="H2855" s="1" t="s">
        <v>15632</v>
      </c>
    </row>
    <row r="2856" spans="1:8" x14ac:dyDescent="0.3">
      <c r="A2856" s="2">
        <v>32236</v>
      </c>
      <c r="B2856" s="1" t="s">
        <v>15633</v>
      </c>
    </row>
    <row r="2857" spans="1:8" x14ac:dyDescent="0.3">
      <c r="A2857" s="2" t="s">
        <v>15634</v>
      </c>
      <c r="B2857" s="1" t="s">
        <v>12999</v>
      </c>
      <c r="C2857" s="1" t="s">
        <v>15635</v>
      </c>
      <c r="D2857" s="1" t="s">
        <v>15636</v>
      </c>
      <c r="E2857" s="1" t="s">
        <v>15637</v>
      </c>
      <c r="F2857" s="1" t="s">
        <v>15637</v>
      </c>
      <c r="G2857" s="1" t="s">
        <v>15637</v>
      </c>
      <c r="H2857" s="1" t="s">
        <v>15638</v>
      </c>
    </row>
    <row r="2858" spans="1:8" x14ac:dyDescent="0.3">
      <c r="A2858" s="2" t="s">
        <v>15639</v>
      </c>
      <c r="B2858" s="1" t="s">
        <v>13007</v>
      </c>
      <c r="C2858" s="1" t="s">
        <v>15640</v>
      </c>
      <c r="D2858" s="1" t="s">
        <v>15641</v>
      </c>
      <c r="E2858" s="1" t="s">
        <v>15642</v>
      </c>
      <c r="F2858" s="1" t="s">
        <v>15642</v>
      </c>
      <c r="G2858" s="1" t="s">
        <v>15643</v>
      </c>
      <c r="H2858" s="1" t="s">
        <v>15642</v>
      </c>
    </row>
    <row r="2859" spans="1:8" x14ac:dyDescent="0.3">
      <c r="A2859" s="2">
        <v>32237</v>
      </c>
      <c r="B2859" s="1" t="s">
        <v>15644</v>
      </c>
    </row>
    <row r="2860" spans="1:8" x14ac:dyDescent="0.3">
      <c r="A2860" s="2" t="s">
        <v>15645</v>
      </c>
      <c r="B2860" s="1" t="s">
        <v>12999</v>
      </c>
      <c r="C2860" s="1" t="s">
        <v>15646</v>
      </c>
      <c r="D2860" s="1" t="s">
        <v>15647</v>
      </c>
      <c r="E2860" s="1" t="s">
        <v>15648</v>
      </c>
      <c r="F2860" s="1" t="s">
        <v>15649</v>
      </c>
      <c r="G2860" s="1" t="s">
        <v>15650</v>
      </c>
      <c r="H2860" s="1" t="s">
        <v>15651</v>
      </c>
    </row>
    <row r="2861" spans="1:8" x14ac:dyDescent="0.3">
      <c r="A2861" s="2" t="s">
        <v>15652</v>
      </c>
      <c r="B2861" s="1" t="s">
        <v>13007</v>
      </c>
      <c r="C2861" s="1" t="s">
        <v>15653</v>
      </c>
      <c r="D2861" s="1" t="s">
        <v>15654</v>
      </c>
      <c r="E2861" s="1" t="s">
        <v>15655</v>
      </c>
      <c r="F2861" s="1" t="s">
        <v>15656</v>
      </c>
      <c r="G2861" s="1" t="s">
        <v>15657</v>
      </c>
      <c r="H2861" s="1" t="s">
        <v>15658</v>
      </c>
    </row>
    <row r="2862" spans="1:8" x14ac:dyDescent="0.3">
      <c r="A2862" s="2">
        <v>32238</v>
      </c>
      <c r="B2862" s="1" t="s">
        <v>15659</v>
      </c>
    </row>
    <row r="2863" spans="1:8" x14ac:dyDescent="0.3">
      <c r="A2863" s="2" t="s">
        <v>15660</v>
      </c>
      <c r="B2863" s="1" t="s">
        <v>12999</v>
      </c>
      <c r="C2863" s="1" t="s">
        <v>15661</v>
      </c>
      <c r="D2863" s="1" t="s">
        <v>15662</v>
      </c>
      <c r="E2863" s="1" t="s">
        <v>15663</v>
      </c>
      <c r="F2863" s="1" t="s">
        <v>15664</v>
      </c>
      <c r="G2863" s="1" t="s">
        <v>15665</v>
      </c>
      <c r="H2863" s="1" t="s">
        <v>15666</v>
      </c>
    </row>
    <row r="2864" spans="1:8" x14ac:dyDescent="0.3">
      <c r="A2864" s="2" t="s">
        <v>15667</v>
      </c>
      <c r="B2864" s="1" t="s">
        <v>13007</v>
      </c>
      <c r="C2864" s="1" t="s">
        <v>15668</v>
      </c>
      <c r="D2864" s="1" t="s">
        <v>15669</v>
      </c>
      <c r="E2864" s="1" t="s">
        <v>15670</v>
      </c>
      <c r="F2864" s="1" t="s">
        <v>15671</v>
      </c>
      <c r="G2864" s="1" t="s">
        <v>15672</v>
      </c>
      <c r="H2864" s="1" t="s">
        <v>15672</v>
      </c>
    </row>
    <row r="2865" spans="1:8" x14ac:dyDescent="0.3">
      <c r="A2865" s="2">
        <v>32239</v>
      </c>
      <c r="B2865" s="1" t="s">
        <v>15673</v>
      </c>
    </row>
    <row r="2866" spans="1:8" x14ac:dyDescent="0.3">
      <c r="A2866" s="2" t="s">
        <v>15674</v>
      </c>
      <c r="B2866" s="1" t="s">
        <v>12999</v>
      </c>
      <c r="C2866" s="1" t="s">
        <v>15675</v>
      </c>
      <c r="D2866" s="1" t="s">
        <v>15676</v>
      </c>
      <c r="E2866" s="1" t="s">
        <v>15677</v>
      </c>
      <c r="F2866" s="1" t="s">
        <v>15678</v>
      </c>
      <c r="G2866" s="1" t="s">
        <v>15679</v>
      </c>
      <c r="H2866" s="1" t="s">
        <v>15680</v>
      </c>
    </row>
    <row r="2867" spans="1:8" x14ac:dyDescent="0.3">
      <c r="A2867" s="2" t="s">
        <v>15681</v>
      </c>
      <c r="B2867" s="1" t="s">
        <v>13007</v>
      </c>
      <c r="C2867" s="1" t="s">
        <v>15682</v>
      </c>
      <c r="D2867" s="1" t="s">
        <v>15683</v>
      </c>
      <c r="E2867" s="1" t="s">
        <v>15684</v>
      </c>
      <c r="F2867" s="1" t="s">
        <v>15685</v>
      </c>
      <c r="G2867" s="1" t="s">
        <v>15686</v>
      </c>
      <c r="H2867" s="1" t="s">
        <v>15687</v>
      </c>
    </row>
    <row r="2868" spans="1:8" x14ac:dyDescent="0.3">
      <c r="A2868" s="2">
        <v>32240</v>
      </c>
      <c r="B2868" s="1" t="s">
        <v>15688</v>
      </c>
    </row>
    <row r="2869" spans="1:8" x14ac:dyDescent="0.3">
      <c r="A2869" s="2" t="s">
        <v>15689</v>
      </c>
      <c r="B2869" s="1" t="s">
        <v>12999</v>
      </c>
      <c r="C2869" s="1" t="s">
        <v>15690</v>
      </c>
      <c r="D2869" s="1" t="s">
        <v>15691</v>
      </c>
      <c r="E2869" s="1" t="s">
        <v>15692</v>
      </c>
      <c r="F2869" s="1" t="s">
        <v>15693</v>
      </c>
      <c r="G2869" s="1" t="s">
        <v>15694</v>
      </c>
      <c r="H2869" s="1" t="s">
        <v>15695</v>
      </c>
    </row>
    <row r="2870" spans="1:8" x14ac:dyDescent="0.3">
      <c r="A2870" s="2" t="s">
        <v>15696</v>
      </c>
      <c r="B2870" s="1" t="s">
        <v>13007</v>
      </c>
      <c r="C2870" s="1" t="s">
        <v>15697</v>
      </c>
      <c r="D2870" s="1" t="s">
        <v>15698</v>
      </c>
      <c r="E2870" s="1" t="s">
        <v>15699</v>
      </c>
      <c r="F2870" s="1" t="s">
        <v>15700</v>
      </c>
      <c r="G2870" s="1" t="s">
        <v>15701</v>
      </c>
      <c r="H2870" s="1" t="s">
        <v>15702</v>
      </c>
    </row>
    <row r="2871" spans="1:8" x14ac:dyDescent="0.3">
      <c r="A2871" s="2">
        <v>32241</v>
      </c>
      <c r="B2871" s="1" t="s">
        <v>15703</v>
      </c>
    </row>
    <row r="2872" spans="1:8" x14ac:dyDescent="0.3">
      <c r="A2872" s="2" t="s">
        <v>15704</v>
      </c>
      <c r="B2872" s="1" t="s">
        <v>12999</v>
      </c>
      <c r="C2872" s="1" t="s">
        <v>15705</v>
      </c>
      <c r="D2872" s="1" t="s">
        <v>15706</v>
      </c>
      <c r="E2872" s="1" t="s">
        <v>15707</v>
      </c>
      <c r="F2872" s="1" t="s">
        <v>15708</v>
      </c>
      <c r="G2872" s="1" t="s">
        <v>15709</v>
      </c>
      <c r="H2872" s="1" t="s">
        <v>15710</v>
      </c>
    </row>
    <row r="2873" spans="1:8" x14ac:dyDescent="0.3">
      <c r="A2873" s="2" t="s">
        <v>15711</v>
      </c>
      <c r="B2873" s="1" t="s">
        <v>13007</v>
      </c>
      <c r="C2873" s="1" t="s">
        <v>15712</v>
      </c>
      <c r="D2873" s="1" t="s">
        <v>15713</v>
      </c>
      <c r="E2873" s="1" t="s">
        <v>15714</v>
      </c>
      <c r="F2873" s="1" t="s">
        <v>15715</v>
      </c>
      <c r="G2873" s="1" t="s">
        <v>15716</v>
      </c>
      <c r="H2873" s="1" t="s">
        <v>15717</v>
      </c>
    </row>
    <row r="2874" spans="1:8" x14ac:dyDescent="0.3">
      <c r="A2874" s="2">
        <v>32242</v>
      </c>
      <c r="B2874" s="1" t="s">
        <v>15718</v>
      </c>
    </row>
    <row r="2875" spans="1:8" x14ac:dyDescent="0.3">
      <c r="A2875" s="2" t="s">
        <v>15719</v>
      </c>
      <c r="B2875" s="1" t="s">
        <v>12999</v>
      </c>
      <c r="C2875" s="1" t="s">
        <v>15720</v>
      </c>
      <c r="D2875" s="1" t="s">
        <v>15721</v>
      </c>
      <c r="E2875" s="1" t="s">
        <v>15722</v>
      </c>
      <c r="F2875" s="1" t="s">
        <v>15723</v>
      </c>
      <c r="G2875" s="1" t="s">
        <v>15724</v>
      </c>
      <c r="H2875" s="1" t="s">
        <v>15725</v>
      </c>
    </row>
    <row r="2876" spans="1:8" x14ac:dyDescent="0.3">
      <c r="A2876" s="2" t="s">
        <v>15726</v>
      </c>
      <c r="B2876" s="1" t="s">
        <v>13007</v>
      </c>
      <c r="C2876" s="1" t="s">
        <v>15727</v>
      </c>
      <c r="D2876" s="1" t="s">
        <v>15728</v>
      </c>
      <c r="E2876" s="1" t="s">
        <v>15729</v>
      </c>
      <c r="F2876" s="1" t="s">
        <v>15730</v>
      </c>
      <c r="G2876" s="1" t="s">
        <v>15731</v>
      </c>
      <c r="H2876" s="1" t="s">
        <v>15730</v>
      </c>
    </row>
    <row r="2877" spans="1:8" x14ac:dyDescent="0.3">
      <c r="A2877" s="2">
        <v>32243</v>
      </c>
      <c r="B2877" s="1" t="s">
        <v>15732</v>
      </c>
    </row>
    <row r="2878" spans="1:8" x14ac:dyDescent="0.3">
      <c r="A2878" s="2" t="s">
        <v>15733</v>
      </c>
      <c r="B2878" s="1" t="s">
        <v>12999</v>
      </c>
      <c r="C2878" s="1" t="s">
        <v>15734</v>
      </c>
      <c r="D2878" s="1" t="s">
        <v>15735</v>
      </c>
      <c r="E2878" s="1" t="s">
        <v>15736</v>
      </c>
      <c r="F2878" s="1" t="s">
        <v>15737</v>
      </c>
      <c r="G2878" s="1" t="s">
        <v>15738</v>
      </c>
      <c r="H2878" s="1" t="s">
        <v>15739</v>
      </c>
    </row>
    <row r="2879" spans="1:8" x14ac:dyDescent="0.3">
      <c r="A2879" s="2" t="s">
        <v>15740</v>
      </c>
      <c r="B2879" s="1" t="s">
        <v>13007</v>
      </c>
      <c r="C2879" s="1" t="s">
        <v>15741</v>
      </c>
      <c r="D2879" s="1" t="s">
        <v>15742</v>
      </c>
      <c r="E2879" s="1" t="s">
        <v>15743</v>
      </c>
      <c r="F2879" s="1" t="s">
        <v>15744</v>
      </c>
      <c r="G2879" s="1" t="s">
        <v>15745</v>
      </c>
      <c r="H2879" s="1" t="s">
        <v>15746</v>
      </c>
    </row>
    <row r="2880" spans="1:8" x14ac:dyDescent="0.3">
      <c r="A2880" s="2">
        <v>32244</v>
      </c>
      <c r="B2880" s="1" t="s">
        <v>15747</v>
      </c>
    </row>
    <row r="2881" spans="1:8" x14ac:dyDescent="0.3">
      <c r="A2881" s="2" t="s">
        <v>15748</v>
      </c>
      <c r="B2881" s="1" t="s">
        <v>12999</v>
      </c>
      <c r="C2881" s="1" t="s">
        <v>15749</v>
      </c>
      <c r="D2881" s="1" t="s">
        <v>15750</v>
      </c>
      <c r="E2881" s="1" t="s">
        <v>15751</v>
      </c>
      <c r="F2881" s="1" t="s">
        <v>15752</v>
      </c>
      <c r="G2881" s="1" t="s">
        <v>15753</v>
      </c>
      <c r="H2881" s="1" t="s">
        <v>15754</v>
      </c>
    </row>
    <row r="2882" spans="1:8" x14ac:dyDescent="0.3">
      <c r="A2882" s="2" t="s">
        <v>15755</v>
      </c>
      <c r="B2882" s="1" t="s">
        <v>13007</v>
      </c>
      <c r="C2882" s="1" t="s">
        <v>15756</v>
      </c>
      <c r="D2882" s="1" t="s">
        <v>15757</v>
      </c>
      <c r="E2882" s="1" t="s">
        <v>15758</v>
      </c>
      <c r="F2882" s="1" t="s">
        <v>15759</v>
      </c>
      <c r="G2882" s="1" t="s">
        <v>15760</v>
      </c>
      <c r="H2882" s="1" t="s">
        <v>15761</v>
      </c>
    </row>
    <row r="2883" spans="1:8" x14ac:dyDescent="0.3">
      <c r="A2883" s="2">
        <v>32245</v>
      </c>
      <c r="B2883" s="1" t="s">
        <v>15762</v>
      </c>
      <c r="D2883" s="1" t="s">
        <v>15763</v>
      </c>
    </row>
    <row r="2884" spans="1:8" x14ac:dyDescent="0.3">
      <c r="A2884" s="2" t="s">
        <v>15764</v>
      </c>
      <c r="B2884" s="1" t="s">
        <v>12999</v>
      </c>
      <c r="C2884" s="1" t="s">
        <v>15765</v>
      </c>
      <c r="D2884" s="1" t="s">
        <v>15766</v>
      </c>
      <c r="E2884" s="1" t="s">
        <v>15767</v>
      </c>
      <c r="F2884" s="1" t="s">
        <v>15768</v>
      </c>
      <c r="G2884" s="1" t="s">
        <v>15769</v>
      </c>
      <c r="H2884" s="1" t="s">
        <v>15770</v>
      </c>
    </row>
    <row r="2885" spans="1:8" x14ac:dyDescent="0.3">
      <c r="A2885" s="2" t="s">
        <v>15771</v>
      </c>
      <c r="B2885" s="1" t="s">
        <v>13007</v>
      </c>
      <c r="C2885" s="1" t="s">
        <v>15772</v>
      </c>
      <c r="D2885" s="1" t="s">
        <v>15773</v>
      </c>
      <c r="E2885" s="1" t="s">
        <v>15774</v>
      </c>
      <c r="F2885" s="1" t="s">
        <v>15775</v>
      </c>
      <c r="G2885" s="1" t="s">
        <v>15776</v>
      </c>
      <c r="H2885" s="1" t="s">
        <v>15777</v>
      </c>
    </row>
    <row r="2886" spans="1:8" x14ac:dyDescent="0.3">
      <c r="A2886" s="2">
        <v>32246</v>
      </c>
      <c r="B2886" s="1" t="s">
        <v>15778</v>
      </c>
    </row>
    <row r="2887" spans="1:8" x14ac:dyDescent="0.3">
      <c r="A2887" s="2" t="s">
        <v>15779</v>
      </c>
      <c r="B2887" s="1" t="s">
        <v>12999</v>
      </c>
      <c r="C2887" s="1" t="s">
        <v>15780</v>
      </c>
      <c r="D2887" s="1" t="s">
        <v>15781</v>
      </c>
      <c r="E2887" s="1" t="s">
        <v>15782</v>
      </c>
      <c r="F2887" s="1" t="s">
        <v>15783</v>
      </c>
      <c r="G2887" s="1" t="s">
        <v>15784</v>
      </c>
      <c r="H2887" s="1" t="s">
        <v>15785</v>
      </c>
    </row>
    <row r="2888" spans="1:8" x14ac:dyDescent="0.3">
      <c r="A2888" s="2" t="s">
        <v>15786</v>
      </c>
      <c r="B2888" s="1" t="s">
        <v>13007</v>
      </c>
      <c r="C2888" s="1" t="s">
        <v>15787</v>
      </c>
      <c r="D2888" s="1" t="s">
        <v>15788</v>
      </c>
      <c r="E2888" s="1" t="s">
        <v>15789</v>
      </c>
      <c r="F2888" s="1" t="s">
        <v>15790</v>
      </c>
      <c r="G2888" s="1" t="s">
        <v>15788</v>
      </c>
      <c r="H2888" s="1" t="s">
        <v>15791</v>
      </c>
    </row>
    <row r="2889" spans="1:8" x14ac:dyDescent="0.3">
      <c r="A2889" s="2">
        <v>32247</v>
      </c>
      <c r="B2889" s="1" t="s">
        <v>15792</v>
      </c>
    </row>
    <row r="2890" spans="1:8" x14ac:dyDescent="0.3">
      <c r="A2890" s="2" t="s">
        <v>15793</v>
      </c>
      <c r="B2890" s="1" t="s">
        <v>12999</v>
      </c>
      <c r="C2890" s="1" t="s">
        <v>15794</v>
      </c>
      <c r="D2890" s="1" t="s">
        <v>15795</v>
      </c>
      <c r="E2890" s="1" t="s">
        <v>15796</v>
      </c>
      <c r="F2890" s="1" t="s">
        <v>15797</v>
      </c>
      <c r="G2890" s="1" t="s">
        <v>15798</v>
      </c>
      <c r="H2890" s="1" t="s">
        <v>15799</v>
      </c>
    </row>
    <row r="2891" spans="1:8" x14ac:dyDescent="0.3">
      <c r="A2891" s="2" t="s">
        <v>15800</v>
      </c>
      <c r="B2891" s="1" t="s">
        <v>13007</v>
      </c>
      <c r="C2891" s="1" t="s">
        <v>15801</v>
      </c>
      <c r="D2891" s="1" t="s">
        <v>15802</v>
      </c>
      <c r="E2891" s="1" t="s">
        <v>15803</v>
      </c>
      <c r="F2891" s="1" t="s">
        <v>15804</v>
      </c>
      <c r="G2891" s="1" t="s">
        <v>15805</v>
      </c>
      <c r="H2891" s="1" t="s">
        <v>15806</v>
      </c>
    </row>
    <row r="2892" spans="1:8" x14ac:dyDescent="0.3">
      <c r="A2892" s="2">
        <v>32248</v>
      </c>
      <c r="B2892" s="1" t="s">
        <v>19630</v>
      </c>
    </row>
    <row r="2893" spans="1:8" x14ac:dyDescent="0.3">
      <c r="A2893" s="2" t="s">
        <v>15807</v>
      </c>
      <c r="B2893" s="1" t="s">
        <v>12999</v>
      </c>
      <c r="C2893" s="1" t="s">
        <v>15808</v>
      </c>
      <c r="D2893" s="1" t="s">
        <v>15809</v>
      </c>
      <c r="E2893" s="1" t="s">
        <v>15810</v>
      </c>
      <c r="F2893" s="1" t="s">
        <v>15811</v>
      </c>
      <c r="G2893" s="1" t="s">
        <v>15812</v>
      </c>
      <c r="H2893" s="1" t="s">
        <v>15813</v>
      </c>
    </row>
    <row r="2894" spans="1:8" x14ac:dyDescent="0.3">
      <c r="A2894" s="2" t="s">
        <v>15814</v>
      </c>
      <c r="B2894" s="1" t="s">
        <v>13007</v>
      </c>
      <c r="C2894" s="1" t="s">
        <v>15815</v>
      </c>
      <c r="D2894" s="1" t="s">
        <v>15816</v>
      </c>
      <c r="E2894" s="1" t="s">
        <v>15817</v>
      </c>
      <c r="F2894" s="1" t="s">
        <v>15818</v>
      </c>
      <c r="G2894" s="1" t="s">
        <v>15819</v>
      </c>
      <c r="H2894" s="1" t="s">
        <v>15820</v>
      </c>
    </row>
    <row r="2895" spans="1:8" x14ac:dyDescent="0.3">
      <c r="A2895" s="2">
        <v>32249</v>
      </c>
      <c r="B2895" s="1" t="s">
        <v>19631</v>
      </c>
    </row>
    <row r="2896" spans="1:8" x14ac:dyDescent="0.3">
      <c r="A2896" s="2" t="s">
        <v>15821</v>
      </c>
      <c r="B2896" s="1" t="s">
        <v>12999</v>
      </c>
      <c r="C2896" s="1" t="s">
        <v>15822</v>
      </c>
      <c r="D2896" s="1" t="s">
        <v>15823</v>
      </c>
      <c r="E2896" s="1" t="s">
        <v>15824</v>
      </c>
      <c r="F2896" s="1" t="s">
        <v>15825</v>
      </c>
      <c r="G2896" s="1" t="s">
        <v>15826</v>
      </c>
      <c r="H2896" s="1" t="s">
        <v>15827</v>
      </c>
    </row>
    <row r="2897" spans="1:8" x14ac:dyDescent="0.3">
      <c r="A2897" s="2" t="s">
        <v>15828</v>
      </c>
      <c r="B2897" s="1" t="s">
        <v>13007</v>
      </c>
      <c r="C2897" s="1" t="s">
        <v>15829</v>
      </c>
      <c r="D2897" s="1" t="s">
        <v>15830</v>
      </c>
      <c r="E2897" s="1" t="s">
        <v>15831</v>
      </c>
      <c r="F2897" s="1" t="s">
        <v>15832</v>
      </c>
      <c r="G2897" s="1" t="s">
        <v>15833</v>
      </c>
      <c r="H2897" s="1" t="s">
        <v>15834</v>
      </c>
    </row>
    <row r="2898" spans="1:8" x14ac:dyDescent="0.3">
      <c r="A2898" s="2">
        <v>32250</v>
      </c>
      <c r="B2898" s="1" t="s">
        <v>15835</v>
      </c>
    </row>
    <row r="2899" spans="1:8" x14ac:dyDescent="0.3">
      <c r="A2899" s="2" t="s">
        <v>15836</v>
      </c>
      <c r="B2899" s="1" t="s">
        <v>12999</v>
      </c>
      <c r="C2899" s="1" t="s">
        <v>15837</v>
      </c>
      <c r="E2899" s="1" t="s">
        <v>15838</v>
      </c>
      <c r="F2899" s="1" t="s">
        <v>15839</v>
      </c>
      <c r="G2899" s="1" t="s">
        <v>15840</v>
      </c>
      <c r="H2899" s="1" t="s">
        <v>15841</v>
      </c>
    </row>
    <row r="2900" spans="1:8" x14ac:dyDescent="0.3">
      <c r="A2900" s="2" t="s">
        <v>15842</v>
      </c>
      <c r="B2900" s="1" t="s">
        <v>13007</v>
      </c>
      <c r="C2900" s="1" t="s">
        <v>15843</v>
      </c>
      <c r="D2900" s="1" t="s">
        <v>15844</v>
      </c>
      <c r="E2900" s="1" t="s">
        <v>15845</v>
      </c>
      <c r="F2900" s="1" t="s">
        <v>15846</v>
      </c>
      <c r="G2900" s="1" t="s">
        <v>15847</v>
      </c>
      <c r="H2900" s="1" t="s">
        <v>15845</v>
      </c>
    </row>
    <row r="2901" spans="1:8" x14ac:dyDescent="0.3">
      <c r="A2901" s="2">
        <v>32251</v>
      </c>
      <c r="B2901" s="1" t="s">
        <v>15848</v>
      </c>
    </row>
    <row r="2902" spans="1:8" x14ac:dyDescent="0.3">
      <c r="A2902" s="2" t="s">
        <v>15849</v>
      </c>
      <c r="B2902" s="1" t="s">
        <v>12999</v>
      </c>
      <c r="C2902" s="1" t="s">
        <v>15850</v>
      </c>
      <c r="D2902" s="1" t="s">
        <v>15851</v>
      </c>
      <c r="E2902" s="1" t="s">
        <v>15852</v>
      </c>
      <c r="F2902" s="1" t="s">
        <v>15853</v>
      </c>
      <c r="G2902" s="1" t="s">
        <v>15854</v>
      </c>
      <c r="H2902" s="1" t="s">
        <v>4649</v>
      </c>
    </row>
    <row r="2903" spans="1:8" x14ac:dyDescent="0.3">
      <c r="A2903" s="2" t="s">
        <v>15855</v>
      </c>
      <c r="B2903" s="1" t="s">
        <v>13007</v>
      </c>
      <c r="C2903" s="1" t="s">
        <v>15856</v>
      </c>
      <c r="D2903" s="1" t="s">
        <v>15857</v>
      </c>
      <c r="E2903" s="1" t="s">
        <v>15858</v>
      </c>
      <c r="F2903" s="1" t="s">
        <v>15859</v>
      </c>
      <c r="G2903" s="1" t="s">
        <v>15860</v>
      </c>
      <c r="H2903" s="1" t="s">
        <v>15861</v>
      </c>
    </row>
    <row r="2904" spans="1:8" x14ac:dyDescent="0.3">
      <c r="A2904" s="2">
        <v>32252</v>
      </c>
      <c r="B2904" s="1" t="s">
        <v>15862</v>
      </c>
    </row>
    <row r="2905" spans="1:8" x14ac:dyDescent="0.3">
      <c r="A2905" s="2" t="s">
        <v>15863</v>
      </c>
      <c r="B2905" s="1" t="s">
        <v>12999</v>
      </c>
      <c r="C2905" s="1" t="s">
        <v>15864</v>
      </c>
      <c r="D2905" s="1" t="s">
        <v>15865</v>
      </c>
      <c r="E2905" s="1" t="s">
        <v>15866</v>
      </c>
      <c r="F2905" s="1" t="s">
        <v>15867</v>
      </c>
      <c r="G2905" s="1" t="s">
        <v>15868</v>
      </c>
      <c r="H2905" s="1" t="s">
        <v>15869</v>
      </c>
    </row>
    <row r="2906" spans="1:8" x14ac:dyDescent="0.3">
      <c r="A2906" s="2" t="s">
        <v>15870</v>
      </c>
      <c r="B2906" s="1" t="s">
        <v>13007</v>
      </c>
      <c r="C2906" s="1" t="s">
        <v>15871</v>
      </c>
      <c r="D2906" s="1" t="s">
        <v>15872</v>
      </c>
      <c r="E2906" s="1" t="s">
        <v>15873</v>
      </c>
      <c r="F2906" s="1" t="s">
        <v>15874</v>
      </c>
      <c r="G2906" s="1" t="s">
        <v>15875</v>
      </c>
      <c r="H2906" s="1" t="s">
        <v>15875</v>
      </c>
    </row>
    <row r="2907" spans="1:8" x14ac:dyDescent="0.3">
      <c r="A2907" s="2">
        <v>32253</v>
      </c>
      <c r="B2907" s="1" t="s">
        <v>15876</v>
      </c>
    </row>
    <row r="2908" spans="1:8" x14ac:dyDescent="0.3">
      <c r="A2908" s="2" t="s">
        <v>15877</v>
      </c>
      <c r="B2908" s="1" t="s">
        <v>12999</v>
      </c>
      <c r="C2908" s="1" t="s">
        <v>15878</v>
      </c>
      <c r="D2908" s="1" t="s">
        <v>15879</v>
      </c>
      <c r="E2908" s="1" t="s">
        <v>15880</v>
      </c>
      <c r="F2908" s="1" t="s">
        <v>15880</v>
      </c>
      <c r="G2908" s="1" t="s">
        <v>15881</v>
      </c>
      <c r="H2908" s="1" t="s">
        <v>15882</v>
      </c>
    </row>
    <row r="2909" spans="1:8" x14ac:dyDescent="0.3">
      <c r="A2909" s="2" t="s">
        <v>15883</v>
      </c>
      <c r="B2909" s="1" t="s">
        <v>13007</v>
      </c>
      <c r="C2909" s="1" t="s">
        <v>15884</v>
      </c>
      <c r="E2909" s="1" t="s">
        <v>15885</v>
      </c>
      <c r="F2909" s="1" t="s">
        <v>15886</v>
      </c>
      <c r="G2909" s="1" t="s">
        <v>15887</v>
      </c>
      <c r="H2909" s="1" t="s">
        <v>15888</v>
      </c>
    </row>
    <row r="2910" spans="1:8" x14ac:dyDescent="0.3">
      <c r="A2910" s="2">
        <v>32254</v>
      </c>
      <c r="B2910" s="1" t="s">
        <v>15889</v>
      </c>
    </row>
    <row r="2911" spans="1:8" x14ac:dyDescent="0.3">
      <c r="A2911" s="2" t="s">
        <v>15890</v>
      </c>
      <c r="B2911" s="1" t="s">
        <v>12999</v>
      </c>
      <c r="C2911" s="1" t="s">
        <v>15891</v>
      </c>
      <c r="D2911" s="1" t="s">
        <v>15892</v>
      </c>
      <c r="E2911" s="1" t="s">
        <v>15893</v>
      </c>
      <c r="F2911" s="1" t="s">
        <v>15894</v>
      </c>
      <c r="G2911" s="1" t="s">
        <v>15895</v>
      </c>
      <c r="H2911" s="1" t="s">
        <v>15896</v>
      </c>
    </row>
    <row r="2912" spans="1:8" x14ac:dyDescent="0.3">
      <c r="A2912" s="2" t="s">
        <v>15897</v>
      </c>
      <c r="B2912" s="1" t="s">
        <v>13007</v>
      </c>
      <c r="C2912" s="1" t="s">
        <v>15898</v>
      </c>
      <c r="E2912" s="1" t="s">
        <v>15899</v>
      </c>
      <c r="F2912" s="1" t="s">
        <v>15900</v>
      </c>
      <c r="G2912" s="1" t="s">
        <v>15901</v>
      </c>
      <c r="H2912" s="1" t="s">
        <v>15901</v>
      </c>
    </row>
    <row r="2913" spans="1:8" x14ac:dyDescent="0.3">
      <c r="A2913" s="2">
        <v>32255</v>
      </c>
      <c r="B2913" s="1" t="s">
        <v>15902</v>
      </c>
    </row>
    <row r="2914" spans="1:8" x14ac:dyDescent="0.3">
      <c r="A2914" s="2" t="s">
        <v>15903</v>
      </c>
      <c r="B2914" s="1" t="s">
        <v>12999</v>
      </c>
      <c r="C2914" s="1" t="s">
        <v>15904</v>
      </c>
      <c r="D2914" s="1" t="s">
        <v>15905</v>
      </c>
      <c r="E2914" s="1" t="s">
        <v>15906</v>
      </c>
      <c r="F2914" s="1" t="s">
        <v>15907</v>
      </c>
      <c r="G2914" s="1" t="s">
        <v>15908</v>
      </c>
      <c r="H2914" s="1" t="s">
        <v>15909</v>
      </c>
    </row>
    <row r="2915" spans="1:8" x14ac:dyDescent="0.3">
      <c r="A2915" s="2" t="s">
        <v>15910</v>
      </c>
      <c r="B2915" s="1" t="s">
        <v>13007</v>
      </c>
      <c r="C2915" s="1" t="s">
        <v>15911</v>
      </c>
      <c r="D2915" s="1" t="s">
        <v>15912</v>
      </c>
      <c r="E2915" s="1" t="s">
        <v>15913</v>
      </c>
      <c r="F2915" s="1" t="s">
        <v>15914</v>
      </c>
      <c r="G2915" s="1" t="s">
        <v>15915</v>
      </c>
      <c r="H2915" s="1" t="s">
        <v>15916</v>
      </c>
    </row>
    <row r="2916" spans="1:8" x14ac:dyDescent="0.3">
      <c r="A2916" s="2">
        <v>32256</v>
      </c>
      <c r="B2916" s="1" t="s">
        <v>15917</v>
      </c>
    </row>
    <row r="2917" spans="1:8" x14ac:dyDescent="0.3">
      <c r="A2917" s="2" t="s">
        <v>15918</v>
      </c>
      <c r="B2917" s="1" t="s">
        <v>12999</v>
      </c>
      <c r="C2917" s="1" t="s">
        <v>15919</v>
      </c>
      <c r="D2917" s="1" t="s">
        <v>15920</v>
      </c>
      <c r="E2917" s="1" t="s">
        <v>15921</v>
      </c>
      <c r="F2917" s="1" t="s">
        <v>15922</v>
      </c>
      <c r="G2917" s="1" t="s">
        <v>15923</v>
      </c>
      <c r="H2917" s="1" t="s">
        <v>15924</v>
      </c>
    </row>
    <row r="2918" spans="1:8" x14ac:dyDescent="0.3">
      <c r="A2918" s="2" t="s">
        <v>15925</v>
      </c>
      <c r="B2918" s="1" t="s">
        <v>13007</v>
      </c>
      <c r="C2918" s="1" t="s">
        <v>15926</v>
      </c>
      <c r="D2918" s="1" t="s">
        <v>15927</v>
      </c>
      <c r="E2918" s="1" t="s">
        <v>15928</v>
      </c>
      <c r="F2918" s="1" t="s">
        <v>15929</v>
      </c>
      <c r="G2918" s="1" t="s">
        <v>15930</v>
      </c>
      <c r="H2918" s="1" t="s">
        <v>15931</v>
      </c>
    </row>
    <row r="2919" spans="1:8" x14ac:dyDescent="0.3">
      <c r="A2919" s="2">
        <v>32257</v>
      </c>
      <c r="B2919" s="1" t="s">
        <v>15932</v>
      </c>
    </row>
    <row r="2920" spans="1:8" x14ac:dyDescent="0.3">
      <c r="A2920" s="2" t="s">
        <v>15933</v>
      </c>
      <c r="B2920" s="1" t="s">
        <v>12999</v>
      </c>
      <c r="C2920" s="1" t="s">
        <v>15934</v>
      </c>
      <c r="D2920" s="1" t="s">
        <v>15935</v>
      </c>
      <c r="E2920" s="1" t="s">
        <v>15936</v>
      </c>
      <c r="F2920" s="1" t="s">
        <v>15937</v>
      </c>
      <c r="G2920" s="1" t="s">
        <v>15938</v>
      </c>
      <c r="H2920" s="1" t="s">
        <v>15936</v>
      </c>
    </row>
    <row r="2921" spans="1:8" x14ac:dyDescent="0.3">
      <c r="A2921" s="2" t="s">
        <v>15939</v>
      </c>
      <c r="B2921" s="1" t="s">
        <v>13007</v>
      </c>
      <c r="C2921" s="1" t="s">
        <v>15940</v>
      </c>
      <c r="D2921" s="1" t="s">
        <v>15941</v>
      </c>
      <c r="E2921" s="1" t="s">
        <v>15942</v>
      </c>
      <c r="F2921" s="1" t="s">
        <v>15943</v>
      </c>
      <c r="G2921" s="1" t="s">
        <v>15943</v>
      </c>
      <c r="H2921" s="1" t="s">
        <v>15944</v>
      </c>
    </row>
    <row r="2922" spans="1:8" x14ac:dyDescent="0.3">
      <c r="A2922" s="2">
        <v>32258</v>
      </c>
      <c r="B2922" s="1" t="s">
        <v>15945</v>
      </c>
    </row>
    <row r="2923" spans="1:8" x14ac:dyDescent="0.3">
      <c r="A2923" s="2" t="s">
        <v>15946</v>
      </c>
      <c r="B2923" s="1" t="s">
        <v>12999</v>
      </c>
      <c r="C2923" s="1" t="s">
        <v>15947</v>
      </c>
      <c r="D2923" s="1" t="s">
        <v>15948</v>
      </c>
      <c r="E2923" s="1" t="s">
        <v>15949</v>
      </c>
      <c r="F2923" s="1" t="s">
        <v>15950</v>
      </c>
      <c r="G2923" s="1" t="s">
        <v>15951</v>
      </c>
      <c r="H2923" s="1" t="s">
        <v>15952</v>
      </c>
    </row>
    <row r="2924" spans="1:8" x14ac:dyDescent="0.3">
      <c r="A2924" s="2" t="s">
        <v>15953</v>
      </c>
      <c r="B2924" s="1" t="s">
        <v>13007</v>
      </c>
      <c r="C2924" s="1" t="s">
        <v>15954</v>
      </c>
      <c r="D2924" s="1" t="s">
        <v>15955</v>
      </c>
      <c r="E2924" s="1" t="s">
        <v>15956</v>
      </c>
      <c r="F2924" s="1" t="s">
        <v>15957</v>
      </c>
      <c r="G2924" s="1" t="s">
        <v>15958</v>
      </c>
      <c r="H2924" s="1" t="s">
        <v>15959</v>
      </c>
    </row>
    <row r="2925" spans="1:8" x14ac:dyDescent="0.3">
      <c r="A2925" s="2">
        <v>32259</v>
      </c>
      <c r="B2925" s="1" t="s">
        <v>15960</v>
      </c>
    </row>
    <row r="2926" spans="1:8" x14ac:dyDescent="0.3">
      <c r="A2926" s="2" t="s">
        <v>15961</v>
      </c>
      <c r="B2926" s="1" t="s">
        <v>12999</v>
      </c>
      <c r="C2926" s="1" t="s">
        <v>15962</v>
      </c>
      <c r="D2926" s="1" t="s">
        <v>15963</v>
      </c>
      <c r="E2926" s="1" t="s">
        <v>15964</v>
      </c>
      <c r="F2926" s="1" t="s">
        <v>15965</v>
      </c>
      <c r="G2926" s="1" t="s">
        <v>15966</v>
      </c>
      <c r="H2926" s="1" t="s">
        <v>15967</v>
      </c>
    </row>
    <row r="2927" spans="1:8" x14ac:dyDescent="0.3">
      <c r="A2927" s="2" t="s">
        <v>15968</v>
      </c>
      <c r="B2927" s="1" t="s">
        <v>13007</v>
      </c>
      <c r="C2927" s="1" t="s">
        <v>15969</v>
      </c>
      <c r="D2927" s="1" t="s">
        <v>15970</v>
      </c>
      <c r="E2927" s="1" t="s">
        <v>15971</v>
      </c>
      <c r="F2927" s="1" t="s">
        <v>15972</v>
      </c>
      <c r="G2927" s="1" t="s">
        <v>15973</v>
      </c>
      <c r="H2927" s="1" t="s">
        <v>15974</v>
      </c>
    </row>
    <row r="2928" spans="1:8" x14ac:dyDescent="0.3">
      <c r="A2928" s="2">
        <v>32260</v>
      </c>
      <c r="B2928" s="1" t="s">
        <v>15975</v>
      </c>
    </row>
    <row r="2929" spans="1:8" x14ac:dyDescent="0.3">
      <c r="A2929" s="2" t="s">
        <v>15976</v>
      </c>
      <c r="B2929" s="1" t="s">
        <v>12999</v>
      </c>
      <c r="C2929" s="1" t="s">
        <v>15977</v>
      </c>
      <c r="D2929" s="1" t="s">
        <v>15978</v>
      </c>
      <c r="E2929" s="1" t="s">
        <v>15979</v>
      </c>
      <c r="F2929" s="1" t="s">
        <v>15980</v>
      </c>
      <c r="G2929" s="1" t="s">
        <v>15981</v>
      </c>
      <c r="H2929" s="1" t="s">
        <v>15982</v>
      </c>
    </row>
    <row r="2930" spans="1:8" x14ac:dyDescent="0.3">
      <c r="A2930" s="2" t="s">
        <v>15983</v>
      </c>
      <c r="B2930" s="1" t="s">
        <v>13007</v>
      </c>
      <c r="C2930" s="1" t="s">
        <v>15984</v>
      </c>
      <c r="D2930" s="1" t="s">
        <v>15985</v>
      </c>
      <c r="E2930" s="1" t="s">
        <v>15986</v>
      </c>
      <c r="F2930" s="1" t="s">
        <v>15987</v>
      </c>
      <c r="G2930" s="1" t="s">
        <v>15988</v>
      </c>
      <c r="H2930" s="1" t="s">
        <v>15989</v>
      </c>
    </row>
    <row r="2931" spans="1:8" x14ac:dyDescent="0.3">
      <c r="A2931" s="2">
        <v>32261</v>
      </c>
      <c r="B2931" s="1" t="s">
        <v>15990</v>
      </c>
    </row>
    <row r="2932" spans="1:8" x14ac:dyDescent="0.3">
      <c r="A2932" s="2" t="s">
        <v>15991</v>
      </c>
      <c r="B2932" s="1" t="s">
        <v>12999</v>
      </c>
      <c r="C2932" s="1" t="s">
        <v>15992</v>
      </c>
      <c r="D2932" s="1" t="s">
        <v>15993</v>
      </c>
      <c r="E2932" s="1" t="s">
        <v>15994</v>
      </c>
      <c r="F2932" s="1" t="s">
        <v>15995</v>
      </c>
      <c r="G2932" s="1" t="s">
        <v>15996</v>
      </c>
      <c r="H2932" s="1" t="s">
        <v>15997</v>
      </c>
    </row>
    <row r="2933" spans="1:8" x14ac:dyDescent="0.3">
      <c r="A2933" s="2" t="s">
        <v>15998</v>
      </c>
      <c r="B2933" s="1" t="s">
        <v>13007</v>
      </c>
      <c r="C2933" s="1" t="s">
        <v>15999</v>
      </c>
      <c r="D2933" s="1" t="s">
        <v>16000</v>
      </c>
      <c r="E2933" s="1" t="s">
        <v>16001</v>
      </c>
      <c r="F2933" s="1" t="s">
        <v>16002</v>
      </c>
      <c r="G2933" s="1" t="s">
        <v>16003</v>
      </c>
      <c r="H2933" s="1" t="s">
        <v>16004</v>
      </c>
    </row>
    <row r="2934" spans="1:8" x14ac:dyDescent="0.3">
      <c r="A2934" s="2">
        <v>32262</v>
      </c>
      <c r="B2934" s="1" t="s">
        <v>16005</v>
      </c>
    </row>
    <row r="2935" spans="1:8" x14ac:dyDescent="0.3">
      <c r="A2935" s="2" t="s">
        <v>16006</v>
      </c>
      <c r="B2935" s="1" t="s">
        <v>12999</v>
      </c>
      <c r="C2935" s="1" t="s">
        <v>16007</v>
      </c>
      <c r="E2935" s="1" t="s">
        <v>16008</v>
      </c>
      <c r="F2935" s="1" t="s">
        <v>16009</v>
      </c>
      <c r="G2935" s="1" t="s">
        <v>16010</v>
      </c>
      <c r="H2935" s="1" t="s">
        <v>16011</v>
      </c>
    </row>
    <row r="2936" spans="1:8" x14ac:dyDescent="0.3">
      <c r="A2936" s="2" t="s">
        <v>16012</v>
      </c>
      <c r="B2936" s="1" t="s">
        <v>13007</v>
      </c>
      <c r="C2936" s="1" t="s">
        <v>16013</v>
      </c>
      <c r="D2936" s="1" t="s">
        <v>16014</v>
      </c>
      <c r="E2936" s="1" t="s">
        <v>16015</v>
      </c>
      <c r="F2936" s="1" t="s">
        <v>16016</v>
      </c>
      <c r="G2936" s="1" t="s">
        <v>16017</v>
      </c>
      <c r="H2936" s="1" t="s">
        <v>16018</v>
      </c>
    </row>
    <row r="2937" spans="1:8" x14ac:dyDescent="0.3">
      <c r="A2937" s="2">
        <v>32263</v>
      </c>
      <c r="B2937" s="1" t="s">
        <v>16019</v>
      </c>
    </row>
    <row r="2938" spans="1:8" x14ac:dyDescent="0.3">
      <c r="A2938" s="2" t="s">
        <v>16020</v>
      </c>
      <c r="B2938" s="1" t="s">
        <v>12999</v>
      </c>
      <c r="C2938" s="1" t="s">
        <v>16021</v>
      </c>
      <c r="D2938" s="1" t="s">
        <v>16022</v>
      </c>
      <c r="E2938" s="1" t="s">
        <v>16023</v>
      </c>
      <c r="F2938" s="1" t="s">
        <v>16024</v>
      </c>
      <c r="G2938" s="1" t="s">
        <v>16024</v>
      </c>
      <c r="H2938" s="1" t="s">
        <v>16025</v>
      </c>
    </row>
    <row r="2939" spans="1:8" x14ac:dyDescent="0.3">
      <c r="A2939" s="2" t="s">
        <v>16026</v>
      </c>
      <c r="B2939" s="1" t="s">
        <v>13007</v>
      </c>
      <c r="C2939" s="1" t="s">
        <v>16027</v>
      </c>
      <c r="D2939" s="1" t="s">
        <v>16028</v>
      </c>
      <c r="E2939" s="1" t="s">
        <v>16029</v>
      </c>
      <c r="F2939" s="1" t="s">
        <v>16030</v>
      </c>
      <c r="G2939" s="1" t="s">
        <v>16031</v>
      </c>
      <c r="H2939" s="1" t="s">
        <v>16032</v>
      </c>
    </row>
    <row r="2940" spans="1:8" x14ac:dyDescent="0.3">
      <c r="A2940" s="2">
        <v>32264</v>
      </c>
      <c r="B2940" s="1" t="s">
        <v>16033</v>
      </c>
    </row>
    <row r="2941" spans="1:8" x14ac:dyDescent="0.3">
      <c r="A2941" s="2" t="s">
        <v>16034</v>
      </c>
      <c r="B2941" s="1" t="s">
        <v>12999</v>
      </c>
      <c r="C2941" s="1" t="s">
        <v>16035</v>
      </c>
      <c r="E2941" s="1" t="s">
        <v>16036</v>
      </c>
      <c r="F2941" s="1" t="s">
        <v>16037</v>
      </c>
      <c r="G2941" s="1" t="s">
        <v>16038</v>
      </c>
      <c r="H2941" s="1" t="s">
        <v>16039</v>
      </c>
    </row>
    <row r="2942" spans="1:8" x14ac:dyDescent="0.3">
      <c r="A2942" s="2" t="s">
        <v>16040</v>
      </c>
      <c r="B2942" s="1" t="s">
        <v>13007</v>
      </c>
      <c r="C2942" s="1" t="s">
        <v>16041</v>
      </c>
      <c r="D2942" s="1" t="s">
        <v>16042</v>
      </c>
      <c r="E2942" s="1" t="s">
        <v>16043</v>
      </c>
      <c r="F2942" s="1" t="s">
        <v>16044</v>
      </c>
      <c r="G2942" s="1" t="s">
        <v>16045</v>
      </c>
      <c r="H2942" s="1" t="s">
        <v>16046</v>
      </c>
    </row>
    <row r="2943" spans="1:8" x14ac:dyDescent="0.3">
      <c r="A2943" s="2">
        <v>32265</v>
      </c>
      <c r="B2943" s="1" t="s">
        <v>16047</v>
      </c>
    </row>
    <row r="2944" spans="1:8" x14ac:dyDescent="0.3">
      <c r="A2944" s="2" t="s">
        <v>16048</v>
      </c>
      <c r="B2944" s="1" t="s">
        <v>12999</v>
      </c>
      <c r="C2944" s="1" t="s">
        <v>16049</v>
      </c>
      <c r="D2944" s="1" t="s">
        <v>16050</v>
      </c>
      <c r="E2944" s="1" t="s">
        <v>16051</v>
      </c>
      <c r="F2944" s="1" t="s">
        <v>16052</v>
      </c>
      <c r="G2944" s="1" t="s">
        <v>16053</v>
      </c>
      <c r="H2944" s="1" t="s">
        <v>16054</v>
      </c>
    </row>
    <row r="2945" spans="1:8" x14ac:dyDescent="0.3">
      <c r="A2945" s="2" t="s">
        <v>16055</v>
      </c>
      <c r="B2945" s="1" t="s">
        <v>13007</v>
      </c>
      <c r="C2945" s="1" t="s">
        <v>16056</v>
      </c>
      <c r="D2945" s="1" t="s">
        <v>16057</v>
      </c>
      <c r="E2945" s="1" t="s">
        <v>16058</v>
      </c>
      <c r="F2945" s="1" t="s">
        <v>16059</v>
      </c>
      <c r="G2945" s="1" t="s">
        <v>16060</v>
      </c>
      <c r="H2945" s="1" t="s">
        <v>16059</v>
      </c>
    </row>
    <row r="2946" spans="1:8" x14ac:dyDescent="0.3">
      <c r="A2946" s="2">
        <v>32266</v>
      </c>
      <c r="B2946" s="1" t="s">
        <v>16061</v>
      </c>
    </row>
    <row r="2947" spans="1:8" x14ac:dyDescent="0.3">
      <c r="A2947" s="2" t="s">
        <v>16062</v>
      </c>
      <c r="B2947" s="1" t="s">
        <v>12999</v>
      </c>
      <c r="C2947" s="1" t="s">
        <v>16063</v>
      </c>
      <c r="D2947" s="1" t="s">
        <v>16064</v>
      </c>
      <c r="E2947" s="1" t="s">
        <v>16065</v>
      </c>
      <c r="F2947" s="1" t="s">
        <v>16066</v>
      </c>
      <c r="G2947" s="1" t="s">
        <v>16065</v>
      </c>
      <c r="H2947" s="1" t="s">
        <v>16067</v>
      </c>
    </row>
    <row r="2948" spans="1:8" x14ac:dyDescent="0.3">
      <c r="A2948" s="2" t="s">
        <v>16068</v>
      </c>
      <c r="B2948" s="1" t="s">
        <v>13007</v>
      </c>
      <c r="C2948" s="1" t="s">
        <v>16069</v>
      </c>
      <c r="D2948" s="1" t="s">
        <v>16070</v>
      </c>
      <c r="E2948" s="1" t="s">
        <v>16071</v>
      </c>
      <c r="F2948" s="1" t="s">
        <v>16072</v>
      </c>
      <c r="G2948" s="1" t="s">
        <v>16072</v>
      </c>
      <c r="H2948" s="1" t="s">
        <v>16072</v>
      </c>
    </row>
    <row r="2949" spans="1:8" x14ac:dyDescent="0.3">
      <c r="A2949" s="2">
        <v>32267</v>
      </c>
      <c r="B2949" s="1" t="s">
        <v>16073</v>
      </c>
    </row>
    <row r="2950" spans="1:8" x14ac:dyDescent="0.3">
      <c r="A2950" s="2" t="s">
        <v>16074</v>
      </c>
      <c r="B2950" s="1" t="s">
        <v>12999</v>
      </c>
      <c r="C2950" s="1" t="s">
        <v>16075</v>
      </c>
      <c r="D2950" s="1" t="s">
        <v>16076</v>
      </c>
      <c r="E2950" s="1" t="s">
        <v>16077</v>
      </c>
      <c r="F2950" s="1" t="s">
        <v>16078</v>
      </c>
      <c r="G2950" s="1" t="s">
        <v>16079</v>
      </c>
      <c r="H2950" s="1" t="s">
        <v>16080</v>
      </c>
    </row>
    <row r="2951" spans="1:8" x14ac:dyDescent="0.3">
      <c r="A2951" s="2" t="s">
        <v>16081</v>
      </c>
      <c r="B2951" s="1" t="s">
        <v>13007</v>
      </c>
      <c r="C2951" s="1" t="s">
        <v>16082</v>
      </c>
      <c r="D2951" s="1" t="s">
        <v>16083</v>
      </c>
      <c r="E2951" s="1" t="s">
        <v>16083</v>
      </c>
      <c r="F2951" s="1" t="s">
        <v>16084</v>
      </c>
      <c r="G2951" s="1" t="s">
        <v>16083</v>
      </c>
      <c r="H2951" s="1" t="s">
        <v>16083</v>
      </c>
    </row>
    <row r="2952" spans="1:8" x14ac:dyDescent="0.3">
      <c r="A2952" s="2">
        <v>32268</v>
      </c>
      <c r="B2952" s="1" t="s">
        <v>16085</v>
      </c>
    </row>
    <row r="2953" spans="1:8" x14ac:dyDescent="0.3">
      <c r="A2953" s="2" t="s">
        <v>16086</v>
      </c>
      <c r="B2953" s="1" t="s">
        <v>12999</v>
      </c>
      <c r="C2953" s="1" t="s">
        <v>16087</v>
      </c>
      <c r="D2953" s="1" t="s">
        <v>16088</v>
      </c>
      <c r="E2953" s="1" t="s">
        <v>16089</v>
      </c>
      <c r="F2953" s="1" t="s">
        <v>16090</v>
      </c>
      <c r="G2953" s="1" t="s">
        <v>16091</v>
      </c>
      <c r="H2953" s="1" t="s">
        <v>16092</v>
      </c>
    </row>
    <row r="2954" spans="1:8" x14ac:dyDescent="0.3">
      <c r="A2954" s="2" t="s">
        <v>16093</v>
      </c>
      <c r="B2954" s="1" t="s">
        <v>13007</v>
      </c>
      <c r="C2954" s="1" t="s">
        <v>16094</v>
      </c>
      <c r="D2954" s="1" t="s">
        <v>16095</v>
      </c>
      <c r="E2954" s="1" t="s">
        <v>16096</v>
      </c>
      <c r="F2954" s="1" t="s">
        <v>16097</v>
      </c>
      <c r="G2954" s="1" t="s">
        <v>16097</v>
      </c>
      <c r="H2954" s="1" t="s">
        <v>16096</v>
      </c>
    </row>
    <row r="2955" spans="1:8" x14ac:dyDescent="0.3">
      <c r="A2955" s="2">
        <v>32269</v>
      </c>
      <c r="B2955" s="1" t="s">
        <v>16098</v>
      </c>
    </row>
    <row r="2956" spans="1:8" x14ac:dyDescent="0.3">
      <c r="A2956" s="2" t="s">
        <v>16099</v>
      </c>
      <c r="B2956" s="1" t="s">
        <v>12999</v>
      </c>
      <c r="C2956" s="1" t="s">
        <v>16100</v>
      </c>
      <c r="D2956" s="1" t="s">
        <v>16101</v>
      </c>
      <c r="E2956" s="1" t="s">
        <v>16102</v>
      </c>
      <c r="F2956" s="1" t="s">
        <v>16102</v>
      </c>
      <c r="G2956" s="1" t="s">
        <v>16102</v>
      </c>
      <c r="H2956" s="1" t="s">
        <v>16102</v>
      </c>
    </row>
    <row r="2957" spans="1:8" x14ac:dyDescent="0.3">
      <c r="A2957" s="2" t="s">
        <v>16103</v>
      </c>
      <c r="B2957" s="1" t="s">
        <v>13007</v>
      </c>
      <c r="C2957" s="1" t="s">
        <v>16104</v>
      </c>
      <c r="D2957" s="1" t="s">
        <v>16105</v>
      </c>
      <c r="E2957" s="1" t="s">
        <v>16106</v>
      </c>
      <c r="F2957" s="1" t="s">
        <v>16107</v>
      </c>
      <c r="G2957" s="1" t="s">
        <v>16108</v>
      </c>
      <c r="H2957" s="1" t="s">
        <v>16109</v>
      </c>
    </row>
    <row r="2958" spans="1:8" x14ac:dyDescent="0.3">
      <c r="A2958" s="2">
        <v>32270</v>
      </c>
      <c r="B2958" s="1" t="s">
        <v>16110</v>
      </c>
    </row>
    <row r="2959" spans="1:8" x14ac:dyDescent="0.3">
      <c r="A2959" s="2" t="s">
        <v>16111</v>
      </c>
      <c r="B2959" s="1" t="s">
        <v>12999</v>
      </c>
      <c r="C2959" s="1" t="s">
        <v>16112</v>
      </c>
      <c r="D2959" s="1" t="s">
        <v>16113</v>
      </c>
      <c r="E2959" s="1" t="s">
        <v>16114</v>
      </c>
      <c r="F2959" s="1" t="s">
        <v>16115</v>
      </c>
      <c r="G2959" s="1" t="s">
        <v>16116</v>
      </c>
      <c r="H2959" s="1" t="s">
        <v>16115</v>
      </c>
    </row>
    <row r="2960" spans="1:8" x14ac:dyDescent="0.3">
      <c r="A2960" s="2" t="s">
        <v>16117</v>
      </c>
      <c r="B2960" s="1" t="s">
        <v>13007</v>
      </c>
      <c r="C2960" s="1" t="s">
        <v>16118</v>
      </c>
      <c r="D2960" s="1" t="s">
        <v>16119</v>
      </c>
      <c r="E2960" s="1" t="s">
        <v>16120</v>
      </c>
      <c r="F2960" s="1" t="s">
        <v>16121</v>
      </c>
      <c r="G2960" s="1" t="s">
        <v>16122</v>
      </c>
      <c r="H2960" s="1" t="s">
        <v>16123</v>
      </c>
    </row>
    <row r="2961" spans="1:8" x14ac:dyDescent="0.3">
      <c r="A2961" s="2">
        <v>32271</v>
      </c>
      <c r="B2961" s="1" t="s">
        <v>16124</v>
      </c>
    </row>
    <row r="2962" spans="1:8" x14ac:dyDescent="0.3">
      <c r="A2962" s="2" t="s">
        <v>16125</v>
      </c>
      <c r="B2962" s="1" t="s">
        <v>12999</v>
      </c>
      <c r="C2962" s="1" t="s">
        <v>16126</v>
      </c>
      <c r="D2962" s="1" t="s">
        <v>16127</v>
      </c>
      <c r="E2962" s="1" t="s">
        <v>16128</v>
      </c>
      <c r="F2962" s="1" t="s">
        <v>16129</v>
      </c>
      <c r="G2962" s="1" t="s">
        <v>16130</v>
      </c>
      <c r="H2962" s="1" t="s">
        <v>16131</v>
      </c>
    </row>
    <row r="2963" spans="1:8" x14ac:dyDescent="0.3">
      <c r="A2963" s="2" t="s">
        <v>16132</v>
      </c>
      <c r="B2963" s="1" t="s">
        <v>13007</v>
      </c>
      <c r="C2963" s="1" t="s">
        <v>16133</v>
      </c>
      <c r="D2963" s="1" t="s">
        <v>16134</v>
      </c>
      <c r="E2963" s="1" t="s">
        <v>16135</v>
      </c>
      <c r="F2963" s="1" t="s">
        <v>16136</v>
      </c>
      <c r="G2963" s="1" t="s">
        <v>16137</v>
      </c>
      <c r="H2963" s="1" t="s">
        <v>16138</v>
      </c>
    </row>
    <row r="2964" spans="1:8" x14ac:dyDescent="0.3">
      <c r="A2964" s="2">
        <v>32272</v>
      </c>
      <c r="B2964" s="1" t="s">
        <v>16139</v>
      </c>
    </row>
    <row r="2965" spans="1:8" x14ac:dyDescent="0.3">
      <c r="A2965" s="2" t="s">
        <v>16140</v>
      </c>
      <c r="B2965" s="1" t="s">
        <v>12999</v>
      </c>
      <c r="C2965" s="1" t="s">
        <v>16141</v>
      </c>
      <c r="D2965" s="1" t="s">
        <v>16142</v>
      </c>
      <c r="E2965" s="1" t="s">
        <v>16143</v>
      </c>
      <c r="F2965" s="1" t="s">
        <v>16144</v>
      </c>
      <c r="G2965" s="1" t="s">
        <v>16145</v>
      </c>
      <c r="H2965" s="1" t="s">
        <v>16146</v>
      </c>
    </row>
    <row r="2966" spans="1:8" x14ac:dyDescent="0.3">
      <c r="A2966" s="2" t="s">
        <v>16147</v>
      </c>
      <c r="B2966" s="1" t="s">
        <v>13007</v>
      </c>
      <c r="C2966" s="1" t="s">
        <v>16148</v>
      </c>
      <c r="D2966" s="1" t="s">
        <v>16149</v>
      </c>
      <c r="E2966" s="1" t="s">
        <v>16150</v>
      </c>
      <c r="F2966" s="1" t="s">
        <v>16151</v>
      </c>
      <c r="G2966" s="1" t="s">
        <v>16152</v>
      </c>
      <c r="H2966" s="1" t="s">
        <v>16153</v>
      </c>
    </row>
    <row r="2967" spans="1:8" x14ac:dyDescent="0.3">
      <c r="A2967" s="2">
        <v>32273</v>
      </c>
      <c r="B2967" s="1" t="s">
        <v>16154</v>
      </c>
    </row>
    <row r="2968" spans="1:8" x14ac:dyDescent="0.3">
      <c r="A2968" s="2" t="s">
        <v>16155</v>
      </c>
      <c r="B2968" s="1" t="s">
        <v>12999</v>
      </c>
      <c r="C2968" s="1" t="s">
        <v>16156</v>
      </c>
      <c r="D2968" s="1" t="s">
        <v>16157</v>
      </c>
      <c r="E2968" s="1" t="s">
        <v>16158</v>
      </c>
      <c r="F2968" s="1" t="s">
        <v>16159</v>
      </c>
      <c r="G2968" s="1" t="s">
        <v>16160</v>
      </c>
      <c r="H2968" s="1" t="s">
        <v>16161</v>
      </c>
    </row>
    <row r="2969" spans="1:8" x14ac:dyDescent="0.3">
      <c r="A2969" s="2" t="s">
        <v>16162</v>
      </c>
      <c r="B2969" s="1" t="s">
        <v>13007</v>
      </c>
      <c r="C2969" s="1" t="s">
        <v>16163</v>
      </c>
      <c r="D2969" s="1" t="s">
        <v>16164</v>
      </c>
      <c r="E2969" s="1" t="s">
        <v>16165</v>
      </c>
      <c r="F2969" s="1" t="s">
        <v>16166</v>
      </c>
      <c r="G2969" s="1" t="s">
        <v>16167</v>
      </c>
      <c r="H2969" s="1" t="s">
        <v>16168</v>
      </c>
    </row>
    <row r="2970" spans="1:8" x14ac:dyDescent="0.3">
      <c r="A2970" s="2">
        <v>32274</v>
      </c>
      <c r="B2970" s="1" t="s">
        <v>16169</v>
      </c>
      <c r="C2970" s="1" t="s">
        <v>16170</v>
      </c>
    </row>
    <row r="2971" spans="1:8" x14ac:dyDescent="0.3">
      <c r="A2971" s="2" t="s">
        <v>16171</v>
      </c>
      <c r="B2971" s="1" t="s">
        <v>12999</v>
      </c>
      <c r="C2971" s="1" t="s">
        <v>16170</v>
      </c>
      <c r="D2971" s="1" t="s">
        <v>16172</v>
      </c>
      <c r="E2971" s="1" t="s">
        <v>16173</v>
      </c>
      <c r="F2971" s="1" t="s">
        <v>16174</v>
      </c>
      <c r="G2971" s="1" t="s">
        <v>16175</v>
      </c>
      <c r="H2971" s="1" t="s">
        <v>16176</v>
      </c>
    </row>
    <row r="2972" spans="1:8" x14ac:dyDescent="0.3">
      <c r="A2972" s="2" t="s">
        <v>16177</v>
      </c>
      <c r="B2972" s="1" t="s">
        <v>13007</v>
      </c>
      <c r="C2972" s="1" t="s">
        <v>16178</v>
      </c>
      <c r="D2972" s="1" t="s">
        <v>16179</v>
      </c>
      <c r="E2972" s="1" t="s">
        <v>16180</v>
      </c>
      <c r="F2972" s="1" t="s">
        <v>16181</v>
      </c>
      <c r="G2972" s="1" t="s">
        <v>16182</v>
      </c>
      <c r="H2972" s="1" t="s">
        <v>16183</v>
      </c>
    </row>
    <row r="2973" spans="1:8" x14ac:dyDescent="0.3">
      <c r="A2973" s="2">
        <v>32275</v>
      </c>
      <c r="B2973" s="1" t="s">
        <v>16184</v>
      </c>
    </row>
    <row r="2974" spans="1:8" x14ac:dyDescent="0.3">
      <c r="A2974" s="2" t="s">
        <v>16185</v>
      </c>
      <c r="B2974" s="1" t="s">
        <v>12999</v>
      </c>
      <c r="C2974" s="1" t="s">
        <v>16186</v>
      </c>
      <c r="D2974" s="1" t="s">
        <v>16187</v>
      </c>
      <c r="E2974" s="1" t="s">
        <v>16188</v>
      </c>
      <c r="F2974" s="1" t="s">
        <v>16189</v>
      </c>
      <c r="G2974" s="1" t="s">
        <v>16190</v>
      </c>
      <c r="H2974" s="1" t="s">
        <v>16191</v>
      </c>
    </row>
    <row r="2975" spans="1:8" x14ac:dyDescent="0.3">
      <c r="A2975" s="2" t="s">
        <v>16192</v>
      </c>
      <c r="B2975" s="1" t="s">
        <v>13007</v>
      </c>
      <c r="C2975" s="1" t="s">
        <v>16193</v>
      </c>
      <c r="D2975" s="1" t="s">
        <v>16194</v>
      </c>
      <c r="E2975" s="1" t="s">
        <v>16195</v>
      </c>
      <c r="F2975" s="1" t="s">
        <v>16196</v>
      </c>
      <c r="G2975" s="1" t="s">
        <v>16196</v>
      </c>
      <c r="H2975" s="1" t="s">
        <v>16195</v>
      </c>
    </row>
    <row r="2976" spans="1:8" x14ac:dyDescent="0.3">
      <c r="A2976" s="2">
        <v>32276</v>
      </c>
      <c r="B2976" s="1" t="s">
        <v>16197</v>
      </c>
    </row>
    <row r="2977" spans="1:8" x14ac:dyDescent="0.3">
      <c r="A2977" s="2" t="s">
        <v>16198</v>
      </c>
      <c r="B2977" s="1" t="s">
        <v>12999</v>
      </c>
      <c r="C2977" s="1" t="s">
        <v>16199</v>
      </c>
      <c r="D2977" s="1" t="s">
        <v>16200</v>
      </c>
      <c r="E2977" s="1" t="s">
        <v>16201</v>
      </c>
      <c r="F2977" s="1" t="s">
        <v>16202</v>
      </c>
      <c r="G2977" s="1" t="s">
        <v>16203</v>
      </c>
      <c r="H2977" s="1" t="s">
        <v>16204</v>
      </c>
    </row>
    <row r="2978" spans="1:8" x14ac:dyDescent="0.3">
      <c r="A2978" s="2" t="s">
        <v>16205</v>
      </c>
      <c r="B2978" s="1" t="s">
        <v>13007</v>
      </c>
      <c r="C2978" s="1" t="s">
        <v>16206</v>
      </c>
      <c r="D2978" s="1" t="s">
        <v>16207</v>
      </c>
      <c r="E2978" s="1" t="s">
        <v>16208</v>
      </c>
      <c r="F2978" s="1" t="s">
        <v>16209</v>
      </c>
      <c r="G2978" s="1" t="s">
        <v>16210</v>
      </c>
      <c r="H2978" s="1" t="s">
        <v>16211</v>
      </c>
    </row>
    <row r="2979" spans="1:8" x14ac:dyDescent="0.3">
      <c r="A2979" s="2">
        <v>32277</v>
      </c>
      <c r="B2979" s="1" t="s">
        <v>16212</v>
      </c>
    </row>
    <row r="2980" spans="1:8" x14ac:dyDescent="0.3">
      <c r="A2980" s="2" t="s">
        <v>16213</v>
      </c>
      <c r="B2980" s="1" t="s">
        <v>12999</v>
      </c>
      <c r="C2980" s="1" t="s">
        <v>16214</v>
      </c>
      <c r="D2980" s="1" t="s">
        <v>16215</v>
      </c>
      <c r="E2980" s="1" t="s">
        <v>16216</v>
      </c>
      <c r="F2980" s="1" t="s">
        <v>16217</v>
      </c>
      <c r="G2980" s="1" t="s">
        <v>16218</v>
      </c>
      <c r="H2980" s="1" t="s">
        <v>16219</v>
      </c>
    </row>
    <row r="2981" spans="1:8" x14ac:dyDescent="0.3">
      <c r="A2981" s="2" t="s">
        <v>16220</v>
      </c>
      <c r="B2981" s="1" t="s">
        <v>13007</v>
      </c>
      <c r="C2981" s="1" t="s">
        <v>16221</v>
      </c>
      <c r="D2981" s="1" t="s">
        <v>16222</v>
      </c>
      <c r="E2981" s="1" t="s">
        <v>16223</v>
      </c>
      <c r="F2981" s="1" t="s">
        <v>16224</v>
      </c>
      <c r="G2981" s="1" t="s">
        <v>16225</v>
      </c>
      <c r="H2981" s="1" t="s">
        <v>16226</v>
      </c>
    </row>
    <row r="2982" spans="1:8" x14ac:dyDescent="0.3">
      <c r="A2982" s="2">
        <v>32278</v>
      </c>
      <c r="B2982" s="1" t="s">
        <v>16227</v>
      </c>
    </row>
    <row r="2983" spans="1:8" x14ac:dyDescent="0.3">
      <c r="A2983" s="2" t="s">
        <v>16228</v>
      </c>
      <c r="B2983" s="1" t="s">
        <v>12999</v>
      </c>
      <c r="C2983" s="1" t="s">
        <v>16229</v>
      </c>
      <c r="D2983" s="1" t="s">
        <v>16230</v>
      </c>
      <c r="E2983" s="1" t="s">
        <v>16231</v>
      </c>
      <c r="F2983" s="1" t="s">
        <v>16232</v>
      </c>
      <c r="G2983" s="1" t="s">
        <v>16233</v>
      </c>
      <c r="H2983" s="1" t="s">
        <v>16234</v>
      </c>
    </row>
    <row r="2984" spans="1:8" x14ac:dyDescent="0.3">
      <c r="A2984" s="2" t="s">
        <v>16235</v>
      </c>
      <c r="B2984" s="1" t="s">
        <v>13007</v>
      </c>
      <c r="C2984" s="1" t="s">
        <v>16236</v>
      </c>
      <c r="D2984" s="1" t="s">
        <v>16237</v>
      </c>
      <c r="E2984" s="1" t="s">
        <v>16238</v>
      </c>
      <c r="F2984" s="1" t="s">
        <v>16239</v>
      </c>
      <c r="G2984" s="1" t="s">
        <v>16240</v>
      </c>
      <c r="H2984" s="1" t="s">
        <v>16241</v>
      </c>
    </row>
    <row r="2985" spans="1:8" x14ac:dyDescent="0.3">
      <c r="A2985" s="2">
        <v>32279</v>
      </c>
      <c r="B2985" s="1" t="s">
        <v>16242</v>
      </c>
    </row>
    <row r="2986" spans="1:8" x14ac:dyDescent="0.3">
      <c r="A2986" s="2" t="s">
        <v>16243</v>
      </c>
      <c r="B2986" s="1" t="s">
        <v>12999</v>
      </c>
      <c r="C2986" s="1" t="s">
        <v>16244</v>
      </c>
      <c r="D2986" s="1" t="s">
        <v>16245</v>
      </c>
      <c r="E2986" s="1" t="s">
        <v>16246</v>
      </c>
      <c r="F2986" s="1" t="s">
        <v>16247</v>
      </c>
      <c r="G2986" s="1" t="s">
        <v>16248</v>
      </c>
      <c r="H2986" s="1" t="s">
        <v>16249</v>
      </c>
    </row>
    <row r="2987" spans="1:8" x14ac:dyDescent="0.3">
      <c r="A2987" s="2" t="s">
        <v>16250</v>
      </c>
      <c r="B2987" s="1" t="s">
        <v>13007</v>
      </c>
      <c r="C2987" s="1" t="s">
        <v>16251</v>
      </c>
      <c r="D2987" s="1" t="s">
        <v>16252</v>
      </c>
      <c r="E2987" s="1" t="s">
        <v>16253</v>
      </c>
      <c r="F2987" s="1" t="s">
        <v>16254</v>
      </c>
      <c r="G2987" s="1" t="s">
        <v>16255</v>
      </c>
      <c r="H2987" s="1" t="s">
        <v>16256</v>
      </c>
    </row>
    <row r="2988" spans="1:8" x14ac:dyDescent="0.3">
      <c r="A2988" s="2">
        <v>32280</v>
      </c>
      <c r="B2988" s="1" t="s">
        <v>16257</v>
      </c>
    </row>
    <row r="2989" spans="1:8" x14ac:dyDescent="0.3">
      <c r="A2989" s="2" t="s">
        <v>16258</v>
      </c>
      <c r="B2989" s="1" t="s">
        <v>12999</v>
      </c>
      <c r="E2989" s="1" t="s">
        <v>16259</v>
      </c>
      <c r="F2989" s="1" t="s">
        <v>16260</v>
      </c>
      <c r="G2989" s="1" t="s">
        <v>16261</v>
      </c>
      <c r="H2989" s="1" t="s">
        <v>16260</v>
      </c>
    </row>
    <row r="2990" spans="1:8" x14ac:dyDescent="0.3">
      <c r="A2990" s="2" t="s">
        <v>16262</v>
      </c>
      <c r="B2990" s="1" t="s">
        <v>13007</v>
      </c>
      <c r="C2990" s="1" t="s">
        <v>16263</v>
      </c>
      <c r="D2990" s="1" t="s">
        <v>16264</v>
      </c>
      <c r="E2990" s="1" t="s">
        <v>16265</v>
      </c>
      <c r="F2990" s="1" t="s">
        <v>16266</v>
      </c>
      <c r="G2990" s="1" t="s">
        <v>16267</v>
      </c>
      <c r="H2990" s="1" t="s">
        <v>16268</v>
      </c>
    </row>
    <row r="2991" spans="1:8" x14ac:dyDescent="0.3">
      <c r="A2991" s="2">
        <v>32281</v>
      </c>
      <c r="B2991" s="1" t="s">
        <v>16269</v>
      </c>
    </row>
    <row r="2992" spans="1:8" x14ac:dyDescent="0.3">
      <c r="A2992" s="2" t="s">
        <v>16270</v>
      </c>
      <c r="B2992" s="1" t="s">
        <v>12999</v>
      </c>
      <c r="C2992" s="1" t="s">
        <v>16271</v>
      </c>
      <c r="D2992" s="1" t="s">
        <v>16272</v>
      </c>
      <c r="E2992" s="1" t="s">
        <v>16273</v>
      </c>
      <c r="F2992" s="1" t="s">
        <v>16274</v>
      </c>
      <c r="G2992" s="1" t="s">
        <v>16275</v>
      </c>
      <c r="H2992" s="1" t="s">
        <v>16276</v>
      </c>
    </row>
    <row r="2993" spans="1:8" x14ac:dyDescent="0.3">
      <c r="A2993" s="2" t="s">
        <v>16277</v>
      </c>
      <c r="B2993" s="1" t="s">
        <v>13007</v>
      </c>
      <c r="C2993" s="1" t="s">
        <v>16278</v>
      </c>
      <c r="D2993" s="1" t="s">
        <v>16279</v>
      </c>
      <c r="E2993" s="1" t="s">
        <v>16280</v>
      </c>
      <c r="F2993" s="1" t="s">
        <v>16279</v>
      </c>
      <c r="G2993" s="1" t="s">
        <v>16281</v>
      </c>
      <c r="H2993" s="1" t="s">
        <v>16282</v>
      </c>
    </row>
    <row r="2994" spans="1:8" x14ac:dyDescent="0.3">
      <c r="A2994" s="2">
        <v>32282</v>
      </c>
      <c r="B2994" s="1" t="s">
        <v>16283</v>
      </c>
    </row>
    <row r="2995" spans="1:8" x14ac:dyDescent="0.3">
      <c r="A2995" s="2" t="s">
        <v>16284</v>
      </c>
      <c r="B2995" s="1" t="s">
        <v>12999</v>
      </c>
      <c r="C2995" s="1" t="s">
        <v>16285</v>
      </c>
      <c r="D2995" s="1" t="s">
        <v>16286</v>
      </c>
      <c r="E2995" s="1" t="s">
        <v>16287</v>
      </c>
      <c r="F2995" s="1" t="s">
        <v>16288</v>
      </c>
      <c r="G2995" s="1" t="s">
        <v>16289</v>
      </c>
      <c r="H2995" s="1" t="s">
        <v>16290</v>
      </c>
    </row>
    <row r="2996" spans="1:8" x14ac:dyDescent="0.3">
      <c r="A2996" s="2" t="s">
        <v>16291</v>
      </c>
      <c r="B2996" s="1" t="s">
        <v>13007</v>
      </c>
      <c r="C2996" s="1" t="s">
        <v>16292</v>
      </c>
      <c r="D2996" s="1" t="s">
        <v>16293</v>
      </c>
      <c r="E2996" s="1" t="s">
        <v>16294</v>
      </c>
      <c r="F2996" s="1" t="s">
        <v>16295</v>
      </c>
      <c r="G2996" s="1" t="s">
        <v>16296</v>
      </c>
      <c r="H2996" s="1" t="s">
        <v>16297</v>
      </c>
    </row>
    <row r="2997" spans="1:8" x14ac:dyDescent="0.3">
      <c r="A2997" s="2">
        <v>32283</v>
      </c>
      <c r="B2997" s="1" t="s">
        <v>16298</v>
      </c>
    </row>
    <row r="2998" spans="1:8" x14ac:dyDescent="0.3">
      <c r="A2998" s="2" t="s">
        <v>16299</v>
      </c>
      <c r="B2998" s="1" t="s">
        <v>12999</v>
      </c>
      <c r="C2998" s="1" t="s">
        <v>16300</v>
      </c>
      <c r="D2998" s="1" t="s">
        <v>16301</v>
      </c>
      <c r="E2998" s="1" t="s">
        <v>14828</v>
      </c>
      <c r="F2998" s="1" t="s">
        <v>14827</v>
      </c>
      <c r="G2998" s="1" t="s">
        <v>16302</v>
      </c>
      <c r="H2998" s="1" t="s">
        <v>14827</v>
      </c>
    </row>
    <row r="2999" spans="1:8" x14ac:dyDescent="0.3">
      <c r="A2999" s="2" t="s">
        <v>16303</v>
      </c>
      <c r="B2999" s="1" t="s">
        <v>13007</v>
      </c>
      <c r="C2999" s="1" t="s">
        <v>16304</v>
      </c>
      <c r="D2999" s="1" t="s">
        <v>16305</v>
      </c>
      <c r="E2999" s="1" t="s">
        <v>16306</v>
      </c>
      <c r="F2999" s="1" t="s">
        <v>16307</v>
      </c>
      <c r="G2999" s="1" t="s">
        <v>16307</v>
      </c>
      <c r="H2999" s="1" t="s">
        <v>16306</v>
      </c>
    </row>
    <row r="3000" spans="1:8" x14ac:dyDescent="0.3">
      <c r="A3000" s="2">
        <v>32284</v>
      </c>
      <c r="B3000" s="1" t="s">
        <v>16308</v>
      </c>
    </row>
    <row r="3001" spans="1:8" x14ac:dyDescent="0.3">
      <c r="A3001" s="2" t="s">
        <v>16309</v>
      </c>
      <c r="B3001" s="1" t="s">
        <v>12999</v>
      </c>
      <c r="C3001" s="1" t="s">
        <v>16310</v>
      </c>
      <c r="D3001" s="1" t="s">
        <v>16311</v>
      </c>
      <c r="E3001" s="1" t="s">
        <v>16312</v>
      </c>
      <c r="F3001" s="1" t="s">
        <v>16313</v>
      </c>
      <c r="G3001" s="1" t="s">
        <v>16314</v>
      </c>
      <c r="H3001" s="1" t="s">
        <v>16315</v>
      </c>
    </row>
    <row r="3002" spans="1:8" x14ac:dyDescent="0.3">
      <c r="A3002" s="2" t="s">
        <v>16316</v>
      </c>
      <c r="B3002" s="1" t="s">
        <v>13007</v>
      </c>
      <c r="C3002" s="1" t="s">
        <v>16317</v>
      </c>
      <c r="E3002" s="1" t="s">
        <v>16318</v>
      </c>
      <c r="F3002" s="1" t="s">
        <v>16319</v>
      </c>
      <c r="G3002" s="1" t="s">
        <v>16320</v>
      </c>
      <c r="H3002" s="1" t="s">
        <v>16321</v>
      </c>
    </row>
    <row r="3003" spans="1:8" x14ac:dyDescent="0.3">
      <c r="A3003" s="2">
        <v>32285</v>
      </c>
      <c r="B3003" s="1" t="s">
        <v>16322</v>
      </c>
    </row>
    <row r="3004" spans="1:8" x14ac:dyDescent="0.3">
      <c r="A3004" s="2" t="s">
        <v>16323</v>
      </c>
      <c r="B3004" s="1" t="s">
        <v>12999</v>
      </c>
      <c r="C3004" s="1" t="s">
        <v>16324</v>
      </c>
      <c r="D3004" s="1" t="s">
        <v>16325</v>
      </c>
      <c r="E3004" s="1" t="s">
        <v>16326</v>
      </c>
      <c r="F3004" s="1" t="s">
        <v>16327</v>
      </c>
      <c r="G3004" s="1" t="s">
        <v>16328</v>
      </c>
      <c r="H3004" s="1" t="s">
        <v>16329</v>
      </c>
    </row>
    <row r="3005" spans="1:8" x14ac:dyDescent="0.3">
      <c r="A3005" s="2" t="s">
        <v>16330</v>
      </c>
      <c r="B3005" s="1" t="s">
        <v>13007</v>
      </c>
      <c r="C3005" s="1" t="s">
        <v>16331</v>
      </c>
      <c r="E3005" s="1" t="s">
        <v>16332</v>
      </c>
      <c r="F3005" s="1" t="s">
        <v>16333</v>
      </c>
      <c r="G3005" s="1" t="s">
        <v>16334</v>
      </c>
      <c r="H3005" s="1" t="s">
        <v>16334</v>
      </c>
    </row>
    <row r="3006" spans="1:8" x14ac:dyDescent="0.3">
      <c r="A3006" s="2">
        <v>32286</v>
      </c>
      <c r="B3006" s="1" t="s">
        <v>16335</v>
      </c>
    </row>
    <row r="3007" spans="1:8" x14ac:dyDescent="0.3">
      <c r="A3007" s="2" t="s">
        <v>16336</v>
      </c>
      <c r="B3007" s="1" t="s">
        <v>12999</v>
      </c>
      <c r="C3007" s="1" t="s">
        <v>16337</v>
      </c>
      <c r="D3007" s="1" t="s">
        <v>16338</v>
      </c>
      <c r="E3007" s="1" t="s">
        <v>16339</v>
      </c>
      <c r="F3007" s="1" t="s">
        <v>16340</v>
      </c>
      <c r="G3007" s="1" t="s">
        <v>16341</v>
      </c>
      <c r="H3007" s="1" t="s">
        <v>16342</v>
      </c>
    </row>
    <row r="3008" spans="1:8" x14ac:dyDescent="0.3">
      <c r="A3008" s="2" t="s">
        <v>16343</v>
      </c>
      <c r="B3008" s="1" t="s">
        <v>13007</v>
      </c>
      <c r="C3008" s="1" t="s">
        <v>16344</v>
      </c>
      <c r="D3008" s="1" t="s">
        <v>16345</v>
      </c>
      <c r="E3008" s="1" t="s">
        <v>16346</v>
      </c>
      <c r="F3008" s="1" t="s">
        <v>16347</v>
      </c>
      <c r="G3008" s="1" t="s">
        <v>16348</v>
      </c>
      <c r="H3008" s="1" t="s">
        <v>16349</v>
      </c>
    </row>
    <row r="3009" spans="1:8" x14ac:dyDescent="0.3">
      <c r="A3009" s="2">
        <v>32287</v>
      </c>
      <c r="B3009" s="1" t="s">
        <v>16350</v>
      </c>
    </row>
    <row r="3010" spans="1:8" x14ac:dyDescent="0.3">
      <c r="A3010" s="2" t="s">
        <v>16351</v>
      </c>
      <c r="B3010" s="1" t="s">
        <v>12999</v>
      </c>
      <c r="C3010" s="1" t="s">
        <v>16352</v>
      </c>
      <c r="D3010" s="1" t="s">
        <v>16353</v>
      </c>
      <c r="E3010" s="1" t="s">
        <v>16354</v>
      </c>
      <c r="F3010" s="1" t="s">
        <v>16355</v>
      </c>
      <c r="G3010" s="1" t="s">
        <v>16356</v>
      </c>
      <c r="H3010" s="1" t="s">
        <v>16357</v>
      </c>
    </row>
    <row r="3011" spans="1:8" x14ac:dyDescent="0.3">
      <c r="A3011" s="2" t="s">
        <v>16358</v>
      </c>
      <c r="B3011" s="1" t="s">
        <v>13007</v>
      </c>
      <c r="C3011" s="1" t="s">
        <v>16359</v>
      </c>
      <c r="D3011" s="1" t="s">
        <v>16360</v>
      </c>
      <c r="E3011" s="1" t="s">
        <v>16361</v>
      </c>
      <c r="F3011" s="1" t="s">
        <v>16362</v>
      </c>
      <c r="G3011" s="1" t="s">
        <v>16363</v>
      </c>
      <c r="H3011" s="1" t="s">
        <v>16364</v>
      </c>
    </row>
    <row r="3012" spans="1:8" x14ac:dyDescent="0.3">
      <c r="A3012" s="2">
        <v>32288</v>
      </c>
      <c r="B3012" s="1" t="s">
        <v>16365</v>
      </c>
    </row>
    <row r="3013" spans="1:8" x14ac:dyDescent="0.3">
      <c r="A3013" s="2" t="s">
        <v>16366</v>
      </c>
      <c r="B3013" s="1" t="s">
        <v>12999</v>
      </c>
      <c r="C3013" s="1" t="s">
        <v>16367</v>
      </c>
      <c r="D3013" s="1" t="s">
        <v>16368</v>
      </c>
      <c r="E3013" s="1" t="s">
        <v>16369</v>
      </c>
      <c r="F3013" s="1" t="s">
        <v>16370</v>
      </c>
      <c r="G3013" s="1" t="s">
        <v>16371</v>
      </c>
      <c r="H3013" s="1" t="s">
        <v>16368</v>
      </c>
    </row>
    <row r="3014" spans="1:8" x14ac:dyDescent="0.3">
      <c r="A3014" s="2" t="s">
        <v>16372</v>
      </c>
      <c r="B3014" s="1" t="s">
        <v>13007</v>
      </c>
      <c r="C3014" s="1" t="s">
        <v>16373</v>
      </c>
      <c r="D3014" s="1" t="s">
        <v>16374</v>
      </c>
      <c r="E3014" s="1" t="s">
        <v>16375</v>
      </c>
      <c r="F3014" s="1" t="s">
        <v>16376</v>
      </c>
      <c r="G3014" s="1" t="s">
        <v>16377</v>
      </c>
      <c r="H3014" s="1" t="s">
        <v>16376</v>
      </c>
    </row>
    <row r="3015" spans="1:8" x14ac:dyDescent="0.3">
      <c r="A3015" s="2">
        <v>32289</v>
      </c>
      <c r="B3015" s="1" t="s">
        <v>16378</v>
      </c>
    </row>
    <row r="3016" spans="1:8" x14ac:dyDescent="0.3">
      <c r="A3016" s="2" t="s">
        <v>16379</v>
      </c>
      <c r="B3016" s="1" t="s">
        <v>12999</v>
      </c>
      <c r="C3016" s="1" t="s">
        <v>16380</v>
      </c>
      <c r="D3016" s="1" t="s">
        <v>16381</v>
      </c>
      <c r="E3016" s="1" t="s">
        <v>16382</v>
      </c>
      <c r="F3016" s="1" t="s">
        <v>16383</v>
      </c>
      <c r="G3016" s="1" t="s">
        <v>16384</v>
      </c>
      <c r="H3016" s="1" t="s">
        <v>10119</v>
      </c>
    </row>
    <row r="3017" spans="1:8" x14ac:dyDescent="0.3">
      <c r="A3017" s="2" t="s">
        <v>16385</v>
      </c>
      <c r="B3017" s="1" t="s">
        <v>13007</v>
      </c>
      <c r="C3017" s="1" t="s">
        <v>16386</v>
      </c>
      <c r="E3017" s="1" t="s">
        <v>16387</v>
      </c>
      <c r="F3017" s="1" t="s">
        <v>16388</v>
      </c>
      <c r="G3017" s="1" t="s">
        <v>16389</v>
      </c>
      <c r="H3017" s="1" t="s">
        <v>16390</v>
      </c>
    </row>
    <row r="3018" spans="1:8" x14ac:dyDescent="0.3">
      <c r="A3018" s="2">
        <v>32290</v>
      </c>
      <c r="B3018" s="1" t="s">
        <v>16391</v>
      </c>
    </row>
    <row r="3019" spans="1:8" x14ac:dyDescent="0.3">
      <c r="A3019" s="2" t="s">
        <v>16392</v>
      </c>
      <c r="B3019" s="1" t="s">
        <v>12999</v>
      </c>
      <c r="C3019" s="1" t="s">
        <v>16393</v>
      </c>
      <c r="D3019" s="1" t="s">
        <v>16394</v>
      </c>
      <c r="E3019" s="1" t="s">
        <v>16395</v>
      </c>
      <c r="F3019" s="1" t="s">
        <v>16396</v>
      </c>
      <c r="G3019" s="1" t="s">
        <v>16395</v>
      </c>
      <c r="H3019" s="1" t="s">
        <v>16395</v>
      </c>
    </row>
    <row r="3020" spans="1:8" x14ac:dyDescent="0.3">
      <c r="A3020" s="2" t="s">
        <v>16397</v>
      </c>
      <c r="B3020" s="1" t="s">
        <v>13007</v>
      </c>
      <c r="C3020" s="1" t="s">
        <v>16398</v>
      </c>
      <c r="D3020" s="1" t="s">
        <v>16399</v>
      </c>
      <c r="E3020" s="1" t="s">
        <v>16400</v>
      </c>
      <c r="F3020" s="1" t="s">
        <v>16401</v>
      </c>
      <c r="G3020" s="1" t="s">
        <v>16402</v>
      </c>
      <c r="H3020" s="1" t="s">
        <v>16403</v>
      </c>
    </row>
    <row r="3021" spans="1:8" x14ac:dyDescent="0.3">
      <c r="A3021" s="2">
        <v>32291</v>
      </c>
      <c r="B3021" s="1" t="s">
        <v>16404</v>
      </c>
    </row>
    <row r="3022" spans="1:8" x14ac:dyDescent="0.3">
      <c r="A3022" s="2" t="s">
        <v>16405</v>
      </c>
      <c r="B3022" s="1" t="s">
        <v>12999</v>
      </c>
      <c r="C3022" s="1" t="s">
        <v>16406</v>
      </c>
      <c r="D3022" s="1" t="s">
        <v>16407</v>
      </c>
      <c r="E3022" s="1" t="s">
        <v>16408</v>
      </c>
      <c r="F3022" s="1" t="s">
        <v>16409</v>
      </c>
      <c r="G3022" s="1" t="s">
        <v>16410</v>
      </c>
      <c r="H3022" s="1" t="s">
        <v>16411</v>
      </c>
    </row>
    <row r="3023" spans="1:8" x14ac:dyDescent="0.3">
      <c r="A3023" s="2" t="s">
        <v>16412</v>
      </c>
      <c r="B3023" s="1" t="s">
        <v>13007</v>
      </c>
      <c r="C3023" s="1" t="s">
        <v>16413</v>
      </c>
      <c r="D3023" s="1" t="s">
        <v>16414</v>
      </c>
      <c r="E3023" s="1" t="s">
        <v>16415</v>
      </c>
      <c r="F3023" s="1" t="s">
        <v>16416</v>
      </c>
      <c r="G3023" s="1" t="s">
        <v>16415</v>
      </c>
      <c r="H3023" s="1" t="s">
        <v>16417</v>
      </c>
    </row>
    <row r="3024" spans="1:8" x14ac:dyDescent="0.3">
      <c r="A3024" s="2">
        <v>32292</v>
      </c>
      <c r="B3024" s="1" t="s">
        <v>16418</v>
      </c>
    </row>
    <row r="3025" spans="1:8" x14ac:dyDescent="0.3">
      <c r="A3025" s="2" t="s">
        <v>16419</v>
      </c>
      <c r="B3025" s="1" t="s">
        <v>12999</v>
      </c>
      <c r="C3025" s="1" t="s">
        <v>16420</v>
      </c>
      <c r="D3025" s="1" t="s">
        <v>16421</v>
      </c>
      <c r="E3025" s="1" t="s">
        <v>16422</v>
      </c>
      <c r="F3025" s="1" t="s">
        <v>16423</v>
      </c>
      <c r="G3025" s="1" t="s">
        <v>16424</v>
      </c>
      <c r="H3025" s="1" t="s">
        <v>16425</v>
      </c>
    </row>
    <row r="3026" spans="1:8" x14ac:dyDescent="0.3">
      <c r="A3026" s="2" t="s">
        <v>16426</v>
      </c>
      <c r="B3026" s="1" t="s">
        <v>13007</v>
      </c>
      <c r="C3026" s="1" t="s">
        <v>16427</v>
      </c>
      <c r="E3026" s="1" t="s">
        <v>16428</v>
      </c>
      <c r="G3026" s="1" t="s">
        <v>16429</v>
      </c>
      <c r="H3026" s="1" t="s">
        <v>16430</v>
      </c>
    </row>
    <row r="3027" spans="1:8" x14ac:dyDescent="0.3">
      <c r="A3027" s="2">
        <v>32293</v>
      </c>
      <c r="B3027" s="1" t="s">
        <v>16431</v>
      </c>
    </row>
    <row r="3028" spans="1:8" x14ac:dyDescent="0.3">
      <c r="A3028" s="2" t="s">
        <v>16432</v>
      </c>
      <c r="B3028" s="1" t="s">
        <v>12999</v>
      </c>
      <c r="C3028" s="1" t="s">
        <v>16433</v>
      </c>
      <c r="E3028" s="1" t="s">
        <v>16434</v>
      </c>
      <c r="F3028" s="1" t="s">
        <v>16435</v>
      </c>
      <c r="G3028" s="1" t="s">
        <v>16436</v>
      </c>
      <c r="H3028" s="1" t="s">
        <v>16437</v>
      </c>
    </row>
    <row r="3029" spans="1:8" x14ac:dyDescent="0.3">
      <c r="A3029" s="2" t="s">
        <v>16438</v>
      </c>
      <c r="B3029" s="1" t="s">
        <v>13007</v>
      </c>
      <c r="C3029" s="1" t="s">
        <v>16439</v>
      </c>
      <c r="D3029" s="1" t="s">
        <v>16440</v>
      </c>
      <c r="E3029" s="1" t="s">
        <v>16441</v>
      </c>
      <c r="F3029" s="1" t="s">
        <v>16442</v>
      </c>
      <c r="G3029" s="1" t="s">
        <v>16443</v>
      </c>
      <c r="H3029" s="1" t="s">
        <v>16441</v>
      </c>
    </row>
    <row r="3030" spans="1:8" x14ac:dyDescent="0.3">
      <c r="A3030" s="2">
        <v>32294</v>
      </c>
      <c r="B3030" s="1" t="s">
        <v>16444</v>
      </c>
    </row>
    <row r="3031" spans="1:8" x14ac:dyDescent="0.3">
      <c r="A3031" s="2" t="s">
        <v>16445</v>
      </c>
      <c r="B3031" s="1" t="s">
        <v>12999</v>
      </c>
      <c r="C3031" s="1" t="s">
        <v>16446</v>
      </c>
      <c r="D3031" s="1" t="s">
        <v>16447</v>
      </c>
      <c r="E3031" s="1" t="s">
        <v>16448</v>
      </c>
      <c r="F3031" s="1" t="s">
        <v>16449</v>
      </c>
      <c r="G3031" s="1" t="s">
        <v>16450</v>
      </c>
      <c r="H3031" s="1" t="s">
        <v>16451</v>
      </c>
    </row>
    <row r="3032" spans="1:8" x14ac:dyDescent="0.3">
      <c r="A3032" s="2" t="s">
        <v>16452</v>
      </c>
      <c r="B3032" s="1" t="s">
        <v>13007</v>
      </c>
      <c r="C3032" s="1" t="s">
        <v>16453</v>
      </c>
      <c r="D3032" s="1" t="s">
        <v>16454</v>
      </c>
      <c r="E3032" s="1" t="s">
        <v>16455</v>
      </c>
      <c r="F3032" s="1" t="s">
        <v>16454</v>
      </c>
      <c r="G3032" s="1" t="s">
        <v>16456</v>
      </c>
      <c r="H3032" s="1" t="s">
        <v>16457</v>
      </c>
    </row>
    <row r="3033" spans="1:8" x14ac:dyDescent="0.3">
      <c r="A3033" s="2">
        <v>32295</v>
      </c>
      <c r="B3033" s="1" t="s">
        <v>16458</v>
      </c>
    </row>
    <row r="3034" spans="1:8" x14ac:dyDescent="0.3">
      <c r="A3034" s="2" t="s">
        <v>16459</v>
      </c>
      <c r="B3034" s="1" t="s">
        <v>12999</v>
      </c>
      <c r="C3034" s="1" t="s">
        <v>16460</v>
      </c>
      <c r="E3034" s="1" t="s">
        <v>16461</v>
      </c>
      <c r="F3034" s="1" t="s">
        <v>13204</v>
      </c>
      <c r="G3034" s="1" t="s">
        <v>16462</v>
      </c>
      <c r="H3034" s="1" t="s">
        <v>16463</v>
      </c>
    </row>
    <row r="3035" spans="1:8" x14ac:dyDescent="0.3">
      <c r="A3035" s="2" t="s">
        <v>16464</v>
      </c>
      <c r="B3035" s="1" t="s">
        <v>13007</v>
      </c>
      <c r="C3035" s="1" t="s">
        <v>16465</v>
      </c>
      <c r="D3035" s="1" t="s">
        <v>16466</v>
      </c>
      <c r="E3035" s="1" t="s">
        <v>16467</v>
      </c>
      <c r="F3035" s="1" t="s">
        <v>16468</v>
      </c>
      <c r="G3035" s="1" t="s">
        <v>16469</v>
      </c>
      <c r="H3035" s="1" t="s">
        <v>16470</v>
      </c>
    </row>
    <row r="3036" spans="1:8" x14ac:dyDescent="0.3">
      <c r="A3036" s="2">
        <v>32296</v>
      </c>
      <c r="B3036" s="1" t="s">
        <v>16471</v>
      </c>
    </row>
    <row r="3037" spans="1:8" x14ac:dyDescent="0.3">
      <c r="A3037" s="2" t="s">
        <v>16472</v>
      </c>
      <c r="B3037" s="1" t="s">
        <v>12999</v>
      </c>
      <c r="C3037" s="1" t="s">
        <v>16473</v>
      </c>
      <c r="D3037" s="1" t="s">
        <v>16474</v>
      </c>
      <c r="E3037" s="1" t="s">
        <v>16475</v>
      </c>
      <c r="F3037" s="1" t="s">
        <v>16476</v>
      </c>
      <c r="G3037" s="1" t="s">
        <v>16477</v>
      </c>
      <c r="H3037" s="1" t="s">
        <v>16478</v>
      </c>
    </row>
    <row r="3038" spans="1:8" x14ac:dyDescent="0.3">
      <c r="A3038" s="2" t="s">
        <v>16479</v>
      </c>
      <c r="B3038" s="1" t="s">
        <v>13007</v>
      </c>
      <c r="C3038" s="1" t="s">
        <v>16480</v>
      </c>
      <c r="E3038" s="1" t="s">
        <v>16481</v>
      </c>
      <c r="F3038" s="1" t="s">
        <v>16482</v>
      </c>
      <c r="G3038" s="1" t="s">
        <v>16483</v>
      </c>
      <c r="H3038" s="1" t="s">
        <v>16484</v>
      </c>
    </row>
    <row r="3039" spans="1:8" x14ac:dyDescent="0.3">
      <c r="A3039" s="2">
        <v>32297</v>
      </c>
      <c r="B3039" s="1" t="s">
        <v>16485</v>
      </c>
    </row>
    <row r="3040" spans="1:8" x14ac:dyDescent="0.3">
      <c r="A3040" s="2" t="s">
        <v>16486</v>
      </c>
      <c r="B3040" s="1" t="s">
        <v>12999</v>
      </c>
      <c r="C3040" s="1" t="s">
        <v>16487</v>
      </c>
      <c r="D3040" s="1" t="s">
        <v>16488</v>
      </c>
      <c r="E3040" s="1" t="s">
        <v>16489</v>
      </c>
      <c r="F3040" s="1" t="s">
        <v>16490</v>
      </c>
      <c r="H3040" s="1" t="s">
        <v>16491</v>
      </c>
    </row>
    <row r="3041" spans="1:8" x14ac:dyDescent="0.3">
      <c r="A3041" s="2" t="s">
        <v>16492</v>
      </c>
      <c r="B3041" s="1" t="s">
        <v>13007</v>
      </c>
      <c r="C3041" s="1" t="s">
        <v>16493</v>
      </c>
      <c r="D3041" s="1" t="s">
        <v>16494</v>
      </c>
      <c r="E3041" s="1" t="s">
        <v>16495</v>
      </c>
      <c r="F3041" s="1" t="s">
        <v>16496</v>
      </c>
      <c r="H3041" s="1" t="s">
        <v>16497</v>
      </c>
    </row>
    <row r="3042" spans="1:8" x14ac:dyDescent="0.3">
      <c r="A3042" s="2">
        <v>32298</v>
      </c>
      <c r="B3042" s="1" t="s">
        <v>16498</v>
      </c>
    </row>
    <row r="3043" spans="1:8" x14ac:dyDescent="0.3">
      <c r="A3043" s="2" t="s">
        <v>16499</v>
      </c>
      <c r="B3043" s="1" t="s">
        <v>12999</v>
      </c>
      <c r="C3043" s="1" t="s">
        <v>16500</v>
      </c>
      <c r="D3043" s="1" t="s">
        <v>16501</v>
      </c>
      <c r="E3043" s="1" t="s">
        <v>16502</v>
      </c>
      <c r="F3043" s="1" t="s">
        <v>16503</v>
      </c>
      <c r="G3043" s="1" t="s">
        <v>16502</v>
      </c>
      <c r="H3043" s="1" t="s">
        <v>16502</v>
      </c>
    </row>
    <row r="3044" spans="1:8" x14ac:dyDescent="0.3">
      <c r="A3044" s="2" t="s">
        <v>16504</v>
      </c>
      <c r="B3044" s="1" t="s">
        <v>13007</v>
      </c>
      <c r="C3044" s="1" t="s">
        <v>16505</v>
      </c>
      <c r="D3044" s="1" t="s">
        <v>16506</v>
      </c>
      <c r="E3044" s="1" t="s">
        <v>16507</v>
      </c>
      <c r="F3044" s="1" t="s">
        <v>16508</v>
      </c>
      <c r="G3044" s="1" t="s">
        <v>16509</v>
      </c>
      <c r="H3044" s="1" t="s">
        <v>16509</v>
      </c>
    </row>
    <row r="3045" spans="1:8" x14ac:dyDescent="0.3">
      <c r="A3045" s="2">
        <v>32299</v>
      </c>
      <c r="B3045" s="1" t="s">
        <v>16510</v>
      </c>
    </row>
    <row r="3046" spans="1:8" x14ac:dyDescent="0.3">
      <c r="A3046" s="2" t="s">
        <v>16511</v>
      </c>
      <c r="B3046" s="1" t="s">
        <v>12999</v>
      </c>
      <c r="C3046" s="1" t="s">
        <v>16512</v>
      </c>
      <c r="D3046" s="1" t="s">
        <v>16513</v>
      </c>
      <c r="E3046" s="1" t="s">
        <v>16514</v>
      </c>
      <c r="F3046" s="1" t="s">
        <v>16515</v>
      </c>
      <c r="G3046" s="1" t="s">
        <v>16516</v>
      </c>
      <c r="H3046" s="1" t="s">
        <v>16517</v>
      </c>
    </row>
    <row r="3047" spans="1:8" x14ac:dyDescent="0.3">
      <c r="A3047" s="2" t="s">
        <v>16518</v>
      </c>
      <c r="B3047" s="1" t="s">
        <v>13007</v>
      </c>
      <c r="C3047" s="1" t="s">
        <v>16519</v>
      </c>
      <c r="E3047" s="1" t="s">
        <v>16520</v>
      </c>
      <c r="F3047" s="1" t="s">
        <v>16521</v>
      </c>
      <c r="G3047" s="1" t="s">
        <v>16522</v>
      </c>
      <c r="H3047" s="1" t="s">
        <v>16522</v>
      </c>
    </row>
    <row r="3048" spans="1:8" x14ac:dyDescent="0.3">
      <c r="A3048" s="2">
        <v>32300</v>
      </c>
      <c r="B3048" s="1" t="s">
        <v>16523</v>
      </c>
    </row>
    <row r="3049" spans="1:8" x14ac:dyDescent="0.3">
      <c r="A3049" s="2" t="s">
        <v>16524</v>
      </c>
      <c r="B3049" s="1" t="s">
        <v>12999</v>
      </c>
      <c r="C3049" s="1" t="s">
        <v>16525</v>
      </c>
      <c r="D3049" s="1" t="s">
        <v>16526</v>
      </c>
      <c r="E3049" s="1" t="s">
        <v>16527</v>
      </c>
      <c r="F3049" s="1" t="s">
        <v>16527</v>
      </c>
      <c r="G3049" s="1" t="s">
        <v>16527</v>
      </c>
      <c r="H3049" s="1" t="s">
        <v>16528</v>
      </c>
    </row>
    <row r="3050" spans="1:8" x14ac:dyDescent="0.3">
      <c r="A3050" s="2" t="s">
        <v>16529</v>
      </c>
      <c r="B3050" s="1" t="s">
        <v>13007</v>
      </c>
      <c r="C3050" s="1" t="s">
        <v>16530</v>
      </c>
      <c r="D3050" s="1" t="s">
        <v>16531</v>
      </c>
      <c r="E3050" s="1" t="s">
        <v>16532</v>
      </c>
      <c r="F3050" s="1" t="s">
        <v>16531</v>
      </c>
      <c r="G3050" s="1" t="s">
        <v>16533</v>
      </c>
      <c r="H3050" s="1" t="s">
        <v>16531</v>
      </c>
    </row>
    <row r="3051" spans="1:8" x14ac:dyDescent="0.3">
      <c r="A3051" s="2">
        <v>32301</v>
      </c>
      <c r="B3051" s="1" t="s">
        <v>16534</v>
      </c>
    </row>
    <row r="3052" spans="1:8" x14ac:dyDescent="0.3">
      <c r="A3052" s="2" t="s">
        <v>16535</v>
      </c>
      <c r="B3052" s="1" t="s">
        <v>12999</v>
      </c>
      <c r="C3052" s="1" t="s">
        <v>16536</v>
      </c>
      <c r="D3052" s="1" t="s">
        <v>16537</v>
      </c>
      <c r="E3052" s="1" t="s">
        <v>16538</v>
      </c>
      <c r="F3052" s="1" t="s">
        <v>16539</v>
      </c>
      <c r="G3052" s="1" t="s">
        <v>16540</v>
      </c>
      <c r="H3052" s="1" t="s">
        <v>16539</v>
      </c>
    </row>
    <row r="3053" spans="1:8" x14ac:dyDescent="0.3">
      <c r="A3053" s="2" t="s">
        <v>16541</v>
      </c>
      <c r="B3053" s="1" t="s">
        <v>13007</v>
      </c>
      <c r="C3053" s="1" t="s">
        <v>16542</v>
      </c>
      <c r="D3053" s="1" t="s">
        <v>16543</v>
      </c>
      <c r="E3053" s="1" t="s">
        <v>16544</v>
      </c>
      <c r="F3053" s="1" t="s">
        <v>16545</v>
      </c>
      <c r="G3053" s="1" t="s">
        <v>16543</v>
      </c>
      <c r="H3053" s="1" t="s">
        <v>16546</v>
      </c>
    </row>
    <row r="3054" spans="1:8" x14ac:dyDescent="0.3">
      <c r="A3054" s="2">
        <v>32302</v>
      </c>
      <c r="B3054" s="1" t="s">
        <v>16547</v>
      </c>
    </row>
    <row r="3055" spans="1:8" x14ac:dyDescent="0.3">
      <c r="A3055" s="2" t="s">
        <v>16548</v>
      </c>
      <c r="B3055" s="1" t="s">
        <v>12999</v>
      </c>
      <c r="C3055" s="1" t="s">
        <v>16549</v>
      </c>
      <c r="D3055" s="1" t="s">
        <v>16550</v>
      </c>
      <c r="E3055" s="1" t="s">
        <v>16551</v>
      </c>
      <c r="F3055" s="1" t="s">
        <v>16552</v>
      </c>
      <c r="G3055" s="1" t="s">
        <v>16553</v>
      </c>
      <c r="H3055" s="1" t="s">
        <v>16554</v>
      </c>
    </row>
    <row r="3056" spans="1:8" x14ac:dyDescent="0.3">
      <c r="A3056" s="2" t="s">
        <v>16555</v>
      </c>
      <c r="B3056" s="1" t="s">
        <v>13007</v>
      </c>
      <c r="C3056" s="1" t="s">
        <v>16556</v>
      </c>
      <c r="D3056" s="1" t="s">
        <v>16557</v>
      </c>
      <c r="E3056" s="1" t="s">
        <v>16558</v>
      </c>
      <c r="F3056" s="1" t="s">
        <v>16559</v>
      </c>
      <c r="G3056" s="1" t="s">
        <v>16560</v>
      </c>
      <c r="H3056" s="1" t="s">
        <v>16561</v>
      </c>
    </row>
    <row r="3057" spans="1:8" x14ac:dyDescent="0.3">
      <c r="A3057" s="2">
        <v>32303</v>
      </c>
      <c r="B3057" s="1" t="s">
        <v>16562</v>
      </c>
    </row>
    <row r="3058" spans="1:8" x14ac:dyDescent="0.3">
      <c r="A3058" s="2" t="s">
        <v>16563</v>
      </c>
      <c r="B3058" s="1" t="s">
        <v>12999</v>
      </c>
      <c r="C3058" s="1" t="s">
        <v>16564</v>
      </c>
      <c r="D3058" s="1" t="s">
        <v>16565</v>
      </c>
      <c r="E3058" s="1" t="s">
        <v>16566</v>
      </c>
      <c r="F3058" s="1" t="s">
        <v>16567</v>
      </c>
      <c r="G3058" s="1" t="s">
        <v>16568</v>
      </c>
      <c r="H3058" s="1" t="s">
        <v>16569</v>
      </c>
    </row>
    <row r="3059" spans="1:8" x14ac:dyDescent="0.3">
      <c r="A3059" s="2" t="s">
        <v>16570</v>
      </c>
      <c r="B3059" s="1" t="s">
        <v>13007</v>
      </c>
      <c r="C3059" s="1" t="s">
        <v>16571</v>
      </c>
      <c r="D3059" s="1" t="s">
        <v>16572</v>
      </c>
      <c r="E3059" s="1" t="s">
        <v>16573</v>
      </c>
      <c r="F3059" s="1" t="s">
        <v>16574</v>
      </c>
      <c r="G3059" s="1" t="s">
        <v>16575</v>
      </c>
      <c r="H3059" s="1" t="s">
        <v>16576</v>
      </c>
    </row>
    <row r="3060" spans="1:8" x14ac:dyDescent="0.3">
      <c r="A3060" s="2">
        <v>32304</v>
      </c>
      <c r="B3060" s="1" t="s">
        <v>16577</v>
      </c>
    </row>
    <row r="3061" spans="1:8" x14ac:dyDescent="0.3">
      <c r="A3061" s="2" t="s">
        <v>16578</v>
      </c>
      <c r="B3061" s="1" t="s">
        <v>12999</v>
      </c>
      <c r="C3061" s="1" t="s">
        <v>16579</v>
      </c>
      <c r="D3061" s="1" t="s">
        <v>16580</v>
      </c>
      <c r="E3061" s="1" t="s">
        <v>16581</v>
      </c>
      <c r="F3061" s="1" t="s">
        <v>16582</v>
      </c>
      <c r="G3061" s="1" t="s">
        <v>16583</v>
      </c>
      <c r="H3061" s="1" t="s">
        <v>16584</v>
      </c>
    </row>
    <row r="3062" spans="1:8" x14ac:dyDescent="0.3">
      <c r="A3062" s="2" t="s">
        <v>16585</v>
      </c>
      <c r="B3062" s="1" t="s">
        <v>13007</v>
      </c>
      <c r="C3062" s="1" t="s">
        <v>16586</v>
      </c>
      <c r="D3062" s="1" t="s">
        <v>16587</v>
      </c>
      <c r="E3062" s="1" t="s">
        <v>16588</v>
      </c>
      <c r="F3062" s="1" t="s">
        <v>16589</v>
      </c>
      <c r="G3062" s="1" t="s">
        <v>16589</v>
      </c>
      <c r="H3062" s="1" t="s">
        <v>16590</v>
      </c>
    </row>
    <row r="3063" spans="1:8" x14ac:dyDescent="0.3">
      <c r="A3063" s="2">
        <v>32305</v>
      </c>
      <c r="B3063" s="1" t="s">
        <v>16591</v>
      </c>
    </row>
    <row r="3064" spans="1:8" x14ac:dyDescent="0.3">
      <c r="A3064" s="2" t="s">
        <v>16592</v>
      </c>
      <c r="B3064" s="1" t="s">
        <v>12999</v>
      </c>
      <c r="C3064" s="1" t="s">
        <v>16593</v>
      </c>
      <c r="D3064" s="1" t="s">
        <v>16594</v>
      </c>
      <c r="E3064" s="1" t="s">
        <v>16595</v>
      </c>
      <c r="F3064" s="1" t="s">
        <v>16596</v>
      </c>
      <c r="G3064" s="1" t="s">
        <v>16597</v>
      </c>
      <c r="H3064" s="1" t="s">
        <v>16595</v>
      </c>
    </row>
    <row r="3065" spans="1:8" x14ac:dyDescent="0.3">
      <c r="A3065" s="2" t="s">
        <v>16598</v>
      </c>
      <c r="B3065" s="1" t="s">
        <v>13007</v>
      </c>
      <c r="C3065" s="1" t="s">
        <v>16599</v>
      </c>
      <c r="D3065" s="1" t="s">
        <v>16600</v>
      </c>
      <c r="E3065" s="1" t="s">
        <v>16601</v>
      </c>
      <c r="F3065" s="1" t="s">
        <v>16602</v>
      </c>
      <c r="G3065" s="1" t="s">
        <v>16603</v>
      </c>
      <c r="H3065" s="1" t="s">
        <v>16604</v>
      </c>
    </row>
    <row r="3066" spans="1:8" x14ac:dyDescent="0.3">
      <c r="A3066" s="2">
        <v>32306</v>
      </c>
      <c r="B3066" s="1" t="s">
        <v>16605</v>
      </c>
    </row>
    <row r="3067" spans="1:8" x14ac:dyDescent="0.3">
      <c r="A3067" s="2" t="s">
        <v>16606</v>
      </c>
      <c r="B3067" s="1" t="s">
        <v>12999</v>
      </c>
      <c r="C3067" s="1" t="s">
        <v>16607</v>
      </c>
      <c r="D3067" s="1" t="s">
        <v>16608</v>
      </c>
      <c r="E3067" s="1" t="s">
        <v>16609</v>
      </c>
      <c r="F3067" s="1" t="s">
        <v>16610</v>
      </c>
      <c r="G3067" s="1" t="s">
        <v>16611</v>
      </c>
      <c r="H3067" s="1" t="s">
        <v>16612</v>
      </c>
    </row>
    <row r="3068" spans="1:8" x14ac:dyDescent="0.3">
      <c r="A3068" s="2" t="s">
        <v>16613</v>
      </c>
      <c r="B3068" s="1" t="s">
        <v>13007</v>
      </c>
      <c r="C3068" s="1" t="s">
        <v>16614</v>
      </c>
      <c r="D3068" s="1" t="s">
        <v>16615</v>
      </c>
      <c r="E3068" s="1" t="s">
        <v>16616</v>
      </c>
      <c r="F3068" s="1" t="s">
        <v>16617</v>
      </c>
      <c r="G3068" s="1" t="s">
        <v>16618</v>
      </c>
      <c r="H3068" s="1" t="s">
        <v>16619</v>
      </c>
    </row>
    <row r="3069" spans="1:8" x14ac:dyDescent="0.3">
      <c r="A3069" s="2">
        <v>32307</v>
      </c>
      <c r="B3069" s="1" t="s">
        <v>16620</v>
      </c>
    </row>
    <row r="3070" spans="1:8" x14ac:dyDescent="0.3">
      <c r="A3070" s="2" t="s">
        <v>16621</v>
      </c>
      <c r="B3070" s="1" t="s">
        <v>12999</v>
      </c>
      <c r="C3070" s="1" t="s">
        <v>16622</v>
      </c>
      <c r="D3070" s="1" t="s">
        <v>16623</v>
      </c>
      <c r="E3070" s="1" t="s">
        <v>16624</v>
      </c>
      <c r="G3070" s="1" t="s">
        <v>16625</v>
      </c>
      <c r="H3070" s="1" t="s">
        <v>16626</v>
      </c>
    </row>
    <row r="3071" spans="1:8" x14ac:dyDescent="0.3">
      <c r="A3071" s="2" t="s">
        <v>16627</v>
      </c>
      <c r="B3071" s="1" t="s">
        <v>13007</v>
      </c>
      <c r="C3071" s="1" t="s">
        <v>16628</v>
      </c>
      <c r="E3071" s="1" t="s">
        <v>16629</v>
      </c>
      <c r="H3071" s="1" t="s">
        <v>16630</v>
      </c>
    </row>
    <row r="3072" spans="1:8" x14ac:dyDescent="0.3">
      <c r="A3072" s="2">
        <v>32308</v>
      </c>
      <c r="B3072" s="1" t="s">
        <v>16631</v>
      </c>
      <c r="F3072" s="1" t="s">
        <v>57</v>
      </c>
    </row>
    <row r="3073" spans="1:8" x14ac:dyDescent="0.3">
      <c r="A3073" s="2" t="s">
        <v>16632</v>
      </c>
      <c r="B3073" s="1" t="s">
        <v>12999</v>
      </c>
      <c r="C3073" s="1" t="s">
        <v>16633</v>
      </c>
      <c r="D3073" s="1" t="s">
        <v>16634</v>
      </c>
      <c r="G3073" s="1" t="s">
        <v>16635</v>
      </c>
      <c r="H3073" s="1" t="s">
        <v>16636</v>
      </c>
    </row>
    <row r="3074" spans="1:8" x14ac:dyDescent="0.3">
      <c r="A3074" s="2" t="s">
        <v>16637</v>
      </c>
      <c r="B3074" s="1" t="s">
        <v>13007</v>
      </c>
      <c r="C3074" s="1" t="s">
        <v>16638</v>
      </c>
      <c r="D3074" s="1" t="s">
        <v>16639</v>
      </c>
      <c r="G3074" s="1" t="s">
        <v>16640</v>
      </c>
      <c r="H3074" s="1" t="s">
        <v>16641</v>
      </c>
    </row>
    <row r="3075" spans="1:8" x14ac:dyDescent="0.3">
      <c r="A3075" s="2">
        <v>32309</v>
      </c>
      <c r="B3075" s="1" t="s">
        <v>16642</v>
      </c>
    </row>
    <row r="3076" spans="1:8" x14ac:dyDescent="0.3">
      <c r="A3076" s="2" t="s">
        <v>16643</v>
      </c>
      <c r="B3076" s="1" t="s">
        <v>12999</v>
      </c>
      <c r="C3076" s="1" t="s">
        <v>16644</v>
      </c>
      <c r="D3076" s="1" t="s">
        <v>16645</v>
      </c>
      <c r="E3076" s="1" t="s">
        <v>16646</v>
      </c>
      <c r="F3076" s="1" t="s">
        <v>16647</v>
      </c>
      <c r="G3076" s="1" t="s">
        <v>16648</v>
      </c>
      <c r="H3076" s="1" t="s">
        <v>16649</v>
      </c>
    </row>
    <row r="3077" spans="1:8" x14ac:dyDescent="0.3">
      <c r="A3077" s="2" t="s">
        <v>16650</v>
      </c>
      <c r="B3077" s="1" t="s">
        <v>13007</v>
      </c>
      <c r="C3077" s="1" t="s">
        <v>16651</v>
      </c>
      <c r="D3077" s="1" t="s">
        <v>16652</v>
      </c>
      <c r="E3077" s="1" t="s">
        <v>15169</v>
      </c>
      <c r="F3077" s="1" t="s">
        <v>16653</v>
      </c>
      <c r="G3077" s="1" t="s">
        <v>15170</v>
      </c>
      <c r="H3077" s="1" t="s">
        <v>16653</v>
      </c>
    </row>
    <row r="3078" spans="1:8" x14ac:dyDescent="0.3">
      <c r="A3078" s="2">
        <v>32310</v>
      </c>
      <c r="B3078" s="1" t="s">
        <v>16654</v>
      </c>
    </row>
    <row r="3079" spans="1:8" x14ac:dyDescent="0.3">
      <c r="A3079" s="2" t="s">
        <v>16655</v>
      </c>
      <c r="B3079" s="1" t="s">
        <v>12999</v>
      </c>
      <c r="C3079" s="1" t="s">
        <v>16656</v>
      </c>
      <c r="D3079" s="1" t="s">
        <v>16657</v>
      </c>
      <c r="E3079" s="1" t="s">
        <v>16658</v>
      </c>
      <c r="F3079" s="1" t="s">
        <v>16659</v>
      </c>
      <c r="G3079" s="1" t="s">
        <v>16660</v>
      </c>
      <c r="H3079" s="1" t="s">
        <v>16661</v>
      </c>
    </row>
    <row r="3080" spans="1:8" x14ac:dyDescent="0.3">
      <c r="A3080" s="2" t="s">
        <v>16662</v>
      </c>
      <c r="B3080" s="1" t="s">
        <v>13007</v>
      </c>
      <c r="C3080" s="1" t="s">
        <v>16663</v>
      </c>
      <c r="D3080" s="1" t="s">
        <v>16664</v>
      </c>
      <c r="E3080" s="1" t="s">
        <v>16665</v>
      </c>
      <c r="F3080" s="1" t="s">
        <v>16666</v>
      </c>
      <c r="G3080" s="1" t="s">
        <v>16667</v>
      </c>
      <c r="H3080" s="1" t="s">
        <v>16665</v>
      </c>
    </row>
    <row r="3081" spans="1:8" x14ac:dyDescent="0.3">
      <c r="A3081" s="2">
        <v>32311</v>
      </c>
      <c r="B3081" s="1" t="s">
        <v>16668</v>
      </c>
    </row>
    <row r="3082" spans="1:8" x14ac:dyDescent="0.3">
      <c r="A3082" s="2" t="s">
        <v>16669</v>
      </c>
      <c r="B3082" s="1" t="s">
        <v>12999</v>
      </c>
      <c r="C3082" s="1" t="s">
        <v>16670</v>
      </c>
      <c r="E3082" s="1" t="s">
        <v>16671</v>
      </c>
      <c r="F3082" s="1" t="s">
        <v>16672</v>
      </c>
      <c r="G3082" s="1" t="s">
        <v>16673</v>
      </c>
      <c r="H3082" s="1" t="s">
        <v>16674</v>
      </c>
    </row>
    <row r="3083" spans="1:8" x14ac:dyDescent="0.3">
      <c r="A3083" s="2" t="s">
        <v>16675</v>
      </c>
      <c r="B3083" s="1" t="s">
        <v>13007</v>
      </c>
      <c r="C3083" s="1" t="s">
        <v>16676</v>
      </c>
      <c r="E3083" s="1" t="s">
        <v>16677</v>
      </c>
      <c r="F3083" s="1" t="s">
        <v>16678</v>
      </c>
      <c r="G3083" s="1" t="s">
        <v>16679</v>
      </c>
      <c r="H3083" s="1" t="s">
        <v>16680</v>
      </c>
    </row>
    <row r="3084" spans="1:8" x14ac:dyDescent="0.3">
      <c r="A3084" s="2">
        <v>32312</v>
      </c>
      <c r="B3084" s="1" t="s">
        <v>16681</v>
      </c>
    </row>
    <row r="3085" spans="1:8" x14ac:dyDescent="0.3">
      <c r="A3085" s="2" t="s">
        <v>16682</v>
      </c>
      <c r="B3085" s="1" t="s">
        <v>12999</v>
      </c>
      <c r="C3085" s="1" t="s">
        <v>16683</v>
      </c>
      <c r="D3085" s="1" t="s">
        <v>16684</v>
      </c>
      <c r="E3085" s="1" t="s">
        <v>16685</v>
      </c>
      <c r="F3085" s="1" t="s">
        <v>16686</v>
      </c>
      <c r="G3085" s="1" t="s">
        <v>16673</v>
      </c>
      <c r="H3085" s="1" t="s">
        <v>16687</v>
      </c>
    </row>
    <row r="3086" spans="1:8" x14ac:dyDescent="0.3">
      <c r="A3086" s="2" t="s">
        <v>16688</v>
      </c>
      <c r="B3086" s="1" t="s">
        <v>13007</v>
      </c>
      <c r="C3086" s="1" t="s">
        <v>16689</v>
      </c>
      <c r="D3086" s="1" t="s">
        <v>16690</v>
      </c>
      <c r="E3086" s="1" t="s">
        <v>16691</v>
      </c>
      <c r="F3086" s="1" t="s">
        <v>16692</v>
      </c>
      <c r="G3086" s="1" t="s">
        <v>16679</v>
      </c>
      <c r="H3086" s="1" t="s">
        <v>16693</v>
      </c>
    </row>
    <row r="3087" spans="1:8" x14ac:dyDescent="0.3">
      <c r="A3087" s="2">
        <v>32313</v>
      </c>
      <c r="B3087" s="1" t="s">
        <v>16694</v>
      </c>
    </row>
    <row r="3088" spans="1:8" x14ac:dyDescent="0.3">
      <c r="A3088" s="2" t="s">
        <v>16695</v>
      </c>
      <c r="B3088" s="1" t="s">
        <v>12999</v>
      </c>
      <c r="C3088" s="1" t="s">
        <v>16696</v>
      </c>
      <c r="D3088" s="1" t="s">
        <v>16697</v>
      </c>
      <c r="E3088" s="1" t="s">
        <v>16698</v>
      </c>
      <c r="F3088" s="1" t="s">
        <v>16699</v>
      </c>
      <c r="G3088" s="1" t="s">
        <v>16700</v>
      </c>
      <c r="H3088" s="1" t="s">
        <v>16701</v>
      </c>
    </row>
    <row r="3089" spans="1:8" x14ac:dyDescent="0.3">
      <c r="A3089" s="2" t="s">
        <v>16702</v>
      </c>
      <c r="B3089" s="1" t="s">
        <v>13007</v>
      </c>
      <c r="C3089" s="1" t="s">
        <v>16703</v>
      </c>
      <c r="D3089" s="1" t="s">
        <v>16704</v>
      </c>
      <c r="E3089" s="1" t="s">
        <v>16705</v>
      </c>
      <c r="F3089" s="1" t="s">
        <v>16706</v>
      </c>
      <c r="G3089" s="1" t="s">
        <v>16707</v>
      </c>
      <c r="H3089" s="1" t="s">
        <v>16706</v>
      </c>
    </row>
    <row r="3090" spans="1:8" x14ac:dyDescent="0.3">
      <c r="A3090" s="2">
        <v>32314</v>
      </c>
      <c r="B3090" s="1" t="s">
        <v>16708</v>
      </c>
    </row>
    <row r="3091" spans="1:8" x14ac:dyDescent="0.3">
      <c r="A3091" s="2" t="s">
        <v>16709</v>
      </c>
      <c r="B3091" s="1" t="s">
        <v>12999</v>
      </c>
      <c r="E3091" s="1" t="s">
        <v>16710</v>
      </c>
      <c r="F3091" s="1" t="s">
        <v>57</v>
      </c>
      <c r="G3091" s="1" t="s">
        <v>16711</v>
      </c>
    </row>
    <row r="3092" spans="1:8" x14ac:dyDescent="0.3">
      <c r="A3092" s="2" t="s">
        <v>16712</v>
      </c>
      <c r="B3092" s="1" t="s">
        <v>13007</v>
      </c>
      <c r="E3092" s="1" t="s">
        <v>16713</v>
      </c>
      <c r="F3092" s="1" t="s">
        <v>57</v>
      </c>
      <c r="G3092" s="1" t="s">
        <v>16714</v>
      </c>
    </row>
    <row r="3093" spans="1:8" x14ac:dyDescent="0.3">
      <c r="A3093" s="2">
        <v>32315</v>
      </c>
      <c r="B3093" s="1" t="s">
        <v>16715</v>
      </c>
    </row>
    <row r="3094" spans="1:8" x14ac:dyDescent="0.3">
      <c r="A3094" s="2" t="s">
        <v>16716</v>
      </c>
      <c r="B3094" s="1" t="s">
        <v>12999</v>
      </c>
      <c r="C3094" s="1" t="s">
        <v>16717</v>
      </c>
      <c r="D3094" s="1" t="s">
        <v>16718</v>
      </c>
      <c r="E3094" s="1" t="s">
        <v>16719</v>
      </c>
      <c r="F3094" s="1" t="s">
        <v>16720</v>
      </c>
      <c r="G3094" s="1" t="s">
        <v>16721</v>
      </c>
      <c r="H3094" s="1" t="s">
        <v>16722</v>
      </c>
    </row>
    <row r="3095" spans="1:8" x14ac:dyDescent="0.3">
      <c r="A3095" s="2" t="s">
        <v>16723</v>
      </c>
      <c r="B3095" s="1" t="s">
        <v>13007</v>
      </c>
      <c r="C3095" s="1" t="s">
        <v>16724</v>
      </c>
      <c r="D3095" s="1" t="s">
        <v>16725</v>
      </c>
      <c r="E3095" s="1" t="s">
        <v>16726</v>
      </c>
      <c r="F3095" s="1" t="s">
        <v>16727</v>
      </c>
      <c r="G3095" s="1" t="s">
        <v>16727</v>
      </c>
      <c r="H3095" s="1" t="s">
        <v>16728</v>
      </c>
    </row>
    <row r="3096" spans="1:8" x14ac:dyDescent="0.3">
      <c r="A3096" s="2">
        <v>32316</v>
      </c>
      <c r="B3096" s="1" t="s">
        <v>16729</v>
      </c>
    </row>
    <row r="3097" spans="1:8" x14ac:dyDescent="0.3">
      <c r="A3097" s="2" t="s">
        <v>16730</v>
      </c>
      <c r="B3097" s="1" t="s">
        <v>12999</v>
      </c>
      <c r="C3097" s="1" t="s">
        <v>16731</v>
      </c>
      <c r="D3097" s="1" t="s">
        <v>16732</v>
      </c>
      <c r="E3097" s="1" t="s">
        <v>16733</v>
      </c>
      <c r="F3097" s="1" t="s">
        <v>16734</v>
      </c>
      <c r="G3097" s="1" t="s">
        <v>16735</v>
      </c>
      <c r="H3097" s="1" t="s">
        <v>16736</v>
      </c>
    </row>
    <row r="3098" spans="1:8" x14ac:dyDescent="0.3">
      <c r="A3098" s="2" t="s">
        <v>16737</v>
      </c>
      <c r="B3098" s="1" t="s">
        <v>13007</v>
      </c>
      <c r="C3098" s="1" t="s">
        <v>16738</v>
      </c>
      <c r="D3098" s="1" t="s">
        <v>16739</v>
      </c>
      <c r="E3098" s="1" t="s">
        <v>16740</v>
      </c>
      <c r="F3098" s="1" t="s">
        <v>16741</v>
      </c>
      <c r="G3098" s="1" t="s">
        <v>16742</v>
      </c>
      <c r="H3098" s="1" t="s">
        <v>16743</v>
      </c>
    </row>
    <row r="3099" spans="1:8" x14ac:dyDescent="0.3">
      <c r="A3099" s="2">
        <v>32317</v>
      </c>
      <c r="B3099" s="1" t="s">
        <v>16744</v>
      </c>
    </row>
    <row r="3100" spans="1:8" x14ac:dyDescent="0.3">
      <c r="A3100" s="2" t="s">
        <v>16745</v>
      </c>
      <c r="B3100" s="1" t="s">
        <v>12999</v>
      </c>
      <c r="C3100" s="1" t="s">
        <v>16746</v>
      </c>
      <c r="D3100" s="1" t="s">
        <v>16747</v>
      </c>
      <c r="E3100" s="1" t="s">
        <v>16748</v>
      </c>
      <c r="F3100" s="1" t="s">
        <v>16749</v>
      </c>
      <c r="G3100" s="1" t="s">
        <v>16750</v>
      </c>
      <c r="H3100" s="1" t="s">
        <v>16751</v>
      </c>
    </row>
    <row r="3101" spans="1:8" x14ac:dyDescent="0.3">
      <c r="A3101" s="2" t="s">
        <v>16752</v>
      </c>
      <c r="B3101" s="1" t="s">
        <v>13007</v>
      </c>
      <c r="C3101" s="1" t="s">
        <v>16753</v>
      </c>
      <c r="D3101" s="1" t="s">
        <v>16754</v>
      </c>
      <c r="E3101" s="1" t="s">
        <v>16755</v>
      </c>
      <c r="G3101" s="1" t="s">
        <v>16756</v>
      </c>
      <c r="H3101" s="1" t="s">
        <v>16757</v>
      </c>
    </row>
    <row r="3102" spans="1:8" x14ac:dyDescent="0.3">
      <c r="A3102" s="2">
        <v>32318</v>
      </c>
      <c r="B3102" s="1" t="s">
        <v>16758</v>
      </c>
    </row>
    <row r="3103" spans="1:8" x14ac:dyDescent="0.3">
      <c r="A3103" s="2" t="s">
        <v>16759</v>
      </c>
      <c r="B3103" s="1" t="s">
        <v>12999</v>
      </c>
      <c r="C3103" s="1" t="s">
        <v>16760</v>
      </c>
      <c r="D3103" s="1" t="s">
        <v>16761</v>
      </c>
      <c r="E3103" s="1" t="s">
        <v>16762</v>
      </c>
      <c r="F3103" s="1" t="s">
        <v>16762</v>
      </c>
      <c r="G3103" s="1" t="s">
        <v>16763</v>
      </c>
      <c r="H3103" s="1" t="s">
        <v>16762</v>
      </c>
    </row>
    <row r="3104" spans="1:8" x14ac:dyDescent="0.3">
      <c r="A3104" s="2" t="s">
        <v>16764</v>
      </c>
      <c r="B3104" s="1" t="s">
        <v>13007</v>
      </c>
      <c r="C3104" s="1" t="s">
        <v>16765</v>
      </c>
      <c r="D3104" s="1" t="s">
        <v>16766</v>
      </c>
      <c r="E3104" s="1" t="s">
        <v>16767</v>
      </c>
      <c r="F3104" s="1" t="s">
        <v>16768</v>
      </c>
      <c r="G3104" s="1" t="s">
        <v>16769</v>
      </c>
      <c r="H3104" s="1" t="s">
        <v>16770</v>
      </c>
    </row>
    <row r="3105" spans="1:8" x14ac:dyDescent="0.3">
      <c r="A3105" s="2">
        <v>32319</v>
      </c>
      <c r="B3105" s="1" t="s">
        <v>16771</v>
      </c>
    </row>
    <row r="3106" spans="1:8" x14ac:dyDescent="0.3">
      <c r="A3106" s="2" t="s">
        <v>16772</v>
      </c>
      <c r="B3106" s="1" t="s">
        <v>12999</v>
      </c>
      <c r="C3106" s="1" t="s">
        <v>16773</v>
      </c>
      <c r="D3106" s="1" t="s">
        <v>16774</v>
      </c>
      <c r="E3106" s="1" t="s">
        <v>16775</v>
      </c>
      <c r="F3106" s="1" t="s">
        <v>16776</v>
      </c>
      <c r="G3106" s="1" t="s">
        <v>16777</v>
      </c>
      <c r="H3106" s="1" t="s">
        <v>16778</v>
      </c>
    </row>
    <row r="3107" spans="1:8" x14ac:dyDescent="0.3">
      <c r="A3107" s="2" t="s">
        <v>16779</v>
      </c>
      <c r="B3107" s="1" t="s">
        <v>13007</v>
      </c>
      <c r="C3107" s="1" t="s">
        <v>16780</v>
      </c>
      <c r="D3107" s="1" t="s">
        <v>16781</v>
      </c>
      <c r="E3107" s="1" t="s">
        <v>16782</v>
      </c>
      <c r="F3107" s="1" t="s">
        <v>16783</v>
      </c>
      <c r="G3107" s="1" t="s">
        <v>16784</v>
      </c>
      <c r="H3107" s="1" t="s">
        <v>16785</v>
      </c>
    </row>
    <row r="3108" spans="1:8" x14ac:dyDescent="0.3">
      <c r="A3108" s="2">
        <v>32320</v>
      </c>
      <c r="B3108" s="1" t="s">
        <v>16786</v>
      </c>
    </row>
    <row r="3109" spans="1:8" x14ac:dyDescent="0.3">
      <c r="A3109" s="2" t="s">
        <v>16787</v>
      </c>
      <c r="B3109" s="1" t="s">
        <v>12999</v>
      </c>
      <c r="C3109" s="1" t="s">
        <v>16788</v>
      </c>
      <c r="D3109" s="1" t="s">
        <v>16789</v>
      </c>
      <c r="E3109" s="1" t="s">
        <v>16790</v>
      </c>
      <c r="F3109" s="1" t="s">
        <v>16791</v>
      </c>
      <c r="G3109" s="1" t="s">
        <v>16792</v>
      </c>
      <c r="H3109" s="1" t="s">
        <v>16790</v>
      </c>
    </row>
    <row r="3110" spans="1:8" x14ac:dyDescent="0.3">
      <c r="A3110" s="2" t="s">
        <v>16793</v>
      </c>
      <c r="B3110" s="1" t="s">
        <v>13007</v>
      </c>
      <c r="C3110" s="1" t="s">
        <v>16794</v>
      </c>
      <c r="D3110" s="1" t="s">
        <v>16795</v>
      </c>
      <c r="E3110" s="1" t="s">
        <v>16796</v>
      </c>
      <c r="F3110" s="1" t="s">
        <v>16795</v>
      </c>
      <c r="G3110" s="1" t="s">
        <v>16797</v>
      </c>
      <c r="H3110" s="1" t="s">
        <v>16798</v>
      </c>
    </row>
    <row r="3111" spans="1:8" x14ac:dyDescent="0.3">
      <c r="A3111" s="2">
        <v>32321</v>
      </c>
      <c r="B3111" s="1" t="s">
        <v>16799</v>
      </c>
    </row>
    <row r="3112" spans="1:8" x14ac:dyDescent="0.3">
      <c r="A3112" s="2" t="s">
        <v>16800</v>
      </c>
      <c r="B3112" s="1" t="s">
        <v>12999</v>
      </c>
      <c r="C3112" s="1" t="s">
        <v>16801</v>
      </c>
      <c r="D3112" s="1" t="s">
        <v>16802</v>
      </c>
      <c r="E3112" s="1" t="s">
        <v>16803</v>
      </c>
      <c r="G3112" s="1" t="s">
        <v>16804</v>
      </c>
      <c r="H3112" s="1" t="s">
        <v>16805</v>
      </c>
    </row>
    <row r="3113" spans="1:8" x14ac:dyDescent="0.3">
      <c r="A3113" s="2" t="s">
        <v>16806</v>
      </c>
      <c r="B3113" s="1" t="s">
        <v>13007</v>
      </c>
      <c r="C3113" s="1" t="s">
        <v>16807</v>
      </c>
      <c r="D3113" s="1" t="s">
        <v>16808</v>
      </c>
      <c r="E3113" s="1" t="s">
        <v>16809</v>
      </c>
      <c r="G3113" s="1" t="s">
        <v>16810</v>
      </c>
      <c r="H3113" s="1" t="s">
        <v>16811</v>
      </c>
    </row>
    <row r="3114" spans="1:8" x14ac:dyDescent="0.3">
      <c r="A3114" s="2">
        <v>32322</v>
      </c>
      <c r="B3114" s="1" t="s">
        <v>16812</v>
      </c>
    </row>
    <row r="3115" spans="1:8" x14ac:dyDescent="0.3">
      <c r="A3115" s="2" t="s">
        <v>16813</v>
      </c>
      <c r="B3115" s="1" t="s">
        <v>12999</v>
      </c>
      <c r="C3115" s="1" t="s">
        <v>16814</v>
      </c>
      <c r="D3115" s="1" t="s">
        <v>16815</v>
      </c>
      <c r="E3115" s="1" t="s">
        <v>15109</v>
      </c>
      <c r="F3115" s="1" t="s">
        <v>16816</v>
      </c>
      <c r="G3115" s="1" t="s">
        <v>16817</v>
      </c>
      <c r="H3115" s="1" t="s">
        <v>16818</v>
      </c>
    </row>
    <row r="3116" spans="1:8" x14ac:dyDescent="0.3">
      <c r="A3116" s="2" t="s">
        <v>16819</v>
      </c>
      <c r="B3116" s="1" t="s">
        <v>13007</v>
      </c>
      <c r="C3116" s="1" t="s">
        <v>16820</v>
      </c>
      <c r="D3116" s="1" t="s">
        <v>16821</v>
      </c>
      <c r="E3116" s="1" t="s">
        <v>16822</v>
      </c>
      <c r="F3116" s="1" t="s">
        <v>16823</v>
      </c>
      <c r="G3116" s="1" t="s">
        <v>16824</v>
      </c>
      <c r="H3116" s="1" t="s">
        <v>16825</v>
      </c>
    </row>
    <row r="3117" spans="1:8" x14ac:dyDescent="0.3">
      <c r="A3117" s="2">
        <v>32323</v>
      </c>
      <c r="B3117" s="1" t="s">
        <v>16826</v>
      </c>
    </row>
    <row r="3118" spans="1:8" x14ac:dyDescent="0.3">
      <c r="A3118" s="2" t="s">
        <v>16827</v>
      </c>
      <c r="B3118" s="1" t="s">
        <v>12999</v>
      </c>
      <c r="C3118" s="1" t="s">
        <v>16828</v>
      </c>
      <c r="D3118" s="1" t="s">
        <v>16829</v>
      </c>
      <c r="E3118" s="1" t="s">
        <v>16830</v>
      </c>
      <c r="G3118" s="1" t="s">
        <v>16831</v>
      </c>
      <c r="H3118" s="1" t="s">
        <v>16832</v>
      </c>
    </row>
    <row r="3119" spans="1:8" x14ac:dyDescent="0.3">
      <c r="A3119" s="2" t="s">
        <v>16833</v>
      </c>
      <c r="B3119" s="1" t="s">
        <v>13007</v>
      </c>
      <c r="C3119" s="1" t="s">
        <v>16834</v>
      </c>
      <c r="E3119" s="1" t="s">
        <v>16835</v>
      </c>
      <c r="F3119" s="1" t="s">
        <v>16836</v>
      </c>
      <c r="G3119" s="1" t="s">
        <v>16837</v>
      </c>
      <c r="H3119" s="1" t="s">
        <v>16838</v>
      </c>
    </row>
    <row r="3120" spans="1:8" x14ac:dyDescent="0.3">
      <c r="A3120" s="2">
        <v>32324</v>
      </c>
      <c r="B3120" s="1" t="s">
        <v>16839</v>
      </c>
    </row>
    <row r="3121" spans="1:8" x14ac:dyDescent="0.3">
      <c r="A3121" s="2" t="s">
        <v>16840</v>
      </c>
      <c r="B3121" s="1" t="s">
        <v>12999</v>
      </c>
      <c r="C3121" s="1" t="s">
        <v>16841</v>
      </c>
      <c r="E3121" s="1" t="s">
        <v>16842</v>
      </c>
      <c r="F3121" s="1" t="s">
        <v>16843</v>
      </c>
      <c r="G3121" s="1" t="s">
        <v>16844</v>
      </c>
      <c r="H3121" s="1" t="s">
        <v>16844</v>
      </c>
    </row>
    <row r="3122" spans="1:8" x14ac:dyDescent="0.3">
      <c r="A3122" s="2" t="s">
        <v>16845</v>
      </c>
      <c r="B3122" s="1" t="s">
        <v>13007</v>
      </c>
      <c r="C3122" s="1" t="s">
        <v>16846</v>
      </c>
      <c r="E3122" s="1" t="s">
        <v>12180</v>
      </c>
      <c r="F3122" s="1" t="s">
        <v>16847</v>
      </c>
      <c r="G3122" s="1" t="s">
        <v>12180</v>
      </c>
      <c r="H3122" s="1" t="s">
        <v>12180</v>
      </c>
    </row>
    <row r="3123" spans="1:8" x14ac:dyDescent="0.3">
      <c r="A3123" s="2">
        <v>32325</v>
      </c>
      <c r="B3123" s="1" t="s">
        <v>16848</v>
      </c>
    </row>
    <row r="3124" spans="1:8" x14ac:dyDescent="0.3">
      <c r="A3124" s="2" t="s">
        <v>16849</v>
      </c>
      <c r="B3124" s="1" t="s">
        <v>12999</v>
      </c>
      <c r="C3124" s="1" t="s">
        <v>16850</v>
      </c>
      <c r="D3124" s="1" t="s">
        <v>16851</v>
      </c>
      <c r="E3124" s="1" t="s">
        <v>16852</v>
      </c>
      <c r="F3124" s="1" t="s">
        <v>16853</v>
      </c>
      <c r="G3124" s="1" t="s">
        <v>16854</v>
      </c>
      <c r="H3124" s="1" t="s">
        <v>16855</v>
      </c>
    </row>
    <row r="3125" spans="1:8" x14ac:dyDescent="0.3">
      <c r="A3125" s="2" t="s">
        <v>16856</v>
      </c>
      <c r="B3125" s="1" t="s">
        <v>13007</v>
      </c>
      <c r="C3125" s="1" t="s">
        <v>16857</v>
      </c>
      <c r="D3125" s="1" t="s">
        <v>16858</v>
      </c>
      <c r="E3125" s="1" t="s">
        <v>16859</v>
      </c>
      <c r="F3125" s="1" t="s">
        <v>16860</v>
      </c>
      <c r="G3125" s="1" t="s">
        <v>16861</v>
      </c>
      <c r="H3125" s="1" t="s">
        <v>16862</v>
      </c>
    </row>
    <row r="3126" spans="1:8" x14ac:dyDescent="0.3">
      <c r="A3126" s="2">
        <v>32326</v>
      </c>
      <c r="B3126" s="1" t="s">
        <v>16863</v>
      </c>
    </row>
    <row r="3127" spans="1:8" x14ac:dyDescent="0.3">
      <c r="A3127" s="2" t="s">
        <v>16864</v>
      </c>
      <c r="B3127" s="1" t="s">
        <v>12999</v>
      </c>
      <c r="C3127" s="1" t="s">
        <v>16865</v>
      </c>
      <c r="D3127" s="1" t="s">
        <v>16866</v>
      </c>
      <c r="E3127" s="1" t="s">
        <v>16867</v>
      </c>
      <c r="F3127" s="1" t="s">
        <v>16868</v>
      </c>
      <c r="G3127" s="1" t="s">
        <v>16869</v>
      </c>
      <c r="H3127" s="1" t="s">
        <v>16870</v>
      </c>
    </row>
    <row r="3128" spans="1:8" x14ac:dyDescent="0.3">
      <c r="A3128" s="2" t="s">
        <v>16871</v>
      </c>
      <c r="B3128" s="1" t="s">
        <v>13007</v>
      </c>
      <c r="D3128" s="1" t="s">
        <v>16872</v>
      </c>
      <c r="E3128" s="1" t="s">
        <v>16873</v>
      </c>
      <c r="F3128" s="1" t="s">
        <v>16874</v>
      </c>
      <c r="G3128" s="1" t="s">
        <v>16875</v>
      </c>
      <c r="H3128" s="1" t="s">
        <v>16876</v>
      </c>
    </row>
    <row r="3129" spans="1:8" x14ac:dyDescent="0.3">
      <c r="A3129" s="2">
        <v>32327</v>
      </c>
      <c r="B3129" s="1" t="s">
        <v>16877</v>
      </c>
    </row>
    <row r="3130" spans="1:8" x14ac:dyDescent="0.3">
      <c r="A3130" s="2" t="s">
        <v>16878</v>
      </c>
      <c r="B3130" s="1" t="s">
        <v>12999</v>
      </c>
      <c r="C3130" s="1" t="s">
        <v>16879</v>
      </c>
      <c r="D3130" s="1" t="s">
        <v>16880</v>
      </c>
      <c r="E3130" s="1" t="s">
        <v>16881</v>
      </c>
      <c r="F3130" s="1" t="s">
        <v>16882</v>
      </c>
      <c r="G3130" s="1" t="s">
        <v>16883</v>
      </c>
      <c r="H3130" s="1" t="s">
        <v>16883</v>
      </c>
    </row>
    <row r="3131" spans="1:8" x14ac:dyDescent="0.3">
      <c r="A3131" s="2" t="s">
        <v>16884</v>
      </c>
      <c r="B3131" s="1" t="s">
        <v>13007</v>
      </c>
      <c r="C3131" s="1" t="s">
        <v>16885</v>
      </c>
      <c r="D3131" s="1" t="s">
        <v>16886</v>
      </c>
      <c r="E3131" s="1" t="s">
        <v>16887</v>
      </c>
      <c r="F3131" s="1" t="s">
        <v>16888</v>
      </c>
      <c r="G3131" s="1" t="s">
        <v>16889</v>
      </c>
      <c r="H3131" s="1" t="s">
        <v>16890</v>
      </c>
    </row>
    <row r="3132" spans="1:8" x14ac:dyDescent="0.3">
      <c r="A3132" s="2">
        <v>32328</v>
      </c>
      <c r="B3132" s="1" t="s">
        <v>16891</v>
      </c>
    </row>
    <row r="3133" spans="1:8" x14ac:dyDescent="0.3">
      <c r="A3133" s="2" t="s">
        <v>16892</v>
      </c>
      <c r="B3133" s="1" t="s">
        <v>12999</v>
      </c>
      <c r="C3133" s="1" t="s">
        <v>16893</v>
      </c>
      <c r="D3133" s="1" t="s">
        <v>16894</v>
      </c>
      <c r="E3133" s="1" t="s">
        <v>16895</v>
      </c>
      <c r="F3133" s="1" t="s">
        <v>16896</v>
      </c>
      <c r="G3133" s="1" t="s">
        <v>16897</v>
      </c>
      <c r="H3133" s="1" t="s">
        <v>16898</v>
      </c>
    </row>
    <row r="3134" spans="1:8" x14ac:dyDescent="0.3">
      <c r="A3134" s="2" t="s">
        <v>16899</v>
      </c>
      <c r="B3134" s="1" t="s">
        <v>13007</v>
      </c>
      <c r="C3134" s="1" t="s">
        <v>16900</v>
      </c>
      <c r="D3134" s="1" t="s">
        <v>16901</v>
      </c>
      <c r="E3134" s="1" t="s">
        <v>16902</v>
      </c>
      <c r="F3134" s="1" t="s">
        <v>16903</v>
      </c>
      <c r="G3134" s="1" t="s">
        <v>16904</v>
      </c>
      <c r="H3134" s="1" t="s">
        <v>16905</v>
      </c>
    </row>
    <row r="3135" spans="1:8" x14ac:dyDescent="0.3">
      <c r="A3135" s="2">
        <v>32329</v>
      </c>
      <c r="B3135" s="1" t="s">
        <v>16906</v>
      </c>
    </row>
    <row r="3136" spans="1:8" x14ac:dyDescent="0.3">
      <c r="A3136" s="2" t="s">
        <v>16907</v>
      </c>
      <c r="B3136" s="1" t="s">
        <v>12999</v>
      </c>
      <c r="C3136" s="1" t="s">
        <v>16908</v>
      </c>
      <c r="D3136" s="1" t="s">
        <v>16909</v>
      </c>
      <c r="E3136" s="1" t="s">
        <v>16910</v>
      </c>
      <c r="F3136" s="1" t="s">
        <v>16911</v>
      </c>
      <c r="G3136" s="1" t="s">
        <v>16912</v>
      </c>
      <c r="H3136" s="1" t="s">
        <v>16913</v>
      </c>
    </row>
    <row r="3137" spans="1:8" x14ac:dyDescent="0.3">
      <c r="A3137" s="2" t="s">
        <v>16914</v>
      </c>
      <c r="B3137" s="1" t="s">
        <v>13007</v>
      </c>
      <c r="C3137" s="1" t="s">
        <v>16915</v>
      </c>
      <c r="D3137" s="1" t="s">
        <v>16916</v>
      </c>
      <c r="E3137" s="1" t="s">
        <v>1585</v>
      </c>
      <c r="F3137" s="1" t="s">
        <v>1585</v>
      </c>
      <c r="G3137" s="1" t="s">
        <v>16917</v>
      </c>
      <c r="H3137" s="1" t="s">
        <v>16918</v>
      </c>
    </row>
    <row r="3138" spans="1:8" x14ac:dyDescent="0.3">
      <c r="A3138" s="2">
        <v>32330</v>
      </c>
      <c r="B3138" s="1" t="s">
        <v>16919</v>
      </c>
    </row>
    <row r="3139" spans="1:8" x14ac:dyDescent="0.3">
      <c r="A3139" s="2" t="s">
        <v>16920</v>
      </c>
      <c r="B3139" s="1" t="s">
        <v>12999</v>
      </c>
      <c r="C3139" s="1" t="s">
        <v>16921</v>
      </c>
      <c r="D3139" s="1" t="s">
        <v>16922</v>
      </c>
      <c r="E3139" s="1" t="s">
        <v>16923</v>
      </c>
      <c r="F3139" s="1" t="s">
        <v>16924</v>
      </c>
      <c r="G3139" s="1" t="s">
        <v>2308</v>
      </c>
      <c r="H3139" s="1" t="s">
        <v>2308</v>
      </c>
    </row>
    <row r="3140" spans="1:8" x14ac:dyDescent="0.3">
      <c r="A3140" s="2" t="s">
        <v>16925</v>
      </c>
      <c r="B3140" s="1" t="s">
        <v>13007</v>
      </c>
      <c r="C3140" s="1" t="s">
        <v>16926</v>
      </c>
      <c r="E3140" s="1" t="s">
        <v>2313</v>
      </c>
      <c r="F3140" s="1" t="s">
        <v>16927</v>
      </c>
      <c r="G3140" s="1" t="s">
        <v>16928</v>
      </c>
      <c r="H3140" s="1" t="s">
        <v>16929</v>
      </c>
    </row>
    <row r="3141" spans="1:8" x14ac:dyDescent="0.3">
      <c r="A3141" s="2">
        <v>32331</v>
      </c>
      <c r="B3141" s="1" t="s">
        <v>16930</v>
      </c>
    </row>
    <row r="3142" spans="1:8" x14ac:dyDescent="0.3">
      <c r="A3142" s="2" t="s">
        <v>16931</v>
      </c>
      <c r="B3142" s="1" t="s">
        <v>12999</v>
      </c>
      <c r="C3142" s="1" t="s">
        <v>16932</v>
      </c>
      <c r="D3142" s="1" t="s">
        <v>16933</v>
      </c>
      <c r="E3142" s="1" t="s">
        <v>16934</v>
      </c>
      <c r="F3142" s="1" t="s">
        <v>16935</v>
      </c>
      <c r="G3142" s="1" t="s">
        <v>16936</v>
      </c>
      <c r="H3142" s="1" t="s">
        <v>16937</v>
      </c>
    </row>
    <row r="3143" spans="1:8" x14ac:dyDescent="0.3">
      <c r="A3143" s="2" t="s">
        <v>16938</v>
      </c>
      <c r="B3143" s="1" t="s">
        <v>13007</v>
      </c>
      <c r="C3143" s="1" t="s">
        <v>16939</v>
      </c>
      <c r="D3143" s="1" t="s">
        <v>16940</v>
      </c>
      <c r="E3143" s="1" t="s">
        <v>16941</v>
      </c>
      <c r="F3143" s="1" t="s">
        <v>16942</v>
      </c>
      <c r="G3143" s="1" t="s">
        <v>16943</v>
      </c>
      <c r="H3143" s="1" t="s">
        <v>16942</v>
      </c>
    </row>
    <row r="3144" spans="1:8" x14ac:dyDescent="0.3">
      <c r="A3144" s="2">
        <v>32332</v>
      </c>
      <c r="B3144" s="1" t="s">
        <v>16944</v>
      </c>
    </row>
    <row r="3145" spans="1:8" x14ac:dyDescent="0.3">
      <c r="A3145" s="2" t="s">
        <v>16945</v>
      </c>
      <c r="B3145" s="1" t="e">
        <f>-이/가</f>
        <v>#NAME?</v>
      </c>
      <c r="C3145" s="1" t="s">
        <v>16946</v>
      </c>
      <c r="D3145" s="1" t="s">
        <v>16947</v>
      </c>
      <c r="E3145" s="1" t="s">
        <v>16948</v>
      </c>
      <c r="F3145" s="1" t="s">
        <v>16949</v>
      </c>
      <c r="G3145" s="1" t="s">
        <v>16947</v>
      </c>
      <c r="H3145" s="1" t="s">
        <v>16947</v>
      </c>
    </row>
    <row r="3146" spans="1:8" x14ac:dyDescent="0.3">
      <c r="A3146" s="2" t="s">
        <v>16950</v>
      </c>
      <c r="B3146" s="1" t="e">
        <f>-을/를</f>
        <v>#NAME?</v>
      </c>
      <c r="C3146" s="1" t="s">
        <v>16951</v>
      </c>
      <c r="E3146" s="1" t="s">
        <v>16952</v>
      </c>
      <c r="F3146" s="1" t="s">
        <v>16953</v>
      </c>
      <c r="G3146" s="1" t="s">
        <v>16954</v>
      </c>
      <c r="H3146" s="1" t="s">
        <v>16955</v>
      </c>
    </row>
    <row r="3147" spans="1:8" x14ac:dyDescent="0.3">
      <c r="A3147" s="2" t="s">
        <v>16956</v>
      </c>
      <c r="B3147" s="1" t="e">
        <f ca="1">-에(서)</f>
        <v>#NAME?</v>
      </c>
      <c r="C3147" s="1" t="s">
        <v>16957</v>
      </c>
      <c r="D3147" s="1" t="s">
        <v>16958</v>
      </c>
      <c r="E3147" s="1" t="s">
        <v>16959</v>
      </c>
      <c r="G3147" s="1" t="s">
        <v>16960</v>
      </c>
      <c r="H3147" s="1" t="s">
        <v>16961</v>
      </c>
    </row>
    <row r="3148" spans="1:8" x14ac:dyDescent="0.3">
      <c r="A3148" s="2" t="s">
        <v>16962</v>
      </c>
      <c r="B3148" s="1" t="e">
        <f>-으로</f>
        <v>#NAME?</v>
      </c>
      <c r="C3148" s="1" t="s">
        <v>16963</v>
      </c>
      <c r="E3148" s="1" t="s">
        <v>16964</v>
      </c>
      <c r="F3148" s="1" t="s">
        <v>16965</v>
      </c>
      <c r="G3148" s="1" t="s">
        <v>16966</v>
      </c>
      <c r="H3148" s="1" t="s">
        <v>16967</v>
      </c>
    </row>
    <row r="3149" spans="1:8" x14ac:dyDescent="0.3">
      <c r="A3149" s="2" t="s">
        <v>16968</v>
      </c>
      <c r="B3149" s="1" t="e">
        <f>-도</f>
        <v>#NAME?</v>
      </c>
      <c r="C3149" s="1" t="s">
        <v>16969</v>
      </c>
      <c r="D3149" s="1" t="s">
        <v>16970</v>
      </c>
      <c r="E3149" s="1" t="s">
        <v>16971</v>
      </c>
      <c r="G3149" s="1" t="s">
        <v>16972</v>
      </c>
      <c r="H3149" s="1" t="s">
        <v>16973</v>
      </c>
    </row>
    <row r="3150" spans="1:8" x14ac:dyDescent="0.3">
      <c r="A3150" s="2">
        <v>32333</v>
      </c>
      <c r="B3150" s="1" t="s">
        <v>16974</v>
      </c>
    </row>
    <row r="3151" spans="1:8" x14ac:dyDescent="0.3">
      <c r="A3151" s="2" t="s">
        <v>16975</v>
      </c>
      <c r="B3151" s="1" t="e">
        <f>-이/가</f>
        <v>#NAME?</v>
      </c>
      <c r="C3151" s="1" t="s">
        <v>16976</v>
      </c>
      <c r="D3151" s="1" t="s">
        <v>16977</v>
      </c>
      <c r="E3151" s="1" t="s">
        <v>16978</v>
      </c>
      <c r="F3151" s="1" t="s">
        <v>16979</v>
      </c>
      <c r="G3151" s="1" t="s">
        <v>16980</v>
      </c>
      <c r="H3151" s="1" t="s">
        <v>16981</v>
      </c>
    </row>
    <row r="3152" spans="1:8" x14ac:dyDescent="0.3">
      <c r="A3152" s="2" t="s">
        <v>16982</v>
      </c>
      <c r="B3152" s="1" t="e">
        <f>-을/를</f>
        <v>#NAME?</v>
      </c>
      <c r="C3152" s="1" t="s">
        <v>16983</v>
      </c>
      <c r="E3152" s="1" t="s">
        <v>16984</v>
      </c>
      <c r="G3152" s="1" t="s">
        <v>16985</v>
      </c>
      <c r="H3152" s="1" t="s">
        <v>16986</v>
      </c>
    </row>
    <row r="3153" spans="1:8" x14ac:dyDescent="0.3">
      <c r="A3153" s="2" t="s">
        <v>16987</v>
      </c>
      <c r="B3153" s="1" t="e">
        <f ca="1">-에(서)</f>
        <v>#NAME?</v>
      </c>
      <c r="C3153" s="1" t="s">
        <v>16988</v>
      </c>
      <c r="D3153" s="1" t="s">
        <v>16989</v>
      </c>
      <c r="E3153" s="1" t="s">
        <v>16990</v>
      </c>
      <c r="G3153" s="1" t="s">
        <v>16991</v>
      </c>
      <c r="H3153" s="1" t="s">
        <v>16992</v>
      </c>
    </row>
    <row r="3154" spans="1:8" x14ac:dyDescent="0.3">
      <c r="A3154" s="2" t="s">
        <v>16993</v>
      </c>
      <c r="B3154" s="1" t="e">
        <f>-으로</f>
        <v>#NAME?</v>
      </c>
      <c r="C3154" s="1" t="s">
        <v>16994</v>
      </c>
      <c r="D3154" s="1" t="s">
        <v>16995</v>
      </c>
      <c r="E3154" s="1" t="s">
        <v>16996</v>
      </c>
      <c r="G3154" s="1" t="s">
        <v>16997</v>
      </c>
      <c r="H3154" s="1" t="s">
        <v>16998</v>
      </c>
    </row>
    <row r="3155" spans="1:8" x14ac:dyDescent="0.3">
      <c r="A3155" s="2" t="s">
        <v>16999</v>
      </c>
      <c r="B3155" s="1" t="e">
        <f>-도</f>
        <v>#NAME?</v>
      </c>
      <c r="C3155" s="1" t="s">
        <v>17000</v>
      </c>
      <c r="E3155" s="1" t="s">
        <v>17001</v>
      </c>
      <c r="G3155" s="1" t="s">
        <v>17002</v>
      </c>
      <c r="H3155" s="1" t="s">
        <v>17002</v>
      </c>
    </row>
    <row r="3156" spans="1:8" x14ac:dyDescent="0.3">
      <c r="A3156" s="2">
        <v>32334</v>
      </c>
      <c r="B3156" s="1" t="s">
        <v>17003</v>
      </c>
    </row>
    <row r="3157" spans="1:8" x14ac:dyDescent="0.3">
      <c r="A3157" s="2" t="s">
        <v>17004</v>
      </c>
      <c r="B3157" s="1" t="e">
        <f>-이/가</f>
        <v>#NAME?</v>
      </c>
      <c r="C3157" s="1" t="s">
        <v>17005</v>
      </c>
      <c r="D3157" s="1" t="s">
        <v>17006</v>
      </c>
      <c r="E3157" s="1" t="s">
        <v>17007</v>
      </c>
      <c r="F3157" s="1" t="s">
        <v>17008</v>
      </c>
      <c r="G3157" s="1" t="s">
        <v>17009</v>
      </c>
      <c r="H3157" s="1" t="s">
        <v>17010</v>
      </c>
    </row>
    <row r="3158" spans="1:8" x14ac:dyDescent="0.3">
      <c r="A3158" s="2" t="s">
        <v>17011</v>
      </c>
      <c r="B3158" s="1" t="e">
        <f>-을/를</f>
        <v>#NAME?</v>
      </c>
      <c r="C3158" s="1" t="s">
        <v>17012</v>
      </c>
      <c r="E3158" s="1" t="s">
        <v>17013</v>
      </c>
      <c r="F3158" s="1" t="s">
        <v>17014</v>
      </c>
      <c r="G3158" s="1" t="s">
        <v>17015</v>
      </c>
      <c r="H3158" s="1" t="s">
        <v>17016</v>
      </c>
    </row>
    <row r="3159" spans="1:8" x14ac:dyDescent="0.3">
      <c r="A3159" s="2" t="s">
        <v>17017</v>
      </c>
      <c r="B3159" s="1" t="e">
        <f ca="1">-에(서)</f>
        <v>#NAME?</v>
      </c>
      <c r="C3159" s="1" t="s">
        <v>17018</v>
      </c>
      <c r="E3159" s="1" t="s">
        <v>17019</v>
      </c>
      <c r="F3159" s="1" t="s">
        <v>17020</v>
      </c>
      <c r="G3159" s="1" t="s">
        <v>17021</v>
      </c>
      <c r="H3159" s="1" t="s">
        <v>17022</v>
      </c>
    </row>
    <row r="3160" spans="1:8" x14ac:dyDescent="0.3">
      <c r="A3160" s="2" t="s">
        <v>17023</v>
      </c>
      <c r="B3160" s="1" t="e">
        <f>-으로</f>
        <v>#NAME?</v>
      </c>
      <c r="C3160" s="1" t="s">
        <v>17024</v>
      </c>
      <c r="D3160" s="1" t="s">
        <v>17025</v>
      </c>
      <c r="E3160" s="1" t="s">
        <v>17026</v>
      </c>
      <c r="F3160" s="1" t="s">
        <v>17025</v>
      </c>
      <c r="G3160" s="1" t="s">
        <v>17027</v>
      </c>
      <c r="H3160" s="1" t="s">
        <v>17028</v>
      </c>
    </row>
    <row r="3161" spans="1:8" x14ac:dyDescent="0.3">
      <c r="A3161" s="2" t="s">
        <v>17029</v>
      </c>
      <c r="B3161" s="1" t="e">
        <f>-도</f>
        <v>#NAME?</v>
      </c>
      <c r="C3161" s="1" t="s">
        <v>17030</v>
      </c>
      <c r="D3161" s="1" t="s">
        <v>17031</v>
      </c>
      <c r="E3161" s="1" t="s">
        <v>17032</v>
      </c>
      <c r="G3161" s="1" t="s">
        <v>17033</v>
      </c>
      <c r="H3161" s="1" t="s">
        <v>17034</v>
      </c>
    </row>
    <row r="3162" spans="1:8" x14ac:dyDescent="0.3">
      <c r="A3162" s="2">
        <v>32335</v>
      </c>
      <c r="B3162" s="1" t="s">
        <v>17035</v>
      </c>
    </row>
    <row r="3163" spans="1:8" x14ac:dyDescent="0.3">
      <c r="A3163" s="2" t="s">
        <v>17036</v>
      </c>
      <c r="B3163" s="1" t="e">
        <f>-이/가</f>
        <v>#NAME?</v>
      </c>
      <c r="C3163" s="1" t="s">
        <v>17037</v>
      </c>
      <c r="D3163" s="1" t="s">
        <v>17038</v>
      </c>
      <c r="E3163" s="1" t="s">
        <v>17039</v>
      </c>
      <c r="F3163" s="1" t="s">
        <v>17040</v>
      </c>
      <c r="G3163" s="1" t="s">
        <v>17041</v>
      </c>
      <c r="H3163" s="1" t="s">
        <v>17042</v>
      </c>
    </row>
    <row r="3164" spans="1:8" x14ac:dyDescent="0.3">
      <c r="A3164" s="2" t="s">
        <v>17043</v>
      </c>
      <c r="B3164" s="1" t="e">
        <f>-을/를</f>
        <v>#NAME?</v>
      </c>
      <c r="C3164" s="1" t="s">
        <v>17044</v>
      </c>
      <c r="E3164" s="1" t="s">
        <v>17045</v>
      </c>
      <c r="G3164" s="1" t="s">
        <v>17046</v>
      </c>
      <c r="H3164" s="1" t="s">
        <v>17046</v>
      </c>
    </row>
    <row r="3165" spans="1:8" x14ac:dyDescent="0.3">
      <c r="A3165" s="2" t="s">
        <v>17047</v>
      </c>
      <c r="B3165" s="1" t="e">
        <f ca="1">-에(서)</f>
        <v>#NAME?</v>
      </c>
      <c r="C3165" s="1" t="s">
        <v>17048</v>
      </c>
      <c r="D3165" s="1" t="s">
        <v>17049</v>
      </c>
      <c r="E3165" s="1" t="s">
        <v>17050</v>
      </c>
      <c r="F3165" s="1" t="s">
        <v>17049</v>
      </c>
      <c r="G3165" s="1" t="s">
        <v>17049</v>
      </c>
      <c r="H3165" s="1" t="s">
        <v>17051</v>
      </c>
    </row>
    <row r="3166" spans="1:8" x14ac:dyDescent="0.3">
      <c r="A3166" s="2" t="s">
        <v>17052</v>
      </c>
      <c r="B3166" s="1" t="e">
        <f>-으로</f>
        <v>#NAME?</v>
      </c>
      <c r="C3166" s="1" t="s">
        <v>17053</v>
      </c>
      <c r="G3166" s="1" t="s">
        <v>17054</v>
      </c>
      <c r="H3166" s="1" t="s">
        <v>17055</v>
      </c>
    </row>
    <row r="3167" spans="1:8" x14ac:dyDescent="0.3">
      <c r="A3167" s="2" t="s">
        <v>17056</v>
      </c>
      <c r="B3167" s="1" t="e">
        <f>-도</f>
        <v>#NAME?</v>
      </c>
      <c r="C3167" s="1" t="s">
        <v>17057</v>
      </c>
      <c r="D3167" s="1" t="s">
        <v>9851</v>
      </c>
      <c r="E3167" s="1" t="s">
        <v>17058</v>
      </c>
      <c r="G3167" s="1" t="s">
        <v>17059</v>
      </c>
      <c r="H3167" s="1" t="s">
        <v>17060</v>
      </c>
    </row>
    <row r="3168" spans="1:8" x14ac:dyDescent="0.3">
      <c r="A3168" s="2">
        <v>32336</v>
      </c>
      <c r="B3168" s="1" t="s">
        <v>17061</v>
      </c>
    </row>
    <row r="3169" spans="1:8" x14ac:dyDescent="0.3">
      <c r="A3169" s="2" t="s">
        <v>17062</v>
      </c>
      <c r="B3169" s="1" t="e">
        <f>-이/가</f>
        <v>#NAME?</v>
      </c>
      <c r="C3169" s="1" t="s">
        <v>17063</v>
      </c>
      <c r="D3169" s="1" t="s">
        <v>17064</v>
      </c>
      <c r="E3169" s="1" t="s">
        <v>17065</v>
      </c>
      <c r="F3169" s="1" t="s">
        <v>17066</v>
      </c>
      <c r="G3169" s="1" t="s">
        <v>17066</v>
      </c>
      <c r="H3169" s="1" t="s">
        <v>17066</v>
      </c>
    </row>
    <row r="3170" spans="1:8" x14ac:dyDescent="0.3">
      <c r="A3170" s="2" t="s">
        <v>17067</v>
      </c>
      <c r="B3170" s="1" t="e">
        <f>-을/를</f>
        <v>#NAME?</v>
      </c>
      <c r="C3170" s="1" t="s">
        <v>17068</v>
      </c>
      <c r="E3170" s="1" t="s">
        <v>17069</v>
      </c>
      <c r="G3170" s="1" t="s">
        <v>17070</v>
      </c>
      <c r="H3170" s="1" t="s">
        <v>17071</v>
      </c>
    </row>
    <row r="3171" spans="1:8" x14ac:dyDescent="0.3">
      <c r="A3171" s="2" t="s">
        <v>17072</v>
      </c>
      <c r="B3171" s="1" t="e">
        <f ca="1">-에(서)</f>
        <v>#NAME?</v>
      </c>
      <c r="C3171" s="1" t="s">
        <v>17073</v>
      </c>
      <c r="D3171" s="1" t="s">
        <v>17074</v>
      </c>
      <c r="E3171" s="1" t="s">
        <v>17075</v>
      </c>
      <c r="G3171" s="1" t="s">
        <v>17076</v>
      </c>
      <c r="H3171" s="1" t="s">
        <v>17077</v>
      </c>
    </row>
    <row r="3172" spans="1:8" x14ac:dyDescent="0.3">
      <c r="A3172" s="2" t="s">
        <v>17078</v>
      </c>
      <c r="B3172" s="1" t="e">
        <f>-으로</f>
        <v>#NAME?</v>
      </c>
      <c r="C3172" s="1" t="s">
        <v>17079</v>
      </c>
      <c r="D3172" s="1" t="s">
        <v>17080</v>
      </c>
      <c r="F3172" s="1" t="s">
        <v>17081</v>
      </c>
      <c r="G3172" s="1" t="s">
        <v>17082</v>
      </c>
      <c r="H3172" s="1" t="s">
        <v>17083</v>
      </c>
    </row>
    <row r="3173" spans="1:8" x14ac:dyDescent="0.3">
      <c r="A3173" s="2" t="s">
        <v>17084</v>
      </c>
      <c r="B3173" s="1" t="e">
        <f>-도</f>
        <v>#NAME?</v>
      </c>
      <c r="C3173" s="1" t="s">
        <v>17085</v>
      </c>
      <c r="G3173" s="1" t="s">
        <v>17086</v>
      </c>
      <c r="H3173" s="1" t="s">
        <v>17087</v>
      </c>
    </row>
    <row r="3174" spans="1:8" x14ac:dyDescent="0.3">
      <c r="A3174" s="2">
        <v>32337</v>
      </c>
      <c r="B3174" s="1" t="s">
        <v>17088</v>
      </c>
    </row>
    <row r="3175" spans="1:8" x14ac:dyDescent="0.3">
      <c r="A3175" s="2" t="s">
        <v>17089</v>
      </c>
      <c r="B3175" s="1" t="e">
        <f>-이/가</f>
        <v>#NAME?</v>
      </c>
      <c r="C3175" s="1" t="s">
        <v>17090</v>
      </c>
      <c r="D3175" s="1" t="s">
        <v>17091</v>
      </c>
      <c r="E3175" s="1" t="s">
        <v>17092</v>
      </c>
      <c r="G3175" s="1" t="s">
        <v>17093</v>
      </c>
      <c r="H3175" s="1" t="s">
        <v>17094</v>
      </c>
    </row>
    <row r="3176" spans="1:8" x14ac:dyDescent="0.3">
      <c r="A3176" s="2" t="s">
        <v>17095</v>
      </c>
      <c r="B3176" s="1" t="e">
        <f>-을/를</f>
        <v>#NAME?</v>
      </c>
      <c r="C3176" s="1" t="s">
        <v>17096</v>
      </c>
      <c r="D3176" s="1" t="s">
        <v>17097</v>
      </c>
      <c r="E3176" s="1" t="s">
        <v>17098</v>
      </c>
      <c r="F3176" s="1" t="s">
        <v>17099</v>
      </c>
      <c r="G3176" s="1" t="s">
        <v>17100</v>
      </c>
      <c r="H3176" s="1" t="s">
        <v>17098</v>
      </c>
    </row>
    <row r="3177" spans="1:8" x14ac:dyDescent="0.3">
      <c r="A3177" s="2" t="s">
        <v>17101</v>
      </c>
      <c r="B3177" s="1" t="e">
        <f ca="1">-에(서)</f>
        <v>#NAME?</v>
      </c>
      <c r="C3177" s="1" t="s">
        <v>17102</v>
      </c>
      <c r="D3177" s="1" t="s">
        <v>17103</v>
      </c>
      <c r="E3177" s="1" t="s">
        <v>17104</v>
      </c>
      <c r="F3177" s="1" t="s">
        <v>17105</v>
      </c>
      <c r="G3177" s="1" t="s">
        <v>17106</v>
      </c>
      <c r="H3177" s="1" t="s">
        <v>17105</v>
      </c>
    </row>
    <row r="3178" spans="1:8" x14ac:dyDescent="0.3">
      <c r="A3178" s="2" t="s">
        <v>17107</v>
      </c>
      <c r="B3178" s="1" t="e">
        <f>-으로</f>
        <v>#NAME?</v>
      </c>
      <c r="C3178" s="1" t="s">
        <v>17108</v>
      </c>
      <c r="E3178" s="1" t="s">
        <v>17109</v>
      </c>
      <c r="G3178" s="1" t="s">
        <v>17110</v>
      </c>
      <c r="H3178" s="1" t="s">
        <v>17111</v>
      </c>
    </row>
    <row r="3179" spans="1:8" x14ac:dyDescent="0.3">
      <c r="A3179" s="2" t="s">
        <v>17112</v>
      </c>
      <c r="B3179" s="1" t="e">
        <f>-도</f>
        <v>#NAME?</v>
      </c>
      <c r="C3179" s="1" t="s">
        <v>17113</v>
      </c>
      <c r="E3179" s="1" t="s">
        <v>17114</v>
      </c>
      <c r="G3179" s="1" t="s">
        <v>17115</v>
      </c>
      <c r="H3179" s="1" t="s">
        <v>17116</v>
      </c>
    </row>
    <row r="3180" spans="1:8" x14ac:dyDescent="0.3">
      <c r="A3180" s="2">
        <v>32338</v>
      </c>
      <c r="B3180" s="1" t="s">
        <v>17117</v>
      </c>
    </row>
    <row r="3181" spans="1:8" x14ac:dyDescent="0.3">
      <c r="A3181" s="2" t="s">
        <v>17118</v>
      </c>
      <c r="B3181" s="1" t="e">
        <f>-이/가</f>
        <v>#NAME?</v>
      </c>
      <c r="C3181" s="1" t="s">
        <v>17119</v>
      </c>
      <c r="D3181" s="1" t="s">
        <v>17120</v>
      </c>
      <c r="E3181" s="1" t="s">
        <v>17121</v>
      </c>
      <c r="F3181" s="1" t="s">
        <v>17122</v>
      </c>
      <c r="G3181" s="1" t="s">
        <v>17123</v>
      </c>
      <c r="H3181" s="1" t="s">
        <v>17122</v>
      </c>
    </row>
    <row r="3182" spans="1:8" x14ac:dyDescent="0.3">
      <c r="A3182" s="2" t="s">
        <v>17124</v>
      </c>
      <c r="B3182" s="1" t="e">
        <f>-을/를</f>
        <v>#NAME?</v>
      </c>
      <c r="C3182" s="1" t="s">
        <v>17125</v>
      </c>
      <c r="E3182" s="1" t="s">
        <v>17126</v>
      </c>
      <c r="G3182" s="1" t="s">
        <v>17127</v>
      </c>
      <c r="H3182" s="1" t="s">
        <v>17128</v>
      </c>
    </row>
    <row r="3183" spans="1:8" x14ac:dyDescent="0.3">
      <c r="A3183" s="2" t="s">
        <v>17129</v>
      </c>
      <c r="B3183" s="1" t="e">
        <f ca="1">-에(서)</f>
        <v>#NAME?</v>
      </c>
      <c r="C3183" s="1" t="s">
        <v>17130</v>
      </c>
      <c r="D3183" s="1" t="s">
        <v>17131</v>
      </c>
      <c r="E3183" s="1" t="s">
        <v>17132</v>
      </c>
      <c r="F3183" s="1" t="s">
        <v>17133</v>
      </c>
      <c r="G3183" s="1" t="s">
        <v>17134</v>
      </c>
      <c r="H3183" s="1" t="s">
        <v>17135</v>
      </c>
    </row>
    <row r="3184" spans="1:8" x14ac:dyDescent="0.3">
      <c r="A3184" s="2" t="s">
        <v>17136</v>
      </c>
      <c r="B3184" s="1" t="e">
        <f>-으로</f>
        <v>#NAME?</v>
      </c>
      <c r="C3184" s="1" t="s">
        <v>17137</v>
      </c>
      <c r="E3184" s="1" t="s">
        <v>17138</v>
      </c>
      <c r="G3184" s="1" t="s">
        <v>17139</v>
      </c>
      <c r="H3184" s="1" t="s">
        <v>17140</v>
      </c>
    </row>
    <row r="3185" spans="1:8" x14ac:dyDescent="0.3">
      <c r="A3185" s="2" t="s">
        <v>17141</v>
      </c>
      <c r="B3185" s="1" t="e">
        <f>-도</f>
        <v>#NAME?</v>
      </c>
      <c r="C3185" s="1" t="s">
        <v>17142</v>
      </c>
      <c r="E3185" s="1" t="s">
        <v>17143</v>
      </c>
      <c r="G3185" s="1" t="s">
        <v>17144</v>
      </c>
      <c r="H3185" s="1" t="s">
        <v>17145</v>
      </c>
    </row>
    <row r="3186" spans="1:8" x14ac:dyDescent="0.3">
      <c r="A3186" s="2">
        <v>32339</v>
      </c>
      <c r="B3186" s="1" t="s">
        <v>17146</v>
      </c>
    </row>
    <row r="3187" spans="1:8" x14ac:dyDescent="0.3">
      <c r="A3187" s="2" t="s">
        <v>17147</v>
      </c>
      <c r="B3187" s="1" t="e">
        <f>-이/가</f>
        <v>#NAME?</v>
      </c>
      <c r="C3187" s="1" t="s">
        <v>17148</v>
      </c>
      <c r="D3187" s="1" t="s">
        <v>17149</v>
      </c>
      <c r="E3187" s="1" t="s">
        <v>17150</v>
      </c>
      <c r="F3187" s="1" t="s">
        <v>17151</v>
      </c>
      <c r="H3187" s="1" t="s">
        <v>17150</v>
      </c>
    </row>
    <row r="3188" spans="1:8" x14ac:dyDescent="0.3">
      <c r="A3188" s="2" t="s">
        <v>17152</v>
      </c>
      <c r="B3188" s="1" t="e">
        <f>-을/를</f>
        <v>#NAME?</v>
      </c>
      <c r="C3188" s="1" t="s">
        <v>17153</v>
      </c>
      <c r="E3188" s="1" t="s">
        <v>17154</v>
      </c>
    </row>
    <row r="3189" spans="1:8" x14ac:dyDescent="0.3">
      <c r="A3189" s="2" t="s">
        <v>17155</v>
      </c>
      <c r="B3189" s="1" t="e">
        <f ca="1">-에(서)</f>
        <v>#NAME?</v>
      </c>
      <c r="C3189" s="1" t="s">
        <v>17156</v>
      </c>
      <c r="D3189" s="1" t="s">
        <v>17157</v>
      </c>
      <c r="E3189" s="1" t="s">
        <v>17158</v>
      </c>
      <c r="F3189" s="1" t="s">
        <v>17159</v>
      </c>
      <c r="H3189" s="1" t="s">
        <v>17160</v>
      </c>
    </row>
    <row r="3190" spans="1:8" x14ac:dyDescent="0.3">
      <c r="A3190" s="2" t="s">
        <v>17161</v>
      </c>
      <c r="B3190" s="1" t="e">
        <f>-으로</f>
        <v>#NAME?</v>
      </c>
      <c r="C3190" s="1" t="s">
        <v>17162</v>
      </c>
      <c r="E3190" s="1" t="s">
        <v>17163</v>
      </c>
      <c r="G3190" s="1" t="s">
        <v>17164</v>
      </c>
      <c r="H3190" s="1" t="s">
        <v>17165</v>
      </c>
    </row>
    <row r="3191" spans="1:8" x14ac:dyDescent="0.3">
      <c r="A3191" s="2" t="s">
        <v>17166</v>
      </c>
      <c r="B3191" s="1" t="e">
        <f>-도</f>
        <v>#NAME?</v>
      </c>
      <c r="C3191" s="1" t="s">
        <v>17167</v>
      </c>
      <c r="E3191" s="1" t="s">
        <v>17168</v>
      </c>
      <c r="F3191" s="1" t="s">
        <v>17169</v>
      </c>
      <c r="H3191" s="1" t="s">
        <v>17170</v>
      </c>
    </row>
    <row r="3192" spans="1:8" x14ac:dyDescent="0.3">
      <c r="A3192" s="2">
        <v>32340</v>
      </c>
      <c r="B3192" s="1" t="s">
        <v>17171</v>
      </c>
    </row>
    <row r="3193" spans="1:8" x14ac:dyDescent="0.3">
      <c r="A3193" s="2" t="s">
        <v>17172</v>
      </c>
      <c r="B3193" s="1" t="e">
        <f>-이/가</f>
        <v>#NAME?</v>
      </c>
      <c r="C3193" s="1" t="s">
        <v>17173</v>
      </c>
      <c r="E3193" s="1" t="s">
        <v>17174</v>
      </c>
      <c r="F3193" s="1" t="s">
        <v>17175</v>
      </c>
      <c r="G3193" s="1" t="s">
        <v>17176</v>
      </c>
      <c r="H3193" s="1" t="s">
        <v>17177</v>
      </c>
    </row>
    <row r="3194" spans="1:8" x14ac:dyDescent="0.3">
      <c r="A3194" s="2" t="s">
        <v>17178</v>
      </c>
      <c r="B3194" s="1" t="e">
        <f>-을/를</f>
        <v>#NAME?</v>
      </c>
      <c r="C3194" s="1" t="s">
        <v>17179</v>
      </c>
      <c r="D3194" s="1" t="s">
        <v>17180</v>
      </c>
      <c r="E3194" s="1" t="s">
        <v>17181</v>
      </c>
      <c r="F3194" s="1" t="s">
        <v>17182</v>
      </c>
      <c r="G3194" s="1" t="s">
        <v>17183</v>
      </c>
      <c r="H3194" s="1" t="s">
        <v>17184</v>
      </c>
    </row>
    <row r="3195" spans="1:8" x14ac:dyDescent="0.3">
      <c r="A3195" s="2" t="s">
        <v>17185</v>
      </c>
      <c r="B3195" s="1" t="e">
        <f ca="1">-에(서)</f>
        <v>#NAME?</v>
      </c>
      <c r="C3195" s="1" t="s">
        <v>17186</v>
      </c>
      <c r="G3195" s="1" t="s">
        <v>17187</v>
      </c>
      <c r="H3195" s="1" t="s">
        <v>17188</v>
      </c>
    </row>
    <row r="3196" spans="1:8" x14ac:dyDescent="0.3">
      <c r="A3196" s="2" t="s">
        <v>17189</v>
      </c>
      <c r="B3196" s="1" t="e">
        <f>-으로</f>
        <v>#NAME?</v>
      </c>
      <c r="C3196" s="1" t="s">
        <v>17190</v>
      </c>
      <c r="H3196" s="1" t="s">
        <v>17191</v>
      </c>
    </row>
    <row r="3197" spans="1:8" x14ac:dyDescent="0.3">
      <c r="A3197" s="2" t="s">
        <v>17192</v>
      </c>
      <c r="B3197" s="1" t="e">
        <f>-도</f>
        <v>#NAME?</v>
      </c>
      <c r="C3197" s="1" t="s">
        <v>17193</v>
      </c>
      <c r="D3197" s="1" t="s">
        <v>17194</v>
      </c>
      <c r="G3197" s="1" t="s">
        <v>17195</v>
      </c>
      <c r="H3197" s="1" t="s">
        <v>17196</v>
      </c>
    </row>
    <row r="3198" spans="1:8" x14ac:dyDescent="0.3">
      <c r="A3198" s="2">
        <v>32341</v>
      </c>
      <c r="B3198" s="1" t="s">
        <v>17197</v>
      </c>
    </row>
    <row r="3199" spans="1:8" x14ac:dyDescent="0.3">
      <c r="A3199" s="2" t="s">
        <v>17198</v>
      </c>
      <c r="B3199" s="1" t="e">
        <f>-이/가</f>
        <v>#NAME?</v>
      </c>
      <c r="C3199" s="1" t="s">
        <v>17199</v>
      </c>
      <c r="D3199" s="1" t="s">
        <v>17200</v>
      </c>
      <c r="E3199" s="1" t="s">
        <v>17201</v>
      </c>
      <c r="F3199" s="1" t="s">
        <v>17202</v>
      </c>
      <c r="G3199" s="1" t="s">
        <v>17203</v>
      </c>
      <c r="H3199" s="1" t="s">
        <v>17204</v>
      </c>
    </row>
    <row r="3200" spans="1:8" x14ac:dyDescent="0.3">
      <c r="A3200" s="2" t="s">
        <v>17205</v>
      </c>
      <c r="B3200" s="1" t="e">
        <f>-을/를</f>
        <v>#NAME?</v>
      </c>
      <c r="C3200" s="1" t="s">
        <v>17206</v>
      </c>
      <c r="G3200" s="1" t="s">
        <v>17207</v>
      </c>
      <c r="H3200" s="1" t="s">
        <v>17208</v>
      </c>
    </row>
    <row r="3201" spans="1:8" x14ac:dyDescent="0.3">
      <c r="A3201" s="2" t="s">
        <v>17209</v>
      </c>
      <c r="B3201" s="1" t="e">
        <f ca="1">-에(서)</f>
        <v>#NAME?</v>
      </c>
      <c r="C3201" s="1" t="s">
        <v>17210</v>
      </c>
      <c r="D3201" s="1" t="s">
        <v>17211</v>
      </c>
      <c r="E3201" s="1" t="s">
        <v>17212</v>
      </c>
      <c r="F3201" s="1" t="s">
        <v>17213</v>
      </c>
      <c r="G3201" s="1" t="s">
        <v>17214</v>
      </c>
      <c r="H3201" s="1" t="s">
        <v>17215</v>
      </c>
    </row>
    <row r="3202" spans="1:8" x14ac:dyDescent="0.3">
      <c r="A3202" s="2" t="s">
        <v>17216</v>
      </c>
      <c r="B3202" s="1" t="e">
        <f>-으로</f>
        <v>#NAME?</v>
      </c>
      <c r="C3202" s="1" t="s">
        <v>17217</v>
      </c>
      <c r="E3202" s="1" t="s">
        <v>17218</v>
      </c>
      <c r="G3202" s="1" t="s">
        <v>17219</v>
      </c>
      <c r="H3202" s="1" t="s">
        <v>17220</v>
      </c>
    </row>
    <row r="3203" spans="1:8" x14ac:dyDescent="0.3">
      <c r="A3203" s="2" t="s">
        <v>17221</v>
      </c>
      <c r="B3203" s="1" t="e">
        <f>-도</f>
        <v>#NAME?</v>
      </c>
      <c r="C3203" s="1" t="s">
        <v>17222</v>
      </c>
      <c r="D3203" s="1" t="s">
        <v>17223</v>
      </c>
      <c r="E3203" s="1" t="s">
        <v>17224</v>
      </c>
      <c r="F3203" s="1" t="s">
        <v>17223</v>
      </c>
      <c r="G3203" s="1" t="s">
        <v>17225</v>
      </c>
      <c r="H3203" s="1" t="s">
        <v>17226</v>
      </c>
    </row>
    <row r="3204" spans="1:8" x14ac:dyDescent="0.3">
      <c r="A3204" s="2">
        <v>32342</v>
      </c>
      <c r="B3204" s="1" t="s">
        <v>17227</v>
      </c>
    </row>
    <row r="3205" spans="1:8" x14ac:dyDescent="0.3">
      <c r="A3205" s="2" t="s">
        <v>17228</v>
      </c>
      <c r="B3205" s="1" t="e">
        <f>-이/가</f>
        <v>#NAME?</v>
      </c>
      <c r="C3205" s="1" t="s">
        <v>17229</v>
      </c>
      <c r="D3205" s="1" t="s">
        <v>17230</v>
      </c>
      <c r="E3205" s="1" t="s">
        <v>17231</v>
      </c>
      <c r="F3205" s="1" t="s">
        <v>17232</v>
      </c>
      <c r="G3205" s="1" t="s">
        <v>17231</v>
      </c>
      <c r="H3205" s="1" t="s">
        <v>17233</v>
      </c>
    </row>
    <row r="3206" spans="1:8" x14ac:dyDescent="0.3">
      <c r="A3206" s="2" t="s">
        <v>17234</v>
      </c>
      <c r="B3206" s="1" t="e">
        <f>-을/를</f>
        <v>#NAME?</v>
      </c>
      <c r="C3206" s="1" t="s">
        <v>17235</v>
      </c>
      <c r="E3206" s="1" t="s">
        <v>17236</v>
      </c>
      <c r="F3206" s="1" t="s">
        <v>17237</v>
      </c>
      <c r="G3206" s="1" t="s">
        <v>17238</v>
      </c>
      <c r="H3206" s="1" t="s">
        <v>17239</v>
      </c>
    </row>
    <row r="3207" spans="1:8" x14ac:dyDescent="0.3">
      <c r="A3207" s="2" t="s">
        <v>17240</v>
      </c>
      <c r="B3207" s="1" t="e">
        <f ca="1">-에(서)</f>
        <v>#NAME?</v>
      </c>
      <c r="C3207" s="1" t="s">
        <v>17241</v>
      </c>
      <c r="D3207" s="1" t="s">
        <v>17242</v>
      </c>
      <c r="E3207" s="1" t="s">
        <v>17243</v>
      </c>
      <c r="F3207" s="1" t="s">
        <v>17244</v>
      </c>
      <c r="G3207" s="1" t="s">
        <v>17245</v>
      </c>
      <c r="H3207" s="1" t="s">
        <v>17245</v>
      </c>
    </row>
    <row r="3208" spans="1:8" x14ac:dyDescent="0.3">
      <c r="A3208" s="2" t="s">
        <v>17246</v>
      </c>
      <c r="B3208" s="1" t="e">
        <f>-으로</f>
        <v>#NAME?</v>
      </c>
      <c r="C3208" s="1" t="s">
        <v>17247</v>
      </c>
      <c r="D3208" s="1" t="s">
        <v>17248</v>
      </c>
      <c r="E3208" s="1" t="s">
        <v>17249</v>
      </c>
      <c r="F3208" s="1" t="s">
        <v>17250</v>
      </c>
      <c r="G3208" s="1" t="s">
        <v>17251</v>
      </c>
      <c r="H3208" s="1" t="s">
        <v>17252</v>
      </c>
    </row>
    <row r="3209" spans="1:8" x14ac:dyDescent="0.3">
      <c r="A3209" s="2" t="s">
        <v>17253</v>
      </c>
      <c r="B3209" s="1" t="e">
        <f>-도</f>
        <v>#NAME?</v>
      </c>
      <c r="C3209" s="1" t="s">
        <v>17254</v>
      </c>
      <c r="D3209" s="1" t="s">
        <v>17255</v>
      </c>
      <c r="E3209" s="1" t="s">
        <v>17256</v>
      </c>
      <c r="G3209" s="1" t="s">
        <v>17257</v>
      </c>
      <c r="H3209" s="1" t="s">
        <v>17258</v>
      </c>
    </row>
    <row r="3210" spans="1:8" x14ac:dyDescent="0.3">
      <c r="A3210" s="2">
        <v>32343</v>
      </c>
      <c r="B3210" s="1" t="s">
        <v>17259</v>
      </c>
    </row>
    <row r="3211" spans="1:8" x14ac:dyDescent="0.3">
      <c r="A3211" s="2" t="s">
        <v>17260</v>
      </c>
      <c r="B3211" s="1" t="e">
        <f>-이/가</f>
        <v>#NAME?</v>
      </c>
      <c r="C3211" s="1" t="s">
        <v>17261</v>
      </c>
      <c r="D3211" s="1" t="s">
        <v>17262</v>
      </c>
      <c r="E3211" s="1" t="s">
        <v>17263</v>
      </c>
      <c r="F3211" s="1" t="s">
        <v>17264</v>
      </c>
      <c r="G3211" s="1" t="s">
        <v>17265</v>
      </c>
      <c r="H3211" s="1" t="s">
        <v>17266</v>
      </c>
    </row>
    <row r="3212" spans="1:8" x14ac:dyDescent="0.3">
      <c r="A3212" s="2" t="s">
        <v>17267</v>
      </c>
      <c r="B3212" s="1" t="e">
        <f>-을/를</f>
        <v>#NAME?</v>
      </c>
      <c r="C3212" s="1" t="s">
        <v>17268</v>
      </c>
      <c r="E3212" s="1" t="s">
        <v>17269</v>
      </c>
      <c r="G3212" s="1" t="s">
        <v>17270</v>
      </c>
      <c r="H3212" s="1" t="s">
        <v>17271</v>
      </c>
    </row>
    <row r="3213" spans="1:8" x14ac:dyDescent="0.3">
      <c r="A3213" s="2" t="s">
        <v>17272</v>
      </c>
      <c r="B3213" s="1" t="e">
        <f ca="1">-에(서)</f>
        <v>#NAME?</v>
      </c>
      <c r="C3213" s="1" t="s">
        <v>17273</v>
      </c>
      <c r="D3213" s="1" t="s">
        <v>17274</v>
      </c>
      <c r="E3213" s="1" t="s">
        <v>17275</v>
      </c>
      <c r="G3213" s="1" t="s">
        <v>17276</v>
      </c>
      <c r="H3213" s="1" t="s">
        <v>17277</v>
      </c>
    </row>
    <row r="3214" spans="1:8" x14ac:dyDescent="0.3">
      <c r="A3214" s="2" t="s">
        <v>17278</v>
      </c>
      <c r="B3214" s="1" t="e">
        <f>-으로</f>
        <v>#NAME?</v>
      </c>
      <c r="C3214" s="1" t="s">
        <v>17279</v>
      </c>
      <c r="D3214" s="1" t="s">
        <v>17280</v>
      </c>
      <c r="E3214" s="1" t="s">
        <v>17281</v>
      </c>
      <c r="G3214" s="1" t="s">
        <v>17282</v>
      </c>
      <c r="H3214" s="1" t="s">
        <v>17282</v>
      </c>
    </row>
    <row r="3215" spans="1:8" x14ac:dyDescent="0.3">
      <c r="A3215" s="2" t="s">
        <v>17283</v>
      </c>
      <c r="B3215" s="1" t="e">
        <f>-도</f>
        <v>#NAME?</v>
      </c>
      <c r="C3215" s="1" t="s">
        <v>17284</v>
      </c>
      <c r="D3215" s="1" t="s">
        <v>17285</v>
      </c>
      <c r="E3215" s="1" t="s">
        <v>17286</v>
      </c>
      <c r="G3215" s="1" t="s">
        <v>17287</v>
      </c>
      <c r="H3215" s="1" t="s">
        <v>17287</v>
      </c>
    </row>
    <row r="3216" spans="1:8" x14ac:dyDescent="0.3">
      <c r="A3216" s="2">
        <v>32344</v>
      </c>
      <c r="B3216" s="1" t="s">
        <v>17288</v>
      </c>
    </row>
    <row r="3217" spans="1:8" x14ac:dyDescent="0.3">
      <c r="A3217" s="2" t="s">
        <v>17289</v>
      </c>
      <c r="B3217" s="1" t="e">
        <f>-이/가</f>
        <v>#NAME?</v>
      </c>
      <c r="C3217" s="1" t="s">
        <v>17290</v>
      </c>
      <c r="D3217" s="1" t="s">
        <v>17291</v>
      </c>
      <c r="E3217" s="1" t="s">
        <v>17292</v>
      </c>
      <c r="G3217" s="1" t="s">
        <v>17293</v>
      </c>
      <c r="H3217" s="1" t="s">
        <v>17294</v>
      </c>
    </row>
    <row r="3218" spans="1:8" x14ac:dyDescent="0.3">
      <c r="A3218" s="2" t="s">
        <v>17295</v>
      </c>
      <c r="B3218" s="1" t="e">
        <f>-을/를</f>
        <v>#NAME?</v>
      </c>
      <c r="C3218" s="1" t="s">
        <v>17296</v>
      </c>
      <c r="D3218" s="1" t="s">
        <v>17297</v>
      </c>
      <c r="E3218" s="1" t="s">
        <v>17298</v>
      </c>
      <c r="G3218" s="1" t="s">
        <v>17299</v>
      </c>
      <c r="H3218" s="1" t="s">
        <v>17300</v>
      </c>
    </row>
    <row r="3219" spans="1:8" x14ac:dyDescent="0.3">
      <c r="A3219" s="2" t="s">
        <v>17301</v>
      </c>
      <c r="B3219" s="1" t="e">
        <f ca="1">-에(서)</f>
        <v>#NAME?</v>
      </c>
    </row>
    <row r="3220" spans="1:8" x14ac:dyDescent="0.3">
      <c r="A3220" s="2" t="s">
        <v>17302</v>
      </c>
      <c r="B3220" s="1" t="e">
        <f>-으로</f>
        <v>#NAME?</v>
      </c>
      <c r="G3220" s="1" t="s">
        <v>17303</v>
      </c>
    </row>
    <row r="3221" spans="1:8" x14ac:dyDescent="0.3">
      <c r="A3221" s="2" t="s">
        <v>17304</v>
      </c>
      <c r="B3221" s="1" t="e">
        <f>-도</f>
        <v>#NAME?</v>
      </c>
      <c r="C3221" s="1" t="s">
        <v>17305</v>
      </c>
      <c r="E3221" s="1" t="s">
        <v>17306</v>
      </c>
      <c r="G3221" s="1" t="s">
        <v>17307</v>
      </c>
      <c r="H3221" s="1" t="s">
        <v>17308</v>
      </c>
    </row>
    <row r="3222" spans="1:8" x14ac:dyDescent="0.3">
      <c r="A3222" s="2">
        <v>32345</v>
      </c>
      <c r="B3222" s="1" t="s">
        <v>17309</v>
      </c>
    </row>
    <row r="3223" spans="1:8" x14ac:dyDescent="0.3">
      <c r="A3223" s="2" t="s">
        <v>17310</v>
      </c>
      <c r="B3223" s="1" t="e">
        <f>-이/가</f>
        <v>#NAME?</v>
      </c>
      <c r="C3223" s="1" t="s">
        <v>17311</v>
      </c>
      <c r="D3223" s="1" t="s">
        <v>17312</v>
      </c>
      <c r="E3223" s="1" t="s">
        <v>17313</v>
      </c>
      <c r="F3223" s="1" t="s">
        <v>17314</v>
      </c>
      <c r="G3223" s="1" t="s">
        <v>17315</v>
      </c>
      <c r="H3223" s="1" t="s">
        <v>17316</v>
      </c>
    </row>
    <row r="3224" spans="1:8" x14ac:dyDescent="0.3">
      <c r="A3224" s="2" t="s">
        <v>17317</v>
      </c>
      <c r="B3224" s="1" t="e">
        <f>-을/를</f>
        <v>#NAME?</v>
      </c>
      <c r="C3224" s="1" t="s">
        <v>17318</v>
      </c>
      <c r="D3224" s="1" t="s">
        <v>17319</v>
      </c>
      <c r="E3224" s="1" t="s">
        <v>17320</v>
      </c>
      <c r="F3224" s="1" t="s">
        <v>17321</v>
      </c>
      <c r="G3224" s="1" t="s">
        <v>17322</v>
      </c>
      <c r="H3224" s="1" t="s">
        <v>17323</v>
      </c>
    </row>
    <row r="3225" spans="1:8" x14ac:dyDescent="0.3">
      <c r="A3225" s="2" t="s">
        <v>17324</v>
      </c>
      <c r="B3225" s="1" t="e">
        <f ca="1">-에(서)</f>
        <v>#NAME?</v>
      </c>
      <c r="C3225" s="1" t="s">
        <v>17325</v>
      </c>
      <c r="D3225" s="1" t="s">
        <v>17326</v>
      </c>
      <c r="E3225" s="1" t="s">
        <v>17327</v>
      </c>
      <c r="F3225" s="1" t="s">
        <v>17328</v>
      </c>
      <c r="G3225" s="1" t="s">
        <v>17329</v>
      </c>
      <c r="H3225" s="1" t="s">
        <v>17330</v>
      </c>
    </row>
    <row r="3226" spans="1:8" x14ac:dyDescent="0.3">
      <c r="A3226" s="2" t="s">
        <v>17331</v>
      </c>
      <c r="B3226" s="1" t="e">
        <f>-으로</f>
        <v>#NAME?</v>
      </c>
      <c r="C3226" s="1" t="s">
        <v>17332</v>
      </c>
      <c r="D3226" s="1" t="s">
        <v>17333</v>
      </c>
      <c r="E3226" s="1" t="s">
        <v>17334</v>
      </c>
      <c r="F3226" s="1" t="s">
        <v>17335</v>
      </c>
      <c r="G3226" s="1" t="s">
        <v>17336</v>
      </c>
      <c r="H3226" s="1" t="s">
        <v>17337</v>
      </c>
    </row>
    <row r="3227" spans="1:8" x14ac:dyDescent="0.3">
      <c r="A3227" s="2" t="s">
        <v>17338</v>
      </c>
      <c r="B3227" s="1" t="e">
        <f>-도</f>
        <v>#NAME?</v>
      </c>
      <c r="C3227" s="1" t="s">
        <v>17339</v>
      </c>
      <c r="D3227" s="1" t="s">
        <v>17340</v>
      </c>
      <c r="E3227" s="1" t="s">
        <v>17341</v>
      </c>
      <c r="F3227" s="1" t="s">
        <v>17342</v>
      </c>
      <c r="G3227" s="1" t="s">
        <v>17343</v>
      </c>
      <c r="H3227" s="1" t="s">
        <v>17344</v>
      </c>
    </row>
    <row r="3228" spans="1:8" x14ac:dyDescent="0.3">
      <c r="A3228" s="2">
        <v>32346</v>
      </c>
      <c r="B3228" s="1" t="s">
        <v>17345</v>
      </c>
      <c r="G3228" s="1" t="s">
        <v>2983</v>
      </c>
    </row>
    <row r="3229" spans="1:8" x14ac:dyDescent="0.3">
      <c r="A3229" s="2" t="s">
        <v>17346</v>
      </c>
      <c r="B3229" s="1" t="e">
        <f>-이/가</f>
        <v>#NAME?</v>
      </c>
      <c r="C3229" s="1" t="s">
        <v>17347</v>
      </c>
      <c r="D3229" s="1" t="s">
        <v>17348</v>
      </c>
      <c r="E3229" s="1" t="s">
        <v>17349</v>
      </c>
      <c r="F3229" s="1" t="s">
        <v>17350</v>
      </c>
      <c r="G3229" s="1" t="s">
        <v>17351</v>
      </c>
      <c r="H3229" s="1" t="s">
        <v>17352</v>
      </c>
    </row>
    <row r="3230" spans="1:8" x14ac:dyDescent="0.3">
      <c r="A3230" s="2" t="s">
        <v>17353</v>
      </c>
      <c r="B3230" s="1" t="e">
        <f>-을/를</f>
        <v>#NAME?</v>
      </c>
      <c r="C3230" s="1" t="s">
        <v>17354</v>
      </c>
      <c r="E3230" s="1" t="s">
        <v>17355</v>
      </c>
      <c r="G3230" s="1" t="s">
        <v>17356</v>
      </c>
      <c r="H3230" s="1" t="s">
        <v>17357</v>
      </c>
    </row>
    <row r="3231" spans="1:8" x14ac:dyDescent="0.3">
      <c r="A3231" s="2" t="s">
        <v>17358</v>
      </c>
      <c r="B3231" s="1" t="e">
        <f ca="1">-에(서)</f>
        <v>#NAME?</v>
      </c>
      <c r="C3231" s="1" t="s">
        <v>17359</v>
      </c>
      <c r="E3231" s="1" t="s">
        <v>17360</v>
      </c>
      <c r="G3231" s="1" t="s">
        <v>17361</v>
      </c>
      <c r="H3231" s="1" t="s">
        <v>17362</v>
      </c>
    </row>
    <row r="3232" spans="1:8" x14ac:dyDescent="0.3">
      <c r="A3232" s="2" t="s">
        <v>17363</v>
      </c>
      <c r="B3232" s="1" t="e">
        <f>-으로</f>
        <v>#NAME?</v>
      </c>
      <c r="C3232" s="1" t="s">
        <v>17364</v>
      </c>
    </row>
    <row r="3233" spans="1:8" x14ac:dyDescent="0.3">
      <c r="A3233" s="2" t="s">
        <v>17365</v>
      </c>
      <c r="B3233" s="1" t="e">
        <f>-도</f>
        <v>#NAME?</v>
      </c>
      <c r="C3233" s="1" t="s">
        <v>17366</v>
      </c>
      <c r="D3233" s="1" t="s">
        <v>17367</v>
      </c>
      <c r="E3233" s="1" t="s">
        <v>17368</v>
      </c>
      <c r="F3233" s="1" t="s">
        <v>17369</v>
      </c>
      <c r="G3233" s="1" t="s">
        <v>17370</v>
      </c>
      <c r="H3233" s="1" t="s">
        <v>17371</v>
      </c>
    </row>
    <row r="3234" spans="1:8" x14ac:dyDescent="0.3">
      <c r="A3234" s="2">
        <v>32347</v>
      </c>
      <c r="B3234" s="1" t="s">
        <v>17372</v>
      </c>
    </row>
    <row r="3235" spans="1:8" x14ac:dyDescent="0.3">
      <c r="A3235" s="2" t="s">
        <v>17373</v>
      </c>
      <c r="B3235" s="1" t="e">
        <f>-이/가</f>
        <v>#NAME?</v>
      </c>
      <c r="C3235" s="1" t="s">
        <v>17374</v>
      </c>
      <c r="D3235" s="1" t="s">
        <v>17375</v>
      </c>
      <c r="E3235" s="1" t="s">
        <v>17376</v>
      </c>
      <c r="F3235" s="1" t="s">
        <v>17377</v>
      </c>
      <c r="G3235" s="1" t="s">
        <v>17378</v>
      </c>
      <c r="H3235" s="1" t="s">
        <v>17379</v>
      </c>
    </row>
    <row r="3236" spans="1:8" x14ac:dyDescent="0.3">
      <c r="A3236" s="2" t="s">
        <v>17380</v>
      </c>
      <c r="B3236" s="1" t="e">
        <f>-을/를</f>
        <v>#NAME?</v>
      </c>
      <c r="C3236" s="1" t="s">
        <v>17381</v>
      </c>
      <c r="E3236" s="1" t="s">
        <v>17382</v>
      </c>
      <c r="F3236" s="1" t="s">
        <v>17383</v>
      </c>
      <c r="G3236" s="1" t="s">
        <v>17384</v>
      </c>
      <c r="H3236" s="1" t="s">
        <v>17385</v>
      </c>
    </row>
    <row r="3237" spans="1:8" x14ac:dyDescent="0.3">
      <c r="A3237" s="2" t="s">
        <v>17386</v>
      </c>
      <c r="B3237" s="1" t="e">
        <f ca="1">-에(서)</f>
        <v>#NAME?</v>
      </c>
      <c r="C3237" s="1" t="s">
        <v>17387</v>
      </c>
      <c r="G3237" s="1" t="s">
        <v>17388</v>
      </c>
      <c r="H3237" s="1" t="s">
        <v>17389</v>
      </c>
    </row>
    <row r="3238" spans="1:8" x14ac:dyDescent="0.3">
      <c r="A3238" s="2" t="s">
        <v>17390</v>
      </c>
      <c r="B3238" s="1" t="e">
        <f>-으로</f>
        <v>#NAME?</v>
      </c>
      <c r="C3238" s="1" t="s">
        <v>17391</v>
      </c>
    </row>
    <row r="3239" spans="1:8" x14ac:dyDescent="0.3">
      <c r="A3239" s="2" t="s">
        <v>17392</v>
      </c>
      <c r="B3239" s="1" t="e">
        <f>-도</f>
        <v>#NAME?</v>
      </c>
      <c r="C3239" s="1" t="s">
        <v>17393</v>
      </c>
      <c r="D3239" s="1" t="s">
        <v>17394</v>
      </c>
      <c r="F3239" s="1" t="s">
        <v>17395</v>
      </c>
      <c r="G3239" s="1" t="s">
        <v>17396</v>
      </c>
      <c r="H3239" s="1" t="s">
        <v>17397</v>
      </c>
    </row>
    <row r="3240" spans="1:8" x14ac:dyDescent="0.3">
      <c r="A3240" s="2">
        <v>32348</v>
      </c>
      <c r="B3240" s="1" t="s">
        <v>17398</v>
      </c>
    </row>
    <row r="3241" spans="1:8" x14ac:dyDescent="0.3">
      <c r="A3241" s="2" t="s">
        <v>17399</v>
      </c>
      <c r="B3241" s="1" t="e">
        <f>-이/가</f>
        <v>#NAME?</v>
      </c>
      <c r="C3241" s="1" t="s">
        <v>17400</v>
      </c>
      <c r="D3241" s="1" t="s">
        <v>17401</v>
      </c>
      <c r="E3241" s="1" t="s">
        <v>17402</v>
      </c>
      <c r="F3241" s="1" t="s">
        <v>17402</v>
      </c>
      <c r="G3241" s="1" t="s">
        <v>17402</v>
      </c>
      <c r="H3241" s="1" t="s">
        <v>17403</v>
      </c>
    </row>
    <row r="3242" spans="1:8" x14ac:dyDescent="0.3">
      <c r="A3242" s="2" t="s">
        <v>17404</v>
      </c>
      <c r="B3242" s="1" t="e">
        <f>-을/를</f>
        <v>#NAME?</v>
      </c>
      <c r="C3242" s="1" t="s">
        <v>17405</v>
      </c>
      <c r="D3242" s="1" t="s">
        <v>17406</v>
      </c>
      <c r="E3242" s="1" t="s">
        <v>17407</v>
      </c>
      <c r="F3242" s="1" t="s">
        <v>17408</v>
      </c>
      <c r="G3242" s="1" t="s">
        <v>17409</v>
      </c>
      <c r="H3242" s="1" t="s">
        <v>17410</v>
      </c>
    </row>
    <row r="3243" spans="1:8" x14ac:dyDescent="0.3">
      <c r="A3243" s="2" t="s">
        <v>17411</v>
      </c>
      <c r="B3243" s="1" t="e">
        <f ca="1">-에(서)</f>
        <v>#NAME?</v>
      </c>
      <c r="C3243" s="1" t="s">
        <v>17412</v>
      </c>
    </row>
    <row r="3244" spans="1:8" x14ac:dyDescent="0.3">
      <c r="A3244" s="2" t="s">
        <v>17413</v>
      </c>
      <c r="B3244" s="1" t="e">
        <f>-으로</f>
        <v>#NAME?</v>
      </c>
      <c r="C3244" s="1" t="s">
        <v>17414</v>
      </c>
      <c r="G3244" s="1" t="s">
        <v>17415</v>
      </c>
      <c r="H3244" s="1" t="s">
        <v>17416</v>
      </c>
    </row>
    <row r="3245" spans="1:8" x14ac:dyDescent="0.3">
      <c r="A3245" s="2" t="s">
        <v>17417</v>
      </c>
      <c r="B3245" s="1" t="e">
        <f>-도</f>
        <v>#NAME?</v>
      </c>
      <c r="C3245" s="1" t="s">
        <v>17418</v>
      </c>
      <c r="E3245" s="1" t="s">
        <v>17419</v>
      </c>
      <c r="G3245" s="1" t="s">
        <v>17419</v>
      </c>
      <c r="H3245" s="1" t="s">
        <v>17420</v>
      </c>
    </row>
    <row r="3246" spans="1:8" x14ac:dyDescent="0.3">
      <c r="A3246" s="2">
        <v>32349</v>
      </c>
      <c r="B3246" s="1" t="s">
        <v>17421</v>
      </c>
    </row>
    <row r="3247" spans="1:8" x14ac:dyDescent="0.3">
      <c r="A3247" s="2" t="s">
        <v>17422</v>
      </c>
      <c r="B3247" s="1" t="e">
        <f>-이/가</f>
        <v>#NAME?</v>
      </c>
      <c r="C3247" s="1" t="s">
        <v>17423</v>
      </c>
      <c r="D3247" s="1" t="s">
        <v>17424</v>
      </c>
      <c r="E3247" s="1" t="s">
        <v>17425</v>
      </c>
      <c r="F3247" s="1" t="s">
        <v>17426</v>
      </c>
      <c r="G3247" s="1" t="s">
        <v>17427</v>
      </c>
      <c r="H3247" s="1" t="s">
        <v>17427</v>
      </c>
    </row>
    <row r="3248" spans="1:8" x14ac:dyDescent="0.3">
      <c r="A3248" s="2" t="s">
        <v>17428</v>
      </c>
      <c r="B3248" s="1" t="e">
        <f>-을/를</f>
        <v>#NAME?</v>
      </c>
      <c r="C3248" s="1" t="s">
        <v>17429</v>
      </c>
      <c r="E3248" s="1" t="s">
        <v>17430</v>
      </c>
      <c r="F3248" s="1" t="s">
        <v>17431</v>
      </c>
      <c r="G3248" s="1" t="s">
        <v>17430</v>
      </c>
      <c r="H3248" s="1" t="s">
        <v>17432</v>
      </c>
    </row>
    <row r="3249" spans="1:8" x14ac:dyDescent="0.3">
      <c r="A3249" s="2" t="s">
        <v>17433</v>
      </c>
      <c r="B3249" s="1" t="e">
        <f ca="1">-에(서)</f>
        <v>#NAME?</v>
      </c>
      <c r="C3249" s="1" t="s">
        <v>17434</v>
      </c>
      <c r="G3249" s="1" t="s">
        <v>17435</v>
      </c>
      <c r="H3249" s="1" t="s">
        <v>17436</v>
      </c>
    </row>
    <row r="3250" spans="1:8" x14ac:dyDescent="0.3">
      <c r="A3250" s="2" t="s">
        <v>17437</v>
      </c>
      <c r="B3250" s="1" t="e">
        <f>-으로</f>
        <v>#NAME?</v>
      </c>
      <c r="C3250" s="1" t="s">
        <v>17438</v>
      </c>
      <c r="E3250" s="1" t="s">
        <v>17439</v>
      </c>
      <c r="G3250" s="1" t="s">
        <v>17440</v>
      </c>
      <c r="H3250" s="1" t="s">
        <v>17441</v>
      </c>
    </row>
    <row r="3251" spans="1:8" x14ac:dyDescent="0.3">
      <c r="A3251" s="2" t="s">
        <v>17442</v>
      </c>
      <c r="B3251" s="1" t="e">
        <f>-도</f>
        <v>#NAME?</v>
      </c>
      <c r="C3251" s="1" t="s">
        <v>17443</v>
      </c>
      <c r="E3251" s="1" t="s">
        <v>17444</v>
      </c>
      <c r="G3251" s="1" t="s">
        <v>17445</v>
      </c>
      <c r="H3251" s="1" t="s">
        <v>17446</v>
      </c>
    </row>
    <row r="3252" spans="1:8" x14ac:dyDescent="0.3">
      <c r="A3252" s="2">
        <v>32350</v>
      </c>
      <c r="B3252" s="1" t="s">
        <v>17447</v>
      </c>
    </row>
    <row r="3253" spans="1:8" x14ac:dyDescent="0.3">
      <c r="A3253" s="2" t="s">
        <v>17448</v>
      </c>
      <c r="B3253" s="1" t="e">
        <f>-이/가</f>
        <v>#NAME?</v>
      </c>
      <c r="C3253" s="1" t="s">
        <v>17449</v>
      </c>
      <c r="D3253" s="1" t="s">
        <v>17450</v>
      </c>
      <c r="E3253" s="1" t="s">
        <v>17451</v>
      </c>
      <c r="G3253" s="1" t="s">
        <v>17452</v>
      </c>
      <c r="H3253" s="1" t="s">
        <v>17451</v>
      </c>
    </row>
    <row r="3254" spans="1:8" x14ac:dyDescent="0.3">
      <c r="A3254" s="2" t="s">
        <v>17453</v>
      </c>
      <c r="B3254" s="1" t="e">
        <f>-을/를</f>
        <v>#NAME?</v>
      </c>
      <c r="C3254" s="1" t="s">
        <v>17454</v>
      </c>
      <c r="D3254" s="1" t="s">
        <v>17455</v>
      </c>
      <c r="E3254" s="1" t="s">
        <v>17456</v>
      </c>
      <c r="F3254" s="1" t="s">
        <v>17457</v>
      </c>
      <c r="G3254" s="1" t="s">
        <v>17458</v>
      </c>
      <c r="H3254" s="1" t="s">
        <v>17459</v>
      </c>
    </row>
    <row r="3255" spans="1:8" x14ac:dyDescent="0.3">
      <c r="A3255" s="2" t="s">
        <v>17460</v>
      </c>
      <c r="B3255" s="1" t="e">
        <f ca="1">-에(서)</f>
        <v>#NAME?</v>
      </c>
      <c r="C3255" s="1" t="s">
        <v>17461</v>
      </c>
      <c r="E3255" s="1" t="s">
        <v>17462</v>
      </c>
      <c r="G3255" s="1" t="s">
        <v>17463</v>
      </c>
      <c r="H3255" s="1" t="s">
        <v>17464</v>
      </c>
    </row>
    <row r="3256" spans="1:8" x14ac:dyDescent="0.3">
      <c r="A3256" s="2" t="s">
        <v>17465</v>
      </c>
      <c r="B3256" s="1" t="e">
        <f>-으로</f>
        <v>#NAME?</v>
      </c>
      <c r="C3256" s="1" t="s">
        <v>17466</v>
      </c>
      <c r="E3256" s="1" t="s">
        <v>17467</v>
      </c>
      <c r="G3256" s="1" t="s">
        <v>17468</v>
      </c>
      <c r="H3256" s="1" t="s">
        <v>17469</v>
      </c>
    </row>
    <row r="3257" spans="1:8" x14ac:dyDescent="0.3">
      <c r="A3257" s="2" t="s">
        <v>17470</v>
      </c>
      <c r="B3257" s="1" t="e">
        <f>-도</f>
        <v>#NAME?</v>
      </c>
      <c r="C3257" s="1" t="s">
        <v>17471</v>
      </c>
      <c r="D3257" s="1" t="s">
        <v>17472</v>
      </c>
      <c r="E3257" s="1" t="s">
        <v>17473</v>
      </c>
      <c r="F3257" s="1" t="s">
        <v>17474</v>
      </c>
      <c r="G3257" s="1" t="s">
        <v>17475</v>
      </c>
      <c r="H3257" s="1" t="s">
        <v>17475</v>
      </c>
    </row>
    <row r="3258" spans="1:8" x14ac:dyDescent="0.3">
      <c r="A3258" s="2">
        <v>32351</v>
      </c>
      <c r="B3258" s="1" t="s">
        <v>17476</v>
      </c>
    </row>
    <row r="3259" spans="1:8" x14ac:dyDescent="0.3">
      <c r="A3259" s="2" t="s">
        <v>17477</v>
      </c>
      <c r="B3259" s="1" t="e">
        <f>-이/가</f>
        <v>#NAME?</v>
      </c>
      <c r="C3259" s="1" t="s">
        <v>17478</v>
      </c>
      <c r="D3259" s="1" t="s">
        <v>17479</v>
      </c>
      <c r="E3259" s="1" t="s">
        <v>17480</v>
      </c>
      <c r="F3259" s="1" t="s">
        <v>17480</v>
      </c>
      <c r="G3259" s="1" t="s">
        <v>17480</v>
      </c>
      <c r="H3259" s="1" t="s">
        <v>17481</v>
      </c>
    </row>
    <row r="3260" spans="1:8" x14ac:dyDescent="0.3">
      <c r="A3260" s="2" t="s">
        <v>17482</v>
      </c>
      <c r="B3260" s="1" t="e">
        <f>-을/를</f>
        <v>#NAME?</v>
      </c>
      <c r="C3260" s="1" t="s">
        <v>17483</v>
      </c>
      <c r="D3260" s="1" t="s">
        <v>17484</v>
      </c>
      <c r="E3260" s="1" t="s">
        <v>17485</v>
      </c>
      <c r="F3260" s="1" t="s">
        <v>17486</v>
      </c>
      <c r="G3260" s="1" t="s">
        <v>17487</v>
      </c>
      <c r="H3260" s="1" t="s">
        <v>17488</v>
      </c>
    </row>
    <row r="3261" spans="1:8" x14ac:dyDescent="0.3">
      <c r="A3261" s="2" t="s">
        <v>17489</v>
      </c>
      <c r="B3261" s="1" t="e">
        <f ca="1">-에(서)</f>
        <v>#NAME?</v>
      </c>
      <c r="C3261" s="1" t="s">
        <v>17490</v>
      </c>
      <c r="E3261" s="1" t="s">
        <v>17491</v>
      </c>
      <c r="G3261" s="1" t="s">
        <v>17492</v>
      </c>
      <c r="H3261" s="1" t="s">
        <v>17493</v>
      </c>
    </row>
    <row r="3262" spans="1:8" x14ac:dyDescent="0.3">
      <c r="A3262" s="2" t="s">
        <v>17494</v>
      </c>
      <c r="B3262" s="1" t="e">
        <f>-으로</f>
        <v>#NAME?</v>
      </c>
      <c r="C3262" s="1" t="s">
        <v>17495</v>
      </c>
      <c r="D3262" s="1" t="s">
        <v>536</v>
      </c>
      <c r="E3262" s="1" t="s">
        <v>17496</v>
      </c>
      <c r="F3262" s="1" t="s">
        <v>17497</v>
      </c>
      <c r="G3262" s="1" t="s">
        <v>17498</v>
      </c>
      <c r="H3262" s="1" t="s">
        <v>17497</v>
      </c>
    </row>
    <row r="3263" spans="1:8" x14ac:dyDescent="0.3">
      <c r="A3263" s="2" t="s">
        <v>17499</v>
      </c>
      <c r="B3263" s="1" t="e">
        <f>-도</f>
        <v>#NAME?</v>
      </c>
      <c r="C3263" s="1" t="s">
        <v>17500</v>
      </c>
      <c r="E3263" s="1" t="s">
        <v>17501</v>
      </c>
      <c r="F3263" s="1" t="s">
        <v>17501</v>
      </c>
      <c r="G3263" s="1" t="s">
        <v>17502</v>
      </c>
      <c r="H3263" s="1" t="s">
        <v>17501</v>
      </c>
    </row>
    <row r="3264" spans="1:8" x14ac:dyDescent="0.3">
      <c r="A3264" s="2">
        <v>32352</v>
      </c>
      <c r="B3264" s="1" t="s">
        <v>17503</v>
      </c>
    </row>
    <row r="3265" spans="1:8" x14ac:dyDescent="0.3">
      <c r="A3265" s="2" t="s">
        <v>17504</v>
      </c>
      <c r="B3265" s="1" t="e">
        <f>-이/가</f>
        <v>#NAME?</v>
      </c>
      <c r="C3265" s="1" t="s">
        <v>17505</v>
      </c>
      <c r="D3265" s="1" t="s">
        <v>17506</v>
      </c>
      <c r="E3265" s="1" t="s">
        <v>17507</v>
      </c>
      <c r="F3265" s="1" t="s">
        <v>17508</v>
      </c>
      <c r="G3265" s="1" t="s">
        <v>17508</v>
      </c>
      <c r="H3265" s="1" t="s">
        <v>17509</v>
      </c>
    </row>
    <row r="3266" spans="1:8" x14ac:dyDescent="0.3">
      <c r="A3266" s="2" t="s">
        <v>17510</v>
      </c>
      <c r="B3266" s="1" t="e">
        <f>-을/를</f>
        <v>#NAME?</v>
      </c>
      <c r="C3266" s="1" t="s">
        <v>17511</v>
      </c>
      <c r="D3266" s="1" t="s">
        <v>17512</v>
      </c>
      <c r="E3266" s="1" t="s">
        <v>17513</v>
      </c>
      <c r="F3266" s="1" t="s">
        <v>17514</v>
      </c>
      <c r="G3266" s="1" t="s">
        <v>17515</v>
      </c>
      <c r="H3266" s="1" t="s">
        <v>17516</v>
      </c>
    </row>
    <row r="3267" spans="1:8" x14ac:dyDescent="0.3">
      <c r="A3267" s="2" t="s">
        <v>17517</v>
      </c>
      <c r="B3267" s="1" t="e">
        <f ca="1">-에(서)</f>
        <v>#NAME?</v>
      </c>
      <c r="C3267" s="1" t="s">
        <v>17518</v>
      </c>
      <c r="G3267" s="1" t="s">
        <v>17519</v>
      </c>
      <c r="H3267" s="1" t="s">
        <v>17520</v>
      </c>
    </row>
    <row r="3268" spans="1:8" x14ac:dyDescent="0.3">
      <c r="A3268" s="2" t="s">
        <v>17521</v>
      </c>
      <c r="B3268" s="1" t="e">
        <f>-으로</f>
        <v>#NAME?</v>
      </c>
      <c r="C3268" s="1" t="s">
        <v>17522</v>
      </c>
      <c r="D3268" s="1" t="s">
        <v>17523</v>
      </c>
      <c r="H3268" s="1" t="s">
        <v>17524</v>
      </c>
    </row>
    <row r="3269" spans="1:8" x14ac:dyDescent="0.3">
      <c r="A3269" s="2" t="s">
        <v>17525</v>
      </c>
      <c r="B3269" s="1" t="e">
        <f>-도</f>
        <v>#NAME?</v>
      </c>
      <c r="C3269" s="1" t="s">
        <v>17526</v>
      </c>
      <c r="D3269" s="1" t="s">
        <v>17527</v>
      </c>
      <c r="E3269" s="1" t="s">
        <v>17528</v>
      </c>
      <c r="F3269" s="1" t="s">
        <v>17529</v>
      </c>
      <c r="G3269" s="1" t="s">
        <v>17530</v>
      </c>
      <c r="H3269" s="1" t="s">
        <v>17531</v>
      </c>
    </row>
    <row r="3270" spans="1:8" x14ac:dyDescent="0.3">
      <c r="A3270" s="2">
        <v>32353</v>
      </c>
      <c r="B3270" s="1" t="s">
        <v>17532</v>
      </c>
    </row>
    <row r="3271" spans="1:8" x14ac:dyDescent="0.3">
      <c r="A3271" s="2" t="s">
        <v>17533</v>
      </c>
      <c r="B3271" s="1" t="e">
        <f>-이/가</f>
        <v>#NAME?</v>
      </c>
      <c r="C3271" s="1" t="s">
        <v>17534</v>
      </c>
      <c r="D3271" s="1" t="s">
        <v>17535</v>
      </c>
      <c r="E3271" s="1" t="s">
        <v>17536</v>
      </c>
      <c r="F3271" s="1" t="s">
        <v>17536</v>
      </c>
      <c r="G3271" s="1" t="s">
        <v>17536</v>
      </c>
      <c r="H3271" s="1" t="s">
        <v>17536</v>
      </c>
    </row>
    <row r="3272" spans="1:8" x14ac:dyDescent="0.3">
      <c r="A3272" s="2" t="s">
        <v>17537</v>
      </c>
      <c r="B3272" s="1" t="e">
        <f>-을/를</f>
        <v>#NAME?</v>
      </c>
      <c r="C3272" s="1" t="s">
        <v>17538</v>
      </c>
      <c r="E3272" s="1" t="s">
        <v>17539</v>
      </c>
      <c r="F3272" s="1" t="s">
        <v>17540</v>
      </c>
      <c r="G3272" s="1" t="s">
        <v>17541</v>
      </c>
      <c r="H3272" s="1" t="s">
        <v>17542</v>
      </c>
    </row>
    <row r="3273" spans="1:8" x14ac:dyDescent="0.3">
      <c r="A3273" s="2" t="s">
        <v>17543</v>
      </c>
      <c r="B3273" s="1" t="e">
        <f ca="1">-에(서)</f>
        <v>#NAME?</v>
      </c>
      <c r="C3273" s="1" t="s">
        <v>17544</v>
      </c>
      <c r="E3273" s="1" t="s">
        <v>17545</v>
      </c>
      <c r="G3273" s="1" t="s">
        <v>17546</v>
      </c>
      <c r="H3273" s="1" t="s">
        <v>17547</v>
      </c>
    </row>
    <row r="3274" spans="1:8" x14ac:dyDescent="0.3">
      <c r="A3274" s="2" t="s">
        <v>17548</v>
      </c>
      <c r="B3274" s="1" t="e">
        <f>-으로</f>
        <v>#NAME?</v>
      </c>
      <c r="C3274" s="1" t="s">
        <v>17549</v>
      </c>
      <c r="D3274" s="1" t="s">
        <v>17550</v>
      </c>
      <c r="E3274" s="1" t="s">
        <v>17551</v>
      </c>
      <c r="F3274" s="1" t="s">
        <v>17552</v>
      </c>
      <c r="G3274" s="1" t="s">
        <v>17552</v>
      </c>
      <c r="H3274" s="1" t="s">
        <v>17552</v>
      </c>
    </row>
    <row r="3275" spans="1:8" x14ac:dyDescent="0.3">
      <c r="A3275" s="2" t="s">
        <v>17553</v>
      </c>
      <c r="B3275" s="1" t="e">
        <f>-도</f>
        <v>#NAME?</v>
      </c>
      <c r="C3275" s="1" t="s">
        <v>17554</v>
      </c>
      <c r="E3275" s="1" t="s">
        <v>17555</v>
      </c>
      <c r="G3275" s="1" t="s">
        <v>17556</v>
      </c>
      <c r="H3275" s="1" t="s">
        <v>17555</v>
      </c>
    </row>
    <row r="3276" spans="1:8" x14ac:dyDescent="0.3">
      <c r="A3276" s="2">
        <v>32354</v>
      </c>
      <c r="B3276" s="1" t="s">
        <v>17557</v>
      </c>
    </row>
    <row r="3277" spans="1:8" x14ac:dyDescent="0.3">
      <c r="A3277" s="2" t="s">
        <v>17558</v>
      </c>
      <c r="B3277" s="1" t="e">
        <f>-이/가</f>
        <v>#NAME?</v>
      </c>
      <c r="C3277" s="1" t="s">
        <v>17559</v>
      </c>
      <c r="D3277" s="1" t="s">
        <v>17560</v>
      </c>
      <c r="E3277" s="1" t="s">
        <v>17561</v>
      </c>
      <c r="F3277" s="1" t="s">
        <v>17562</v>
      </c>
      <c r="G3277" s="1" t="s">
        <v>17563</v>
      </c>
      <c r="H3277" s="1" t="s">
        <v>17564</v>
      </c>
    </row>
    <row r="3278" spans="1:8" x14ac:dyDescent="0.3">
      <c r="A3278" s="2" t="s">
        <v>17565</v>
      </c>
      <c r="B3278" s="1" t="e">
        <f>-을/를</f>
        <v>#NAME?</v>
      </c>
      <c r="C3278" s="1" t="s">
        <v>17566</v>
      </c>
      <c r="D3278" s="1" t="s">
        <v>4709</v>
      </c>
      <c r="E3278" s="1" t="s">
        <v>17567</v>
      </c>
      <c r="G3278" s="1" t="s">
        <v>17567</v>
      </c>
      <c r="H3278" s="1" t="s">
        <v>17567</v>
      </c>
    </row>
    <row r="3279" spans="1:8" x14ac:dyDescent="0.3">
      <c r="A3279" s="2" t="s">
        <v>17568</v>
      </c>
      <c r="B3279" s="1" t="e">
        <f ca="1">-에(서)</f>
        <v>#NAME?</v>
      </c>
      <c r="C3279" s="1" t="s">
        <v>17569</v>
      </c>
      <c r="E3279" s="1" t="s">
        <v>17188</v>
      </c>
      <c r="G3279" s="1" t="s">
        <v>17570</v>
      </c>
      <c r="H3279" s="1" t="s">
        <v>17571</v>
      </c>
    </row>
    <row r="3280" spans="1:8" x14ac:dyDescent="0.3">
      <c r="A3280" s="2" t="s">
        <v>17572</v>
      </c>
      <c r="B3280" s="1" t="e">
        <f>-으로</f>
        <v>#NAME?</v>
      </c>
      <c r="C3280" s="1" t="s">
        <v>17573</v>
      </c>
      <c r="D3280" s="1" t="s">
        <v>17574</v>
      </c>
      <c r="F3280" s="1" t="s">
        <v>17575</v>
      </c>
      <c r="G3280" s="1" t="s">
        <v>17576</v>
      </c>
      <c r="H3280" s="1" t="s">
        <v>17577</v>
      </c>
    </row>
    <row r="3281" spans="1:8" x14ac:dyDescent="0.3">
      <c r="A3281" s="2" t="s">
        <v>17578</v>
      </c>
      <c r="B3281" s="1" t="e">
        <f>-도</f>
        <v>#NAME?</v>
      </c>
      <c r="C3281" s="1" t="s">
        <v>17579</v>
      </c>
      <c r="D3281" s="1" t="s">
        <v>17580</v>
      </c>
      <c r="E3281" s="1" t="s">
        <v>17581</v>
      </c>
      <c r="F3281" s="1" t="s">
        <v>17169</v>
      </c>
      <c r="G3281" s="1" t="s">
        <v>17582</v>
      </c>
      <c r="H3281" s="1" t="s">
        <v>17583</v>
      </c>
    </row>
    <row r="3282" spans="1:8" x14ac:dyDescent="0.3">
      <c r="A3282" s="2">
        <v>32355</v>
      </c>
      <c r="B3282" s="1" t="s">
        <v>17584</v>
      </c>
    </row>
    <row r="3283" spans="1:8" x14ac:dyDescent="0.3">
      <c r="A3283" s="2" t="s">
        <v>17585</v>
      </c>
      <c r="B3283" s="1" t="e">
        <f>-이/가</f>
        <v>#NAME?</v>
      </c>
      <c r="C3283" s="1" t="s">
        <v>17586</v>
      </c>
      <c r="D3283" s="1" t="s">
        <v>17587</v>
      </c>
      <c r="E3283" s="1" t="s">
        <v>17588</v>
      </c>
      <c r="F3283" s="1" t="s">
        <v>17589</v>
      </c>
      <c r="G3283" s="1" t="s">
        <v>17590</v>
      </c>
      <c r="H3283" s="1" t="s">
        <v>17591</v>
      </c>
    </row>
    <row r="3284" spans="1:8" x14ac:dyDescent="0.3">
      <c r="A3284" s="2" t="s">
        <v>17592</v>
      </c>
      <c r="B3284" s="1" t="e">
        <f>-을/를</f>
        <v>#NAME?</v>
      </c>
      <c r="C3284" s="1" t="s">
        <v>17593</v>
      </c>
      <c r="E3284" s="1" t="s">
        <v>17594</v>
      </c>
      <c r="G3284" s="1" t="s">
        <v>17595</v>
      </c>
      <c r="H3284" s="1" t="s">
        <v>17596</v>
      </c>
    </row>
    <row r="3285" spans="1:8" x14ac:dyDescent="0.3">
      <c r="A3285" s="2" t="s">
        <v>17597</v>
      </c>
      <c r="B3285" s="1" t="e">
        <f ca="1">-에(서)</f>
        <v>#NAME?</v>
      </c>
      <c r="C3285" s="1" t="s">
        <v>17598</v>
      </c>
      <c r="E3285" s="1" t="s">
        <v>17599</v>
      </c>
      <c r="G3285" s="1" t="s">
        <v>17600</v>
      </c>
      <c r="H3285" s="1" t="s">
        <v>17601</v>
      </c>
    </row>
    <row r="3286" spans="1:8" x14ac:dyDescent="0.3">
      <c r="A3286" s="2" t="s">
        <v>17602</v>
      </c>
      <c r="B3286" s="1" t="e">
        <f>-으로</f>
        <v>#NAME?</v>
      </c>
      <c r="C3286" s="1" t="s">
        <v>17603</v>
      </c>
      <c r="E3286" s="1" t="s">
        <v>17604</v>
      </c>
      <c r="F3286" s="1" t="s">
        <v>17605</v>
      </c>
      <c r="G3286" s="1" t="s">
        <v>17606</v>
      </c>
      <c r="H3286" s="1" t="s">
        <v>17607</v>
      </c>
    </row>
    <row r="3287" spans="1:8" x14ac:dyDescent="0.3">
      <c r="A3287" s="2" t="s">
        <v>17608</v>
      </c>
      <c r="B3287" s="1" t="e">
        <f>-도</f>
        <v>#NAME?</v>
      </c>
      <c r="C3287" s="1" t="s">
        <v>17609</v>
      </c>
      <c r="D3287" s="1" t="s">
        <v>17587</v>
      </c>
      <c r="E3287" s="1" t="s">
        <v>17610</v>
      </c>
      <c r="F3287" s="1" t="s">
        <v>17611</v>
      </c>
      <c r="G3287" s="1" t="s">
        <v>17611</v>
      </c>
      <c r="H3287" s="1" t="s">
        <v>17611</v>
      </c>
    </row>
    <row r="3288" spans="1:8" x14ac:dyDescent="0.3">
      <c r="A3288" s="2">
        <v>32356</v>
      </c>
      <c r="B3288" s="1" t="s">
        <v>17612</v>
      </c>
    </row>
    <row r="3289" spans="1:8" x14ac:dyDescent="0.3">
      <c r="A3289" s="2" t="s">
        <v>17613</v>
      </c>
      <c r="B3289" s="1" t="e">
        <f>-이/가</f>
        <v>#NAME?</v>
      </c>
      <c r="C3289" s="1" t="s">
        <v>17614</v>
      </c>
      <c r="D3289" s="1" t="s">
        <v>17615</v>
      </c>
      <c r="E3289" s="1" t="s">
        <v>17616</v>
      </c>
      <c r="F3289" s="1" t="s">
        <v>17617</v>
      </c>
      <c r="G3289" s="1" t="s">
        <v>17616</v>
      </c>
      <c r="H3289" s="1" t="s">
        <v>17618</v>
      </c>
    </row>
    <row r="3290" spans="1:8" x14ac:dyDescent="0.3">
      <c r="A3290" s="2" t="s">
        <v>17619</v>
      </c>
      <c r="B3290" s="1" t="e">
        <f>-을/를</f>
        <v>#NAME?</v>
      </c>
      <c r="C3290" s="1" t="s">
        <v>17620</v>
      </c>
      <c r="E3290" s="1" t="s">
        <v>17621</v>
      </c>
      <c r="F3290" s="1" t="s">
        <v>17622</v>
      </c>
      <c r="G3290" s="1" t="s">
        <v>17623</v>
      </c>
      <c r="H3290" s="1" t="s">
        <v>17623</v>
      </c>
    </row>
    <row r="3291" spans="1:8" x14ac:dyDescent="0.3">
      <c r="A3291" s="2" t="s">
        <v>17624</v>
      </c>
      <c r="B3291" s="1" t="e">
        <f ca="1">-에(서)</f>
        <v>#NAME?</v>
      </c>
      <c r="C3291" s="1" t="s">
        <v>17625</v>
      </c>
      <c r="E3291" s="1" t="s">
        <v>17626</v>
      </c>
      <c r="G3291" s="1" t="s">
        <v>17626</v>
      </c>
      <c r="H3291" s="1" t="s">
        <v>17626</v>
      </c>
    </row>
    <row r="3292" spans="1:8" x14ac:dyDescent="0.3">
      <c r="A3292" s="2" t="s">
        <v>17627</v>
      </c>
      <c r="B3292" s="1" t="e">
        <f>-으로</f>
        <v>#NAME?</v>
      </c>
      <c r="C3292" s="1" t="s">
        <v>17628</v>
      </c>
      <c r="E3292" s="1" t="s">
        <v>17629</v>
      </c>
      <c r="G3292" s="1" t="s">
        <v>17630</v>
      </c>
      <c r="H3292" s="1" t="s">
        <v>17631</v>
      </c>
    </row>
    <row r="3293" spans="1:8" x14ac:dyDescent="0.3">
      <c r="A3293" s="2" t="s">
        <v>17632</v>
      </c>
      <c r="B3293" s="1" t="e">
        <f>-도</f>
        <v>#NAME?</v>
      </c>
      <c r="C3293" s="1" t="s">
        <v>17633</v>
      </c>
      <c r="D3293" s="1" t="s">
        <v>17634</v>
      </c>
      <c r="E3293" s="1" t="s">
        <v>17635</v>
      </c>
      <c r="F3293" s="1" t="s">
        <v>17635</v>
      </c>
      <c r="G3293" s="1" t="s">
        <v>17636</v>
      </c>
      <c r="H3293" s="1" t="s">
        <v>17637</v>
      </c>
    </row>
    <row r="3294" spans="1:8" x14ac:dyDescent="0.3">
      <c r="A3294" s="2">
        <v>32357</v>
      </c>
      <c r="B3294" s="1" t="s">
        <v>17638</v>
      </c>
    </row>
    <row r="3295" spans="1:8" x14ac:dyDescent="0.3">
      <c r="A3295" s="2" t="s">
        <v>17639</v>
      </c>
      <c r="B3295" s="1" t="e">
        <f>-이/가</f>
        <v>#NAME?</v>
      </c>
      <c r="C3295" s="1" t="s">
        <v>17640</v>
      </c>
      <c r="D3295" s="1" t="s">
        <v>17641</v>
      </c>
      <c r="E3295" s="1" t="s">
        <v>17642</v>
      </c>
      <c r="F3295" s="1" t="s">
        <v>17643</v>
      </c>
      <c r="G3295" s="1" t="s">
        <v>17644</v>
      </c>
      <c r="H3295" s="1" t="s">
        <v>17645</v>
      </c>
    </row>
    <row r="3296" spans="1:8" x14ac:dyDescent="0.3">
      <c r="A3296" s="2" t="s">
        <v>17646</v>
      </c>
      <c r="B3296" s="1" t="e">
        <f>-을/를</f>
        <v>#NAME?</v>
      </c>
      <c r="C3296" s="1" t="s">
        <v>17647</v>
      </c>
      <c r="D3296" s="1" t="s">
        <v>17648</v>
      </c>
      <c r="E3296" s="1" t="s">
        <v>17649</v>
      </c>
      <c r="F3296" s="1" t="s">
        <v>17650</v>
      </c>
      <c r="G3296" s="1" t="s">
        <v>17651</v>
      </c>
      <c r="H3296" s="1" t="s">
        <v>17652</v>
      </c>
    </row>
    <row r="3297" spans="1:8" x14ac:dyDescent="0.3">
      <c r="A3297" s="2" t="s">
        <v>17653</v>
      </c>
      <c r="B3297" s="1" t="e">
        <f ca="1">-에(서)</f>
        <v>#NAME?</v>
      </c>
      <c r="C3297" s="1" t="s">
        <v>17654</v>
      </c>
      <c r="E3297" s="1" t="s">
        <v>17655</v>
      </c>
      <c r="G3297" s="1" t="s">
        <v>17656</v>
      </c>
      <c r="H3297" s="1" t="s">
        <v>17657</v>
      </c>
    </row>
    <row r="3298" spans="1:8" x14ac:dyDescent="0.3">
      <c r="A3298" s="2" t="s">
        <v>17658</v>
      </c>
      <c r="B3298" s="1" t="e">
        <f>-으로</f>
        <v>#NAME?</v>
      </c>
      <c r="C3298" s="1" t="s">
        <v>17659</v>
      </c>
      <c r="E3298" s="1" t="s">
        <v>17660</v>
      </c>
      <c r="G3298" s="1" t="s">
        <v>17660</v>
      </c>
    </row>
    <row r="3299" spans="1:8" x14ac:dyDescent="0.3">
      <c r="A3299" s="2" t="s">
        <v>17661</v>
      </c>
      <c r="B3299" s="1" t="e">
        <f>-도</f>
        <v>#NAME?</v>
      </c>
      <c r="C3299" s="1" t="s">
        <v>17662</v>
      </c>
      <c r="D3299" s="1" t="s">
        <v>17663</v>
      </c>
      <c r="F3299" s="1" t="s">
        <v>17664</v>
      </c>
      <c r="G3299" s="1" t="s">
        <v>17665</v>
      </c>
      <c r="H3299" s="1" t="s">
        <v>17666</v>
      </c>
    </row>
    <row r="3300" spans="1:8" x14ac:dyDescent="0.3">
      <c r="A3300" s="2">
        <v>32358</v>
      </c>
      <c r="B3300" s="1" t="s">
        <v>17667</v>
      </c>
    </row>
    <row r="3301" spans="1:8" x14ac:dyDescent="0.3">
      <c r="A3301" s="2" t="s">
        <v>17668</v>
      </c>
      <c r="B3301" s="1" t="e">
        <f>-이/가</f>
        <v>#NAME?</v>
      </c>
      <c r="C3301" s="1" t="s">
        <v>17669</v>
      </c>
      <c r="D3301" s="1" t="s">
        <v>17670</v>
      </c>
      <c r="E3301" s="1" t="s">
        <v>17671</v>
      </c>
      <c r="F3301" s="1" t="s">
        <v>17671</v>
      </c>
      <c r="G3301" s="1" t="s">
        <v>17671</v>
      </c>
      <c r="H3301" s="1" t="s">
        <v>17672</v>
      </c>
    </row>
    <row r="3302" spans="1:8" x14ac:dyDescent="0.3">
      <c r="A3302" s="2" t="s">
        <v>17673</v>
      </c>
      <c r="B3302" s="1" t="e">
        <f>-을/를</f>
        <v>#NAME?</v>
      </c>
      <c r="C3302" s="1" t="s">
        <v>17674</v>
      </c>
      <c r="D3302" s="1" t="s">
        <v>17675</v>
      </c>
      <c r="E3302" s="1" t="s">
        <v>17676</v>
      </c>
      <c r="F3302" s="1" t="s">
        <v>17677</v>
      </c>
      <c r="G3302" s="1" t="s">
        <v>17678</v>
      </c>
      <c r="H3302" s="1" t="s">
        <v>17679</v>
      </c>
    </row>
    <row r="3303" spans="1:8" x14ac:dyDescent="0.3">
      <c r="A3303" s="2" t="s">
        <v>17680</v>
      </c>
      <c r="B3303" s="1" t="e">
        <f ca="1">-에(서)</f>
        <v>#NAME?</v>
      </c>
      <c r="C3303" s="1" t="s">
        <v>17681</v>
      </c>
      <c r="E3303" s="1" t="s">
        <v>17682</v>
      </c>
      <c r="G3303" s="1" t="s">
        <v>17683</v>
      </c>
      <c r="H3303" s="1" t="s">
        <v>17684</v>
      </c>
    </row>
    <row r="3304" spans="1:8" x14ac:dyDescent="0.3">
      <c r="A3304" s="2" t="s">
        <v>17685</v>
      </c>
      <c r="B3304" s="1" t="e">
        <f>-으로</f>
        <v>#NAME?</v>
      </c>
      <c r="C3304" s="1" t="s">
        <v>17686</v>
      </c>
      <c r="E3304" s="1" t="s">
        <v>17687</v>
      </c>
      <c r="F3304" s="1" t="s">
        <v>17688</v>
      </c>
      <c r="G3304" s="1" t="s">
        <v>17689</v>
      </c>
      <c r="H3304" s="1" t="s">
        <v>17690</v>
      </c>
    </row>
    <row r="3305" spans="1:8" x14ac:dyDescent="0.3">
      <c r="A3305" s="2" t="s">
        <v>17691</v>
      </c>
      <c r="B3305" s="1" t="e">
        <f>-도</f>
        <v>#NAME?</v>
      </c>
      <c r="C3305" s="1" t="s">
        <v>17692</v>
      </c>
      <c r="D3305" s="1" t="s">
        <v>17693</v>
      </c>
      <c r="E3305" s="1" t="s">
        <v>17694</v>
      </c>
      <c r="F3305" s="1" t="s">
        <v>1476</v>
      </c>
      <c r="G3305" s="1" t="s">
        <v>17694</v>
      </c>
      <c r="H3305" s="1" t="s">
        <v>17695</v>
      </c>
    </row>
    <row r="3306" spans="1:8" x14ac:dyDescent="0.3">
      <c r="A3306" s="2">
        <v>32359</v>
      </c>
      <c r="B3306" s="1" t="s">
        <v>17696</v>
      </c>
    </row>
    <row r="3307" spans="1:8" x14ac:dyDescent="0.3">
      <c r="A3307" s="2" t="s">
        <v>17697</v>
      </c>
      <c r="B3307" s="1" t="e">
        <f>-이/가</f>
        <v>#NAME?</v>
      </c>
      <c r="C3307" s="1" t="s">
        <v>17698</v>
      </c>
      <c r="D3307" s="1" t="s">
        <v>17699</v>
      </c>
      <c r="E3307" s="1" t="s">
        <v>17700</v>
      </c>
      <c r="F3307" s="1" t="s">
        <v>17701</v>
      </c>
      <c r="G3307" s="1" t="s">
        <v>17701</v>
      </c>
      <c r="H3307" s="1" t="s">
        <v>17702</v>
      </c>
    </row>
    <row r="3308" spans="1:8" x14ac:dyDescent="0.3">
      <c r="A3308" s="2" t="s">
        <v>17703</v>
      </c>
      <c r="B3308" s="1" t="e">
        <f>-을/를</f>
        <v>#NAME?</v>
      </c>
      <c r="C3308" s="1" t="s">
        <v>17704</v>
      </c>
      <c r="E3308" s="1" t="s">
        <v>17705</v>
      </c>
      <c r="F3308" s="1" t="s">
        <v>17706</v>
      </c>
      <c r="G3308" s="1" t="s">
        <v>17707</v>
      </c>
      <c r="H3308" s="1" t="s">
        <v>17708</v>
      </c>
    </row>
    <row r="3309" spans="1:8" x14ac:dyDescent="0.3">
      <c r="A3309" s="2" t="s">
        <v>17709</v>
      </c>
      <c r="B3309" s="1" t="e">
        <f ca="1">-에(서)</f>
        <v>#NAME?</v>
      </c>
      <c r="C3309" s="1" t="s">
        <v>17710</v>
      </c>
      <c r="D3309" s="1" t="s">
        <v>17711</v>
      </c>
      <c r="E3309" s="1" t="s">
        <v>17712</v>
      </c>
      <c r="F3309" s="1" t="s">
        <v>17713</v>
      </c>
      <c r="G3309" s="1" t="s">
        <v>17714</v>
      </c>
      <c r="H3309" s="1" t="s">
        <v>17715</v>
      </c>
    </row>
    <row r="3310" spans="1:8" x14ac:dyDescent="0.3">
      <c r="A3310" s="2" t="s">
        <v>17716</v>
      </c>
      <c r="B3310" s="1" t="e">
        <f>-으로</f>
        <v>#NAME?</v>
      </c>
      <c r="C3310" s="1" t="s">
        <v>17717</v>
      </c>
      <c r="D3310" s="1" t="s">
        <v>17718</v>
      </c>
      <c r="E3310" s="1" t="s">
        <v>17719</v>
      </c>
      <c r="G3310" s="1" t="s">
        <v>17720</v>
      </c>
      <c r="H3310" s="1" t="s">
        <v>17721</v>
      </c>
    </row>
    <row r="3311" spans="1:8" x14ac:dyDescent="0.3">
      <c r="A3311" s="2" t="s">
        <v>17722</v>
      </c>
      <c r="B3311" s="1" t="e">
        <f>-도</f>
        <v>#NAME?</v>
      </c>
      <c r="C3311" s="1" t="s">
        <v>17723</v>
      </c>
      <c r="D3311" s="1" t="s">
        <v>17699</v>
      </c>
      <c r="E3311" s="1" t="s">
        <v>17724</v>
      </c>
      <c r="F3311" s="1" t="s">
        <v>17725</v>
      </c>
      <c r="G3311" s="1" t="s">
        <v>17726</v>
      </c>
      <c r="H3311" s="1" t="s">
        <v>17727</v>
      </c>
    </row>
    <row r="3312" spans="1:8" x14ac:dyDescent="0.3">
      <c r="A3312" s="2">
        <v>32360</v>
      </c>
      <c r="B3312" s="1" t="s">
        <v>17728</v>
      </c>
    </row>
    <row r="3313" spans="1:8" x14ac:dyDescent="0.3">
      <c r="A3313" s="2" t="s">
        <v>17729</v>
      </c>
      <c r="B3313" s="1" t="e">
        <f>-이/가</f>
        <v>#NAME?</v>
      </c>
      <c r="C3313" s="1" t="s">
        <v>17730</v>
      </c>
      <c r="D3313" s="1" t="s">
        <v>17731</v>
      </c>
      <c r="E3313" s="1" t="s">
        <v>17732</v>
      </c>
      <c r="F3313" s="1" t="s">
        <v>17733</v>
      </c>
      <c r="G3313" s="1" t="s">
        <v>17734</v>
      </c>
      <c r="H3313" s="1" t="s">
        <v>17735</v>
      </c>
    </row>
    <row r="3314" spans="1:8" x14ac:dyDescent="0.3">
      <c r="A3314" s="2" t="s">
        <v>17736</v>
      </c>
      <c r="B3314" s="1" t="e">
        <f>-을/를</f>
        <v>#NAME?</v>
      </c>
      <c r="C3314" s="1" t="s">
        <v>17737</v>
      </c>
      <c r="D3314" s="1" t="s">
        <v>17738</v>
      </c>
      <c r="E3314" s="1" t="s">
        <v>17739</v>
      </c>
      <c r="F3314" s="1" t="s">
        <v>17740</v>
      </c>
      <c r="G3314" s="1" t="s">
        <v>17741</v>
      </c>
      <c r="H3314" s="1" t="s">
        <v>17742</v>
      </c>
    </row>
    <row r="3315" spans="1:8" x14ac:dyDescent="0.3">
      <c r="A3315" s="2" t="s">
        <v>17743</v>
      </c>
      <c r="B3315" s="1" t="e">
        <f ca="1">-에(서)</f>
        <v>#NAME?</v>
      </c>
      <c r="C3315" s="1" t="s">
        <v>17744</v>
      </c>
    </row>
    <row r="3316" spans="1:8" x14ac:dyDescent="0.3">
      <c r="A3316" s="2" t="s">
        <v>17745</v>
      </c>
      <c r="B3316" s="1" t="e">
        <f>-으로</f>
        <v>#NAME?</v>
      </c>
      <c r="C3316" s="1" t="s">
        <v>17746</v>
      </c>
      <c r="D3316" s="1" t="s">
        <v>17747</v>
      </c>
      <c r="E3316" s="1" t="s">
        <v>17748</v>
      </c>
      <c r="G3316" s="1" t="s">
        <v>17749</v>
      </c>
      <c r="H3316" s="1" t="s">
        <v>17750</v>
      </c>
    </row>
    <row r="3317" spans="1:8" x14ac:dyDescent="0.3">
      <c r="A3317" s="2" t="s">
        <v>17751</v>
      </c>
      <c r="B3317" s="1" t="e">
        <f>-도</f>
        <v>#NAME?</v>
      </c>
      <c r="C3317" s="1" t="s">
        <v>17752</v>
      </c>
      <c r="E3317" s="1" t="s">
        <v>17753</v>
      </c>
      <c r="F3317" s="1" t="s">
        <v>17754</v>
      </c>
      <c r="G3317" s="1" t="s">
        <v>17755</v>
      </c>
      <c r="H3317" s="1" t="s">
        <v>17756</v>
      </c>
    </row>
    <row r="3318" spans="1:8" x14ac:dyDescent="0.3">
      <c r="A3318" s="2">
        <v>32361</v>
      </c>
      <c r="B3318" s="1" t="s">
        <v>17757</v>
      </c>
    </row>
    <row r="3319" spans="1:8" x14ac:dyDescent="0.3">
      <c r="A3319" s="2" t="s">
        <v>17758</v>
      </c>
      <c r="B3319" s="1" t="e">
        <f>-이/가</f>
        <v>#NAME?</v>
      </c>
      <c r="C3319" s="1" t="s">
        <v>17759</v>
      </c>
      <c r="D3319" s="1" t="s">
        <v>17760</v>
      </c>
      <c r="E3319" s="1" t="s">
        <v>17761</v>
      </c>
      <c r="F3319" s="1" t="s">
        <v>17762</v>
      </c>
      <c r="G3319" s="1" t="s">
        <v>17763</v>
      </c>
      <c r="H3319" s="1" t="s">
        <v>17764</v>
      </c>
    </row>
    <row r="3320" spans="1:8" x14ac:dyDescent="0.3">
      <c r="A3320" s="2" t="s">
        <v>17765</v>
      </c>
      <c r="B3320" s="1" t="e">
        <f>-을/를</f>
        <v>#NAME?</v>
      </c>
      <c r="C3320" s="1" t="s">
        <v>17766</v>
      </c>
      <c r="D3320" s="1" t="s">
        <v>17767</v>
      </c>
      <c r="E3320" s="1" t="s">
        <v>17768</v>
      </c>
      <c r="F3320" s="1" t="s">
        <v>17769</v>
      </c>
      <c r="G3320" s="1" t="s">
        <v>17770</v>
      </c>
      <c r="H3320" s="1" t="s">
        <v>17771</v>
      </c>
    </row>
    <row r="3321" spans="1:8" x14ac:dyDescent="0.3">
      <c r="A3321" s="2" t="s">
        <v>17772</v>
      </c>
      <c r="B3321" s="1" t="e">
        <f ca="1">-에(서)</f>
        <v>#NAME?</v>
      </c>
      <c r="C3321" s="1" t="s">
        <v>17773</v>
      </c>
      <c r="E3321" s="1" t="s">
        <v>17774</v>
      </c>
      <c r="G3321" s="1" t="s">
        <v>17775</v>
      </c>
      <c r="H3321" s="1" t="s">
        <v>17776</v>
      </c>
    </row>
    <row r="3322" spans="1:8" x14ac:dyDescent="0.3">
      <c r="A3322" s="2" t="s">
        <v>17777</v>
      </c>
      <c r="B3322" s="1" t="e">
        <f>-으로</f>
        <v>#NAME?</v>
      </c>
      <c r="C3322" s="1" t="s">
        <v>17778</v>
      </c>
      <c r="E3322" s="1" t="s">
        <v>17779</v>
      </c>
      <c r="F3322" s="1" t="s">
        <v>17780</v>
      </c>
      <c r="G3322" s="1" t="s">
        <v>17781</v>
      </c>
      <c r="H3322" s="1" t="s">
        <v>17782</v>
      </c>
    </row>
    <row r="3323" spans="1:8" x14ac:dyDescent="0.3">
      <c r="A3323" s="2" t="s">
        <v>17783</v>
      </c>
      <c r="B3323" s="1" t="e">
        <f>-도</f>
        <v>#NAME?</v>
      </c>
      <c r="C3323" s="1" t="s">
        <v>17784</v>
      </c>
      <c r="E3323" s="1" t="s">
        <v>17785</v>
      </c>
      <c r="F3323" s="1" t="s">
        <v>17786</v>
      </c>
      <c r="G3323" s="1" t="s">
        <v>17787</v>
      </c>
      <c r="H3323" s="1" t="s">
        <v>17787</v>
      </c>
    </row>
    <row r="3324" spans="1:8" x14ac:dyDescent="0.3">
      <c r="A3324" s="2">
        <v>32362</v>
      </c>
      <c r="B3324" s="1" t="s">
        <v>17788</v>
      </c>
    </row>
    <row r="3325" spans="1:8" x14ac:dyDescent="0.3">
      <c r="A3325" s="2" t="s">
        <v>17789</v>
      </c>
      <c r="B3325" s="1" t="e">
        <f>-이/가</f>
        <v>#NAME?</v>
      </c>
      <c r="C3325" s="1" t="s">
        <v>17790</v>
      </c>
      <c r="E3325" s="1" t="s">
        <v>17791</v>
      </c>
      <c r="F3325" s="1" t="s">
        <v>17792</v>
      </c>
      <c r="G3325" s="1" t="s">
        <v>17793</v>
      </c>
      <c r="H3325" s="1" t="s">
        <v>17794</v>
      </c>
    </row>
    <row r="3326" spans="1:8" x14ac:dyDescent="0.3">
      <c r="A3326" s="2" t="s">
        <v>17795</v>
      </c>
      <c r="B3326" s="1" t="e">
        <f>-을/를</f>
        <v>#NAME?</v>
      </c>
      <c r="C3326" s="1" t="s">
        <v>17796</v>
      </c>
      <c r="G3326" s="1" t="s">
        <v>17797</v>
      </c>
      <c r="H3326" s="1" t="s">
        <v>17798</v>
      </c>
    </row>
    <row r="3327" spans="1:8" x14ac:dyDescent="0.3">
      <c r="A3327" s="2" t="s">
        <v>17799</v>
      </c>
      <c r="B3327" s="1" t="e">
        <f ca="1">-에(서)</f>
        <v>#NAME?</v>
      </c>
      <c r="C3327" s="1" t="s">
        <v>17800</v>
      </c>
      <c r="D3327" s="1" t="s">
        <v>17801</v>
      </c>
      <c r="E3327" s="1" t="s">
        <v>17802</v>
      </c>
      <c r="F3327" s="1" t="s">
        <v>17803</v>
      </c>
      <c r="G3327" s="1" t="s">
        <v>17804</v>
      </c>
      <c r="H3327" s="1" t="s">
        <v>17805</v>
      </c>
    </row>
    <row r="3328" spans="1:8" x14ac:dyDescent="0.3">
      <c r="A3328" s="2" t="s">
        <v>17806</v>
      </c>
      <c r="B3328" s="1" t="e">
        <f>-으로</f>
        <v>#NAME?</v>
      </c>
      <c r="C3328" s="1" t="s">
        <v>17807</v>
      </c>
      <c r="E3328" s="1" t="s">
        <v>17808</v>
      </c>
      <c r="G3328" s="1" t="s">
        <v>17809</v>
      </c>
      <c r="H3328" s="1" t="s">
        <v>17810</v>
      </c>
    </row>
    <row r="3329" spans="1:8" x14ac:dyDescent="0.3">
      <c r="A3329" s="2" t="s">
        <v>17811</v>
      </c>
      <c r="B3329" s="1" t="e">
        <f>-도</f>
        <v>#NAME?</v>
      </c>
      <c r="C3329" s="1" t="s">
        <v>17812</v>
      </c>
      <c r="H3329" s="1" t="s">
        <v>17813</v>
      </c>
    </row>
    <row r="3330" spans="1:8" x14ac:dyDescent="0.3">
      <c r="A3330" s="2">
        <v>40101</v>
      </c>
      <c r="B3330" s="1" t="s">
        <v>17814</v>
      </c>
      <c r="E3330" s="1" t="s">
        <v>17815</v>
      </c>
      <c r="G3330" s="1" t="s">
        <v>17816</v>
      </c>
      <c r="H3330" s="1" t="s">
        <v>17814</v>
      </c>
    </row>
    <row r="3331" spans="1:8" x14ac:dyDescent="0.3">
      <c r="A3331" s="2" t="s">
        <v>17817</v>
      </c>
      <c r="B3331" s="1" t="s">
        <v>17818</v>
      </c>
      <c r="C3331" s="1" t="s">
        <v>17819</v>
      </c>
      <c r="D3331" s="1" t="s">
        <v>17820</v>
      </c>
      <c r="E3331" s="1" t="s">
        <v>17821</v>
      </c>
      <c r="F3331" s="1" t="s">
        <v>17822</v>
      </c>
      <c r="G3331" s="1" t="s">
        <v>17823</v>
      </c>
      <c r="H3331" s="1" t="s">
        <v>17824</v>
      </c>
    </row>
    <row r="3332" spans="1:8" x14ac:dyDescent="0.3">
      <c r="A3332" s="2" t="s">
        <v>17825</v>
      </c>
      <c r="B3332" s="1" t="s">
        <v>17818</v>
      </c>
      <c r="C3332" s="1" t="s">
        <v>17826</v>
      </c>
      <c r="D3332" s="1" t="s">
        <v>17827</v>
      </c>
      <c r="E3332" s="1" t="s">
        <v>17828</v>
      </c>
      <c r="F3332" s="1" t="s">
        <v>17829</v>
      </c>
      <c r="G3332" s="1" t="s">
        <v>17830</v>
      </c>
      <c r="H3332" s="1" t="s">
        <v>17831</v>
      </c>
    </row>
    <row r="3333" spans="1:8" x14ac:dyDescent="0.3">
      <c r="A3333" s="2" t="s">
        <v>17832</v>
      </c>
      <c r="B3333" s="1" t="s">
        <v>17833</v>
      </c>
      <c r="C3333" s="1" t="s">
        <v>17834</v>
      </c>
      <c r="D3333" s="1" t="s">
        <v>17835</v>
      </c>
      <c r="E3333" s="1" t="s">
        <v>17836</v>
      </c>
      <c r="F3333" s="1" t="s">
        <v>17837</v>
      </c>
      <c r="G3333" s="1" t="s">
        <v>17838</v>
      </c>
      <c r="H3333" s="1" t="s">
        <v>17839</v>
      </c>
    </row>
    <row r="3334" spans="1:8" x14ac:dyDescent="0.3">
      <c r="A3334" s="2" t="s">
        <v>17840</v>
      </c>
      <c r="B3334" s="1" t="s">
        <v>17841</v>
      </c>
      <c r="C3334" s="1" t="s">
        <v>17842</v>
      </c>
      <c r="D3334" s="1" t="s">
        <v>17843</v>
      </c>
      <c r="E3334" s="1" t="s">
        <v>17844</v>
      </c>
      <c r="F3334" s="1" t="s">
        <v>17845</v>
      </c>
      <c r="G3334" s="1" t="s">
        <v>17846</v>
      </c>
      <c r="H3334" s="1" t="s">
        <v>17847</v>
      </c>
    </row>
    <row r="3335" spans="1:8" x14ac:dyDescent="0.3">
      <c r="A3335" s="2" t="s">
        <v>17848</v>
      </c>
      <c r="B3335" s="1" t="s">
        <v>17849</v>
      </c>
      <c r="C3335" s="1" t="s">
        <v>17850</v>
      </c>
      <c r="D3335" s="1" t="s">
        <v>17851</v>
      </c>
      <c r="E3335" s="1" t="s">
        <v>17852</v>
      </c>
      <c r="F3335" s="1" t="s">
        <v>17853</v>
      </c>
      <c r="G3335" s="1" t="s">
        <v>17854</v>
      </c>
      <c r="H3335" s="1" t="s">
        <v>17855</v>
      </c>
    </row>
    <row r="3336" spans="1:8" x14ac:dyDescent="0.3">
      <c r="A3336" s="2" t="s">
        <v>17856</v>
      </c>
      <c r="B3336" s="1" t="s">
        <v>17857</v>
      </c>
      <c r="C3336" s="1" t="s">
        <v>17858</v>
      </c>
      <c r="D3336" s="1" t="s">
        <v>17859</v>
      </c>
      <c r="E3336" s="1" t="s">
        <v>17860</v>
      </c>
      <c r="F3336" s="1" t="s">
        <v>17861</v>
      </c>
      <c r="G3336" s="1" t="s">
        <v>17860</v>
      </c>
      <c r="H3336" s="1" t="s">
        <v>17861</v>
      </c>
    </row>
    <row r="3337" spans="1:8" x14ac:dyDescent="0.3">
      <c r="A3337" s="2" t="s">
        <v>17862</v>
      </c>
      <c r="B3337" s="1" t="s">
        <v>17863</v>
      </c>
      <c r="C3337" s="1" t="s">
        <v>17864</v>
      </c>
      <c r="D3337" s="1" t="s">
        <v>17865</v>
      </c>
      <c r="E3337" s="1" t="s">
        <v>17866</v>
      </c>
      <c r="F3337" s="1" t="s">
        <v>17867</v>
      </c>
      <c r="G3337" s="1" t="s">
        <v>17868</v>
      </c>
      <c r="H3337" s="1" t="s">
        <v>17869</v>
      </c>
    </row>
    <row r="3338" spans="1:8" x14ac:dyDescent="0.3">
      <c r="A3338" s="2">
        <v>40102</v>
      </c>
      <c r="B3338" s="1" t="s">
        <v>17870</v>
      </c>
      <c r="C3338" s="1" t="s">
        <v>17871</v>
      </c>
      <c r="D3338" s="1" t="s">
        <v>17872</v>
      </c>
      <c r="E3338" s="1" t="s">
        <v>17873</v>
      </c>
      <c r="G3338" s="1" t="s">
        <v>17874</v>
      </c>
      <c r="H3338" s="1" t="s">
        <v>17875</v>
      </c>
    </row>
    <row r="3339" spans="1:8" x14ac:dyDescent="0.3">
      <c r="A3339" s="2" t="s">
        <v>17876</v>
      </c>
      <c r="B3339" s="1" t="s">
        <v>17877</v>
      </c>
      <c r="C3339" s="1" t="s">
        <v>17878</v>
      </c>
      <c r="D3339" s="1" t="s">
        <v>17879</v>
      </c>
      <c r="E3339" s="1" t="s">
        <v>17880</v>
      </c>
      <c r="F3339" s="1" t="s">
        <v>17881</v>
      </c>
      <c r="G3339" s="1" t="s">
        <v>17882</v>
      </c>
      <c r="H3339" s="1" t="s">
        <v>17883</v>
      </c>
    </row>
    <row r="3340" spans="1:8" x14ac:dyDescent="0.3">
      <c r="A3340" s="2" t="s">
        <v>17884</v>
      </c>
      <c r="B3340" s="1" t="s">
        <v>17885</v>
      </c>
      <c r="C3340" s="1" t="s">
        <v>17886</v>
      </c>
      <c r="D3340" s="1" t="s">
        <v>17887</v>
      </c>
      <c r="E3340" s="1" t="s">
        <v>17888</v>
      </c>
      <c r="F3340" s="1" t="s">
        <v>17889</v>
      </c>
      <c r="G3340" s="1" t="s">
        <v>17890</v>
      </c>
      <c r="H3340" s="1" t="s">
        <v>17891</v>
      </c>
    </row>
    <row r="3341" spans="1:8" x14ac:dyDescent="0.3">
      <c r="A3341" s="2" t="s">
        <v>17892</v>
      </c>
      <c r="B3341" s="1" t="s">
        <v>17893</v>
      </c>
      <c r="C3341" s="1" t="s">
        <v>17894</v>
      </c>
      <c r="D3341" s="1" t="s">
        <v>17895</v>
      </c>
      <c r="E3341" s="1" t="s">
        <v>17896</v>
      </c>
      <c r="F3341" s="1" t="s">
        <v>17897</v>
      </c>
      <c r="G3341" s="1" t="s">
        <v>17896</v>
      </c>
      <c r="H3341" s="1" t="s">
        <v>17898</v>
      </c>
    </row>
    <row r="3342" spans="1:8" x14ac:dyDescent="0.3">
      <c r="A3342" s="2" t="s">
        <v>17899</v>
      </c>
      <c r="B3342" s="1" t="s">
        <v>17900</v>
      </c>
      <c r="C3342" s="1" t="s">
        <v>17901</v>
      </c>
      <c r="D3342" s="1" t="s">
        <v>17902</v>
      </c>
      <c r="E3342" s="1" t="s">
        <v>17903</v>
      </c>
      <c r="F3342" s="1" t="s">
        <v>17904</v>
      </c>
      <c r="G3342" s="1" t="s">
        <v>17905</v>
      </c>
      <c r="H3342" s="1" t="s">
        <v>17906</v>
      </c>
    </row>
    <row r="3343" spans="1:8" x14ac:dyDescent="0.3">
      <c r="A3343" s="2" t="s">
        <v>17907</v>
      </c>
      <c r="B3343" s="1" t="s">
        <v>17908</v>
      </c>
      <c r="C3343" s="1" t="s">
        <v>17909</v>
      </c>
      <c r="D3343" s="1" t="s">
        <v>17910</v>
      </c>
      <c r="E3343" s="1" t="s">
        <v>17911</v>
      </c>
      <c r="F3343" s="1" t="s">
        <v>17912</v>
      </c>
      <c r="G3343" s="1" t="s">
        <v>17913</v>
      </c>
      <c r="H3343" s="1" t="s">
        <v>17914</v>
      </c>
    </row>
    <row r="3344" spans="1:8" x14ac:dyDescent="0.3">
      <c r="A3344" s="2" t="s">
        <v>17915</v>
      </c>
      <c r="B3344" s="1" t="s">
        <v>17916</v>
      </c>
      <c r="C3344" s="1" t="s">
        <v>17917</v>
      </c>
      <c r="D3344" s="1" t="s">
        <v>17918</v>
      </c>
      <c r="E3344" s="1" t="s">
        <v>17919</v>
      </c>
      <c r="F3344" s="1" t="s">
        <v>17920</v>
      </c>
      <c r="G3344" s="1" t="s">
        <v>17919</v>
      </c>
      <c r="H3344" s="1" t="s">
        <v>17921</v>
      </c>
    </row>
    <row r="3345" spans="1:8" x14ac:dyDescent="0.3">
      <c r="A3345" s="2" t="s">
        <v>17922</v>
      </c>
      <c r="B3345" s="1" t="s">
        <v>17923</v>
      </c>
      <c r="C3345" s="1" t="s">
        <v>17924</v>
      </c>
      <c r="D3345" s="1" t="s">
        <v>17925</v>
      </c>
      <c r="E3345" s="1" t="s">
        <v>17926</v>
      </c>
      <c r="F3345" s="1" t="s">
        <v>17927</v>
      </c>
      <c r="G3345" s="1" t="s">
        <v>17928</v>
      </c>
      <c r="H3345" s="1" t="s">
        <v>17929</v>
      </c>
    </row>
    <row r="3346" spans="1:8" x14ac:dyDescent="0.3">
      <c r="A3346" s="2">
        <v>40103</v>
      </c>
      <c r="B3346" s="1" t="s">
        <v>17930</v>
      </c>
      <c r="C3346" s="1" t="s">
        <v>17931</v>
      </c>
      <c r="D3346" s="1" t="s">
        <v>17932</v>
      </c>
      <c r="E3346" s="1" t="s">
        <v>17933</v>
      </c>
      <c r="F3346" s="1" t="s">
        <v>17934</v>
      </c>
      <c r="G3346" s="1" t="s">
        <v>17935</v>
      </c>
      <c r="H3346" s="1" t="s">
        <v>17936</v>
      </c>
    </row>
    <row r="3347" spans="1:8" x14ac:dyDescent="0.3">
      <c r="A3347" s="2">
        <v>40104</v>
      </c>
      <c r="B3347" s="1" t="s">
        <v>17937</v>
      </c>
      <c r="C3347" s="1" t="s">
        <v>17938</v>
      </c>
      <c r="D3347" s="1" t="s">
        <v>17939</v>
      </c>
      <c r="E3347" s="1" t="s">
        <v>17940</v>
      </c>
      <c r="G3347" s="1" t="s">
        <v>17941</v>
      </c>
      <c r="H3347" s="1" t="s">
        <v>17942</v>
      </c>
    </row>
    <row r="3348" spans="1:8" x14ac:dyDescent="0.3">
      <c r="A3348" s="2">
        <v>40105</v>
      </c>
      <c r="B3348" s="1" t="s">
        <v>17943</v>
      </c>
      <c r="C3348" s="1" t="s">
        <v>17944</v>
      </c>
      <c r="D3348" s="1" t="s">
        <v>17943</v>
      </c>
      <c r="G3348" s="1" t="s">
        <v>17943</v>
      </c>
      <c r="H3348" s="1" t="s">
        <v>17945</v>
      </c>
    </row>
    <row r="3349" spans="1:8" x14ac:dyDescent="0.3">
      <c r="A3349" s="2" t="s">
        <v>17946</v>
      </c>
      <c r="B3349" s="1" t="s">
        <v>17947</v>
      </c>
      <c r="C3349" s="1" t="s">
        <v>17948</v>
      </c>
      <c r="D3349" s="1" t="s">
        <v>17949</v>
      </c>
      <c r="E3349" s="1" t="s">
        <v>17950</v>
      </c>
      <c r="F3349" s="1" t="s">
        <v>17950</v>
      </c>
      <c r="G3349" s="1" t="s">
        <v>17951</v>
      </c>
      <c r="H3349" s="1" t="s">
        <v>17952</v>
      </c>
    </row>
    <row r="3350" spans="1:8" x14ac:dyDescent="0.3">
      <c r="A3350" s="2" t="s">
        <v>17953</v>
      </c>
      <c r="B3350" s="1" t="s">
        <v>17954</v>
      </c>
      <c r="C3350" s="1" t="s">
        <v>17955</v>
      </c>
      <c r="D3350" s="1" t="s">
        <v>17956</v>
      </c>
      <c r="E3350" s="1" t="s">
        <v>17957</v>
      </c>
      <c r="F3350" s="1" t="s">
        <v>17958</v>
      </c>
      <c r="G3350" s="1" t="s">
        <v>17959</v>
      </c>
      <c r="H3350" s="1" t="s">
        <v>17960</v>
      </c>
    </row>
    <row r="3351" spans="1:8" x14ac:dyDescent="0.3">
      <c r="A3351" s="2" t="s">
        <v>17961</v>
      </c>
      <c r="B3351" s="1" t="s">
        <v>17962</v>
      </c>
      <c r="C3351" s="1" t="s">
        <v>17963</v>
      </c>
      <c r="D3351" s="1" t="s">
        <v>17964</v>
      </c>
      <c r="E3351" s="1" t="s">
        <v>17965</v>
      </c>
      <c r="F3351" s="1" t="s">
        <v>17966</v>
      </c>
      <c r="G3351" s="1" t="s">
        <v>17967</v>
      </c>
      <c r="H3351" s="1" t="s">
        <v>17968</v>
      </c>
    </row>
    <row r="3352" spans="1:8" x14ac:dyDescent="0.3">
      <c r="A3352" s="2" t="s">
        <v>17969</v>
      </c>
      <c r="B3352" s="1" t="s">
        <v>17970</v>
      </c>
      <c r="C3352" s="1" t="s">
        <v>17971</v>
      </c>
      <c r="D3352" s="1" t="s">
        <v>17972</v>
      </c>
      <c r="E3352" s="1" t="s">
        <v>17973</v>
      </c>
      <c r="F3352" s="1" t="s">
        <v>17974</v>
      </c>
      <c r="G3352" s="1" t="s">
        <v>17975</v>
      </c>
      <c r="H3352" s="1" t="s">
        <v>17974</v>
      </c>
    </row>
    <row r="3353" spans="1:8" x14ac:dyDescent="0.3">
      <c r="A3353" s="2" t="s">
        <v>17976</v>
      </c>
      <c r="B3353" s="1" t="s">
        <v>17977</v>
      </c>
      <c r="D3353" s="1" t="s">
        <v>17978</v>
      </c>
      <c r="E3353" s="1" t="s">
        <v>17979</v>
      </c>
      <c r="F3353" s="1" t="s">
        <v>57</v>
      </c>
      <c r="G3353" s="1" t="s">
        <v>17980</v>
      </c>
      <c r="H3353" s="1" t="s">
        <v>17981</v>
      </c>
    </row>
    <row r="3354" spans="1:8" x14ac:dyDescent="0.3">
      <c r="A3354" s="2" t="s">
        <v>17982</v>
      </c>
      <c r="B3354" s="1" t="s">
        <v>17983</v>
      </c>
      <c r="C3354" s="1" t="s">
        <v>17984</v>
      </c>
      <c r="D3354" s="1" t="s">
        <v>17985</v>
      </c>
      <c r="E3354" s="1" t="s">
        <v>17986</v>
      </c>
      <c r="F3354" s="1" t="s">
        <v>17987</v>
      </c>
      <c r="G3354" s="1" t="s">
        <v>17988</v>
      </c>
      <c r="H3354" s="1" t="s">
        <v>17989</v>
      </c>
    </row>
    <row r="3355" spans="1:8" x14ac:dyDescent="0.3">
      <c r="A3355" s="2" t="s">
        <v>17990</v>
      </c>
      <c r="B3355" s="1" t="s">
        <v>17991</v>
      </c>
      <c r="C3355" s="1" t="s">
        <v>17992</v>
      </c>
      <c r="E3355" s="1" t="s">
        <v>17993</v>
      </c>
      <c r="F3355" s="1" t="s">
        <v>17994</v>
      </c>
      <c r="G3355" s="1" t="s">
        <v>17995</v>
      </c>
      <c r="H3355" s="1" t="s">
        <v>17996</v>
      </c>
    </row>
    <row r="3356" spans="1:8" x14ac:dyDescent="0.3">
      <c r="A3356" s="2">
        <v>40106</v>
      </c>
      <c r="B3356" s="1" t="s">
        <v>17997</v>
      </c>
      <c r="C3356" s="1" t="s">
        <v>17998</v>
      </c>
      <c r="D3356" s="1" t="s">
        <v>17999</v>
      </c>
      <c r="E3356" s="1" t="s">
        <v>18000</v>
      </c>
      <c r="F3356" s="1" t="s">
        <v>18001</v>
      </c>
      <c r="G3356" s="1" t="s">
        <v>18002</v>
      </c>
      <c r="H3356" s="1" t="s">
        <v>18003</v>
      </c>
    </row>
    <row r="3357" spans="1:8" x14ac:dyDescent="0.3">
      <c r="A3357" s="2">
        <v>40107</v>
      </c>
      <c r="B3357" s="1" t="s">
        <v>18004</v>
      </c>
      <c r="C3357" s="1" t="s">
        <v>18005</v>
      </c>
      <c r="D3357" s="1" t="s">
        <v>18006</v>
      </c>
      <c r="E3357" s="1" t="s">
        <v>18004</v>
      </c>
      <c r="F3357" s="1" t="s">
        <v>18007</v>
      </c>
      <c r="G3357" s="1" t="s">
        <v>18008</v>
      </c>
      <c r="H3357" s="1" t="s">
        <v>18009</v>
      </c>
    </row>
    <row r="3358" spans="1:8" x14ac:dyDescent="0.3">
      <c r="A3358" s="2">
        <v>40108</v>
      </c>
      <c r="B3358" s="1" t="s">
        <v>18010</v>
      </c>
      <c r="C3358" s="1" t="s">
        <v>18011</v>
      </c>
      <c r="D3358" s="1" t="s">
        <v>18012</v>
      </c>
      <c r="E3358" s="1" t="s">
        <v>18013</v>
      </c>
      <c r="F3358" s="1" t="s">
        <v>18014</v>
      </c>
      <c r="G3358" s="1" t="s">
        <v>18015</v>
      </c>
      <c r="H3358" s="1" t="s">
        <v>18016</v>
      </c>
    </row>
    <row r="3359" spans="1:8" x14ac:dyDescent="0.3">
      <c r="A3359" s="2">
        <v>40109</v>
      </c>
      <c r="B3359" s="1" t="s">
        <v>18017</v>
      </c>
      <c r="C3359" s="1" t="s">
        <v>18018</v>
      </c>
      <c r="D3359" s="1" t="s">
        <v>18019</v>
      </c>
      <c r="E3359" s="1" t="s">
        <v>18020</v>
      </c>
      <c r="F3359" s="1" t="s">
        <v>18021</v>
      </c>
      <c r="G3359" s="1" t="s">
        <v>18022</v>
      </c>
      <c r="H3359" s="1" t="s">
        <v>18023</v>
      </c>
    </row>
    <row r="3360" spans="1:8" x14ac:dyDescent="0.3">
      <c r="A3360" s="2" t="s">
        <v>18024</v>
      </c>
      <c r="B3360" s="1" t="s">
        <v>18025</v>
      </c>
      <c r="C3360" s="1" t="s">
        <v>18026</v>
      </c>
      <c r="D3360" s="1" t="s">
        <v>18027</v>
      </c>
      <c r="E3360" s="1" t="s">
        <v>18028</v>
      </c>
      <c r="F3360" s="1" t="s">
        <v>18029</v>
      </c>
      <c r="G3360" s="1" t="s">
        <v>18030</v>
      </c>
      <c r="H3360" s="1" t="s">
        <v>18031</v>
      </c>
    </row>
    <row r="3361" spans="1:8" x14ac:dyDescent="0.3">
      <c r="A3361" s="2" t="s">
        <v>18032</v>
      </c>
      <c r="B3361" s="1" t="s">
        <v>18033</v>
      </c>
      <c r="C3361" s="1" t="s">
        <v>18034</v>
      </c>
      <c r="D3361" s="1" t="s">
        <v>18035</v>
      </c>
      <c r="E3361" s="1" t="s">
        <v>18036</v>
      </c>
      <c r="F3361" s="1" t="s">
        <v>18037</v>
      </c>
      <c r="G3361" s="1" t="s">
        <v>18038</v>
      </c>
      <c r="H3361" s="1" t="s">
        <v>18039</v>
      </c>
    </row>
    <row r="3362" spans="1:8" x14ac:dyDescent="0.3">
      <c r="A3362" s="2">
        <v>40110</v>
      </c>
      <c r="B3362" s="1" t="s">
        <v>18040</v>
      </c>
      <c r="C3362" s="1" t="s">
        <v>18041</v>
      </c>
      <c r="D3362" s="1" t="s">
        <v>18042</v>
      </c>
      <c r="E3362" s="1" t="s">
        <v>18043</v>
      </c>
      <c r="F3362" s="1" t="s">
        <v>18044</v>
      </c>
      <c r="G3362" s="1" t="s">
        <v>18045</v>
      </c>
      <c r="H3362" s="1" t="s">
        <v>18046</v>
      </c>
    </row>
    <row r="3363" spans="1:8" x14ac:dyDescent="0.3">
      <c r="A3363" s="2">
        <v>40111</v>
      </c>
      <c r="B3363" s="1" t="s">
        <v>18004</v>
      </c>
      <c r="D3363" s="1" t="s">
        <v>18047</v>
      </c>
      <c r="E3363" s="1" t="s">
        <v>57</v>
      </c>
      <c r="F3363" s="1" t="s">
        <v>18048</v>
      </c>
      <c r="G3363" s="1" t="s">
        <v>18049</v>
      </c>
      <c r="H3363" s="1" t="s">
        <v>18050</v>
      </c>
    </row>
    <row r="3364" spans="1:8" x14ac:dyDescent="0.3">
      <c r="A3364" s="2">
        <v>40112</v>
      </c>
      <c r="B3364" s="1" t="s">
        <v>18051</v>
      </c>
      <c r="C3364" s="1" t="s">
        <v>18052</v>
      </c>
      <c r="D3364" s="1" t="s">
        <v>18053</v>
      </c>
      <c r="E3364" s="1" t="s">
        <v>18054</v>
      </c>
      <c r="F3364" s="1" t="s">
        <v>18055</v>
      </c>
      <c r="G3364" s="1" t="s">
        <v>18056</v>
      </c>
      <c r="H3364" s="1" t="s">
        <v>18057</v>
      </c>
    </row>
    <row r="3365" spans="1:8" x14ac:dyDescent="0.3">
      <c r="A3365" s="2" t="s">
        <v>18058</v>
      </c>
      <c r="B3365" s="1" t="s">
        <v>18059</v>
      </c>
      <c r="C3365" s="1" t="s">
        <v>18060</v>
      </c>
      <c r="D3365" s="1" t="s">
        <v>18061</v>
      </c>
      <c r="E3365" s="1" t="s">
        <v>18062</v>
      </c>
      <c r="F3365" s="1" t="s">
        <v>18063</v>
      </c>
      <c r="G3365" s="1" t="s">
        <v>18064</v>
      </c>
      <c r="H3365" s="1" t="s">
        <v>18065</v>
      </c>
    </row>
    <row r="3366" spans="1:8" x14ac:dyDescent="0.3">
      <c r="A3366" s="2" t="s">
        <v>18066</v>
      </c>
      <c r="B3366" s="1" t="s">
        <v>18067</v>
      </c>
      <c r="C3366" s="1" t="s">
        <v>18068</v>
      </c>
      <c r="D3366" s="1" t="s">
        <v>18069</v>
      </c>
      <c r="E3366" s="1" t="s">
        <v>18070</v>
      </c>
      <c r="F3366" s="1" t="s">
        <v>18071</v>
      </c>
      <c r="G3366" s="1" t="s">
        <v>18072</v>
      </c>
      <c r="H3366" s="1" t="s">
        <v>18073</v>
      </c>
    </row>
    <row r="3367" spans="1:8" x14ac:dyDescent="0.3">
      <c r="A3367" s="2" t="s">
        <v>18074</v>
      </c>
      <c r="B3367" s="1" t="s">
        <v>18075</v>
      </c>
      <c r="C3367" s="1" t="s">
        <v>18076</v>
      </c>
      <c r="D3367" s="1" t="s">
        <v>18077</v>
      </c>
      <c r="E3367" s="1" t="s">
        <v>18078</v>
      </c>
      <c r="F3367" s="1" t="s">
        <v>18079</v>
      </c>
      <c r="G3367" s="1" t="s">
        <v>18080</v>
      </c>
      <c r="H3367" s="1" t="s">
        <v>18081</v>
      </c>
    </row>
    <row r="3368" spans="1:8" x14ac:dyDescent="0.3">
      <c r="A3368" s="2" t="s">
        <v>18082</v>
      </c>
      <c r="B3368" s="1" t="s">
        <v>18083</v>
      </c>
      <c r="C3368" s="1" t="s">
        <v>18084</v>
      </c>
      <c r="D3368" s="1" t="s">
        <v>18085</v>
      </c>
      <c r="E3368" s="1" t="s">
        <v>18086</v>
      </c>
      <c r="F3368" s="1" t="s">
        <v>18087</v>
      </c>
      <c r="G3368" s="1" t="s">
        <v>18088</v>
      </c>
      <c r="H3368" s="1" t="s">
        <v>18089</v>
      </c>
    </row>
    <row r="3369" spans="1:8" x14ac:dyDescent="0.3">
      <c r="A3369" s="2" t="s">
        <v>18090</v>
      </c>
      <c r="B3369" s="1" t="s">
        <v>18091</v>
      </c>
      <c r="C3369" s="1" t="s">
        <v>18092</v>
      </c>
      <c r="D3369" s="1" t="s">
        <v>18093</v>
      </c>
      <c r="E3369" s="1" t="s">
        <v>18094</v>
      </c>
      <c r="F3369" s="1" t="s">
        <v>18095</v>
      </c>
      <c r="H3369" s="1" t="s">
        <v>18096</v>
      </c>
    </row>
    <row r="3370" spans="1:8" x14ac:dyDescent="0.3">
      <c r="A3370" s="2">
        <v>40113</v>
      </c>
      <c r="B3370" s="1" t="s">
        <v>18097</v>
      </c>
      <c r="C3370" s="1" t="s">
        <v>18098</v>
      </c>
      <c r="D3370" s="1" t="s">
        <v>18099</v>
      </c>
      <c r="E3370" s="1" t="s">
        <v>18100</v>
      </c>
      <c r="F3370" s="1" t="s">
        <v>18101</v>
      </c>
      <c r="G3370" s="1" t="s">
        <v>18102</v>
      </c>
      <c r="H3370" s="1" t="s">
        <v>18103</v>
      </c>
    </row>
    <row r="3371" spans="1:8" x14ac:dyDescent="0.3">
      <c r="A3371" s="2" t="s">
        <v>18104</v>
      </c>
      <c r="B3371" s="1" t="s">
        <v>18105</v>
      </c>
      <c r="C3371" s="1" t="s">
        <v>18106</v>
      </c>
      <c r="D3371" s="1" t="s">
        <v>18107</v>
      </c>
      <c r="E3371" s="1" t="s">
        <v>18108</v>
      </c>
      <c r="F3371" s="1" t="s">
        <v>18109</v>
      </c>
      <c r="G3371" s="1" t="s">
        <v>18110</v>
      </c>
      <c r="H3371" s="1" t="s">
        <v>18111</v>
      </c>
    </row>
    <row r="3372" spans="1:8" x14ac:dyDescent="0.3">
      <c r="A3372" s="2" t="s">
        <v>18112</v>
      </c>
      <c r="B3372" s="1" t="s">
        <v>18113</v>
      </c>
      <c r="C3372" s="1" t="s">
        <v>18114</v>
      </c>
      <c r="D3372" s="1" t="s">
        <v>18115</v>
      </c>
      <c r="E3372" s="1" t="s">
        <v>18116</v>
      </c>
      <c r="F3372" s="1" t="s">
        <v>18117</v>
      </c>
      <c r="G3372" s="1" t="s">
        <v>18118</v>
      </c>
      <c r="H3372" s="1" t="s">
        <v>18119</v>
      </c>
    </row>
    <row r="3373" spans="1:8" x14ac:dyDescent="0.3">
      <c r="A3373" s="2" t="s">
        <v>18120</v>
      </c>
      <c r="B3373" s="1" t="s">
        <v>18121</v>
      </c>
      <c r="C3373" s="1" t="s">
        <v>18122</v>
      </c>
      <c r="D3373" s="1" t="s">
        <v>18123</v>
      </c>
      <c r="E3373" s="1" t="s">
        <v>18124</v>
      </c>
      <c r="F3373" s="1" t="s">
        <v>18125</v>
      </c>
      <c r="G3373" s="1" t="s">
        <v>18126</v>
      </c>
      <c r="H3373" s="1" t="s">
        <v>18127</v>
      </c>
    </row>
    <row r="3374" spans="1:8" x14ac:dyDescent="0.3">
      <c r="A3374" s="2" t="s">
        <v>18128</v>
      </c>
      <c r="B3374" s="1" t="s">
        <v>18129</v>
      </c>
      <c r="C3374" s="1" t="s">
        <v>18130</v>
      </c>
      <c r="D3374" s="1" t="s">
        <v>57</v>
      </c>
      <c r="E3374" s="1" t="s">
        <v>18131</v>
      </c>
      <c r="F3374" s="1" t="s">
        <v>18132</v>
      </c>
      <c r="G3374" s="1" t="s">
        <v>57</v>
      </c>
      <c r="H3374" s="1" t="s">
        <v>18133</v>
      </c>
    </row>
    <row r="3375" spans="1:8" x14ac:dyDescent="0.3">
      <c r="A3375" s="2">
        <v>40114</v>
      </c>
      <c r="B3375" s="1" t="s">
        <v>18134</v>
      </c>
      <c r="C3375" s="1" t="s">
        <v>18135</v>
      </c>
      <c r="D3375" s="1" t="s">
        <v>18136</v>
      </c>
      <c r="E3375" s="1" t="s">
        <v>18137</v>
      </c>
      <c r="F3375" s="1" t="s">
        <v>18138</v>
      </c>
      <c r="G3375" s="1" t="s">
        <v>18139</v>
      </c>
      <c r="H3375" s="1" t="s">
        <v>18140</v>
      </c>
    </row>
    <row r="3376" spans="1:8" x14ac:dyDescent="0.3">
      <c r="A3376" s="2">
        <v>40115</v>
      </c>
      <c r="B3376" s="1" t="s">
        <v>18141</v>
      </c>
      <c r="C3376" s="1" t="s">
        <v>18142</v>
      </c>
      <c r="D3376" s="1" t="s">
        <v>18143</v>
      </c>
      <c r="E3376" s="1" t="s">
        <v>18144</v>
      </c>
      <c r="F3376" s="1" t="s">
        <v>18145</v>
      </c>
      <c r="G3376" s="1" t="s">
        <v>18146</v>
      </c>
      <c r="H3376" s="1" t="s">
        <v>18147</v>
      </c>
    </row>
    <row r="3377" spans="1:8" x14ac:dyDescent="0.3">
      <c r="A3377" s="2">
        <v>40116</v>
      </c>
      <c r="B3377" s="1" t="s">
        <v>18148</v>
      </c>
      <c r="C3377" s="1" t="s">
        <v>18149</v>
      </c>
      <c r="D3377" s="1" t="s">
        <v>18150</v>
      </c>
      <c r="E3377" s="1" t="s">
        <v>18151</v>
      </c>
      <c r="F3377" s="1" t="s">
        <v>18152</v>
      </c>
      <c r="G3377" s="1" t="s">
        <v>18153</v>
      </c>
      <c r="H3377" s="1" t="s">
        <v>18154</v>
      </c>
    </row>
    <row r="3378" spans="1:8" x14ac:dyDescent="0.3">
      <c r="A3378" s="2">
        <v>40117</v>
      </c>
      <c r="B3378" s="1" t="s">
        <v>18155</v>
      </c>
      <c r="C3378" s="1" t="s">
        <v>18156</v>
      </c>
      <c r="D3378" s="1" t="s">
        <v>18157</v>
      </c>
      <c r="E3378" s="1" t="s">
        <v>18158</v>
      </c>
      <c r="F3378" s="1" t="s">
        <v>18159</v>
      </c>
      <c r="G3378" s="1" t="s">
        <v>18160</v>
      </c>
      <c r="H3378" s="1" t="s">
        <v>18161</v>
      </c>
    </row>
    <row r="3379" spans="1:8" x14ac:dyDescent="0.3">
      <c r="A3379" s="2">
        <v>40118</v>
      </c>
      <c r="B3379" s="1" t="s">
        <v>18162</v>
      </c>
      <c r="C3379" s="1" t="s">
        <v>18163</v>
      </c>
      <c r="D3379" s="1" t="s">
        <v>18164</v>
      </c>
      <c r="E3379" s="1" t="s">
        <v>18165</v>
      </c>
      <c r="F3379" s="1" t="s">
        <v>18166</v>
      </c>
      <c r="G3379" s="1" t="s">
        <v>18167</v>
      </c>
      <c r="H3379" s="1" t="s">
        <v>18168</v>
      </c>
    </row>
    <row r="3380" spans="1:8" x14ac:dyDescent="0.3">
      <c r="A3380" s="2">
        <v>40119</v>
      </c>
      <c r="B3380" s="1" t="s">
        <v>18169</v>
      </c>
      <c r="C3380" s="1" t="s">
        <v>18170</v>
      </c>
      <c r="D3380" s="1" t="s">
        <v>18171</v>
      </c>
      <c r="E3380" s="1" t="s">
        <v>18172</v>
      </c>
      <c r="F3380" s="1" t="s">
        <v>18173</v>
      </c>
      <c r="G3380" s="1" t="s">
        <v>18174</v>
      </c>
      <c r="H3380" s="1" t="s">
        <v>18175</v>
      </c>
    </row>
    <row r="3381" spans="1:8" x14ac:dyDescent="0.3">
      <c r="A3381" s="2">
        <v>40120</v>
      </c>
      <c r="B3381" s="1" t="s">
        <v>18176</v>
      </c>
      <c r="C3381" s="1" t="s">
        <v>18177</v>
      </c>
      <c r="D3381" s="1" t="s">
        <v>18178</v>
      </c>
      <c r="E3381" s="1" t="s">
        <v>18179</v>
      </c>
      <c r="F3381" s="1" t="s">
        <v>18180</v>
      </c>
      <c r="G3381" s="1" t="s">
        <v>18181</v>
      </c>
      <c r="H3381" s="1" t="s">
        <v>18182</v>
      </c>
    </row>
    <row r="3382" spans="1:8" x14ac:dyDescent="0.3">
      <c r="A3382" s="2">
        <v>40121</v>
      </c>
      <c r="B3382" s="1" t="s">
        <v>18183</v>
      </c>
      <c r="C3382" s="1" t="s">
        <v>18184</v>
      </c>
      <c r="D3382" s="1" t="s">
        <v>18185</v>
      </c>
      <c r="E3382" s="1" t="s">
        <v>18186</v>
      </c>
      <c r="F3382" s="1" t="s">
        <v>18187</v>
      </c>
      <c r="G3382" s="1" t="s">
        <v>18188</v>
      </c>
      <c r="H3382" s="1" t="s">
        <v>18189</v>
      </c>
    </row>
    <row r="3383" spans="1:8" x14ac:dyDescent="0.3">
      <c r="A3383" s="2">
        <v>40122</v>
      </c>
      <c r="B3383" s="1" t="s">
        <v>18190</v>
      </c>
      <c r="C3383" s="1" t="s">
        <v>18191</v>
      </c>
      <c r="D3383" s="1" t="s">
        <v>18192</v>
      </c>
      <c r="E3383" s="1" t="s">
        <v>18193</v>
      </c>
      <c r="F3383" s="1" t="s">
        <v>18194</v>
      </c>
      <c r="G3383" s="1" t="s">
        <v>18195</v>
      </c>
      <c r="H3383" s="1" t="s">
        <v>18196</v>
      </c>
    </row>
    <row r="3384" spans="1:8" x14ac:dyDescent="0.3">
      <c r="A3384" s="2">
        <v>40123</v>
      </c>
      <c r="B3384" s="1" t="s">
        <v>18197</v>
      </c>
      <c r="C3384" s="1" t="s">
        <v>18198</v>
      </c>
      <c r="D3384" s="1" t="s">
        <v>18199</v>
      </c>
      <c r="E3384" s="1" t="s">
        <v>18200</v>
      </c>
      <c r="F3384" s="1" t="s">
        <v>18201</v>
      </c>
      <c r="G3384" s="1" t="s">
        <v>18202</v>
      </c>
      <c r="H3384" s="1" t="s">
        <v>18203</v>
      </c>
    </row>
    <row r="3385" spans="1:8" x14ac:dyDescent="0.3">
      <c r="A3385" s="2">
        <v>40124</v>
      </c>
      <c r="B3385" s="1" t="s">
        <v>18204</v>
      </c>
      <c r="C3385" s="1" t="s">
        <v>18205</v>
      </c>
      <c r="D3385" s="1" t="s">
        <v>18206</v>
      </c>
      <c r="E3385" s="1" t="s">
        <v>18207</v>
      </c>
      <c r="F3385" s="1" t="s">
        <v>18208</v>
      </c>
      <c r="G3385" s="1" t="s">
        <v>18209</v>
      </c>
      <c r="H3385" s="1" t="s">
        <v>18210</v>
      </c>
    </row>
    <row r="3386" spans="1:8" x14ac:dyDescent="0.3">
      <c r="A3386" s="2">
        <v>40125</v>
      </c>
      <c r="B3386" s="1" t="s">
        <v>18211</v>
      </c>
      <c r="C3386" s="1" t="s">
        <v>18212</v>
      </c>
      <c r="D3386" s="1" t="s">
        <v>18213</v>
      </c>
      <c r="E3386" s="1" t="s">
        <v>18214</v>
      </c>
      <c r="F3386" s="1" t="s">
        <v>18215</v>
      </c>
      <c r="G3386" s="1" t="s">
        <v>18216</v>
      </c>
      <c r="H3386" s="1" t="s">
        <v>18217</v>
      </c>
    </row>
    <row r="3387" spans="1:8" x14ac:dyDescent="0.3">
      <c r="A3387" s="2">
        <v>40126</v>
      </c>
      <c r="B3387" s="1" t="s">
        <v>18218</v>
      </c>
      <c r="C3387" s="1" t="s">
        <v>18219</v>
      </c>
      <c r="D3387" s="1" t="s">
        <v>18220</v>
      </c>
      <c r="E3387" s="1" t="s">
        <v>18221</v>
      </c>
      <c r="F3387" s="1" t="s">
        <v>18222</v>
      </c>
      <c r="G3387" s="1" t="s">
        <v>18223</v>
      </c>
      <c r="H3387" s="1" t="s">
        <v>18224</v>
      </c>
    </row>
    <row r="3388" spans="1:8" x14ac:dyDescent="0.3">
      <c r="A3388" s="2">
        <v>40127</v>
      </c>
      <c r="B3388" s="1" t="s">
        <v>18225</v>
      </c>
      <c r="C3388" s="1" t="s">
        <v>18226</v>
      </c>
      <c r="D3388" s="1" t="s">
        <v>18227</v>
      </c>
      <c r="E3388" s="1" t="s">
        <v>18228</v>
      </c>
      <c r="F3388" s="1" t="s">
        <v>18229</v>
      </c>
      <c r="G3388" s="1" t="s">
        <v>18230</v>
      </c>
      <c r="H3388" s="1" t="s">
        <v>18231</v>
      </c>
    </row>
    <row r="3389" spans="1:8" x14ac:dyDescent="0.3">
      <c r="A3389" s="2">
        <v>40128</v>
      </c>
      <c r="B3389" s="1" t="s">
        <v>18232</v>
      </c>
      <c r="C3389" s="1" t="s">
        <v>18233</v>
      </c>
      <c r="D3389" s="1" t="s">
        <v>18234</v>
      </c>
      <c r="E3389" s="1" t="s">
        <v>18235</v>
      </c>
      <c r="F3389" s="1" t="s">
        <v>18236</v>
      </c>
      <c r="G3389" s="1" t="s">
        <v>18237</v>
      </c>
      <c r="H3389" s="1" t="s">
        <v>18238</v>
      </c>
    </row>
    <row r="3390" spans="1:8" x14ac:dyDescent="0.3">
      <c r="A3390" s="2">
        <v>40201</v>
      </c>
      <c r="B3390" s="1" t="e">
        <f ca="1">-이/가(무엇이)</f>
        <v>#NAME?</v>
      </c>
      <c r="C3390" s="1" t="s">
        <v>18239</v>
      </c>
      <c r="E3390" s="1" t="s">
        <v>18240</v>
      </c>
      <c r="F3390" s="1" t="s">
        <v>18241</v>
      </c>
      <c r="G3390" s="1" t="s">
        <v>18242</v>
      </c>
      <c r="H3390" s="1" t="s">
        <v>18243</v>
      </c>
    </row>
    <row r="3391" spans="1:8" x14ac:dyDescent="0.3">
      <c r="A3391" s="2">
        <v>40202</v>
      </c>
      <c r="B3391" s="1" t="e">
        <f ca="1">-이/가(무엇이)</f>
        <v>#NAME?</v>
      </c>
      <c r="C3391" s="1" t="s">
        <v>18244</v>
      </c>
      <c r="D3391" s="1" t="s">
        <v>18245</v>
      </c>
      <c r="E3391" s="1" t="s">
        <v>18246</v>
      </c>
      <c r="F3391" s="1" t="s">
        <v>5195</v>
      </c>
      <c r="G3391" s="1" t="s">
        <v>18247</v>
      </c>
      <c r="H3391" s="1" t="s">
        <v>5195</v>
      </c>
    </row>
    <row r="3392" spans="1:8" x14ac:dyDescent="0.3">
      <c r="A3392" s="2">
        <v>40203</v>
      </c>
      <c r="B3392" s="1" t="e">
        <f ca="1">-을/를(어디를)</f>
        <v>#NAME?</v>
      </c>
      <c r="C3392" s="1" t="s">
        <v>18248</v>
      </c>
      <c r="D3392" s="1" t="s">
        <v>18249</v>
      </c>
      <c r="E3392" s="1" t="s">
        <v>18250</v>
      </c>
      <c r="F3392" s="1" t="s">
        <v>18251</v>
      </c>
      <c r="G3392" s="1" t="s">
        <v>18252</v>
      </c>
      <c r="H3392" s="1" t="s">
        <v>18253</v>
      </c>
    </row>
    <row r="3393" spans="1:8" x14ac:dyDescent="0.3">
      <c r="A3393" s="2">
        <v>40204</v>
      </c>
      <c r="B3393" s="1" t="e">
        <f ca="1">-을/를(무엇을)</f>
        <v>#NAME?</v>
      </c>
      <c r="C3393" s="1" t="s">
        <v>18254</v>
      </c>
      <c r="D3393" s="1" t="s">
        <v>18255</v>
      </c>
      <c r="E3393" s="1" t="s">
        <v>18256</v>
      </c>
      <c r="F3393" s="1" t="s">
        <v>18257</v>
      </c>
      <c r="G3393" s="1" t="s">
        <v>18258</v>
      </c>
      <c r="H3393" s="1" t="s">
        <v>18259</v>
      </c>
    </row>
    <row r="3394" spans="1:8" x14ac:dyDescent="0.3">
      <c r="A3394" s="2">
        <v>40205</v>
      </c>
      <c r="B3394" s="1" t="e">
        <f ca="1">-에게/게(사람에게)</f>
        <v>#NAME?</v>
      </c>
      <c r="C3394" s="1" t="s">
        <v>18260</v>
      </c>
      <c r="D3394" s="1" t="s">
        <v>18261</v>
      </c>
      <c r="E3394" s="1" t="s">
        <v>18262</v>
      </c>
      <c r="F3394" s="1" t="s">
        <v>18263</v>
      </c>
      <c r="G3394" s="1" t="s">
        <v>18264</v>
      </c>
      <c r="H3394" s="1" t="s">
        <v>18265</v>
      </c>
    </row>
    <row r="3395" spans="1:8" x14ac:dyDescent="0.3">
      <c r="A3395" s="2">
        <v>40206</v>
      </c>
      <c r="B3395" s="1" t="e">
        <f ca="1">-보고/더러(누구더러)</f>
        <v>#NAME?</v>
      </c>
      <c r="C3395" s="1" t="s">
        <v>18266</v>
      </c>
      <c r="D3395" s="1" t="s">
        <v>57</v>
      </c>
      <c r="E3395" s="1" t="s">
        <v>18267</v>
      </c>
      <c r="F3395" s="1" t="s">
        <v>18268</v>
      </c>
      <c r="G3395" s="1" t="s">
        <v>57</v>
      </c>
      <c r="H3395" s="1" t="s">
        <v>18269</v>
      </c>
    </row>
    <row r="3396" spans="1:8" x14ac:dyDescent="0.3">
      <c r="A3396" s="2">
        <v>40207</v>
      </c>
      <c r="B3396" s="1" t="e">
        <f ca="1">-보고/더러(누구보고)</f>
        <v>#NAME?</v>
      </c>
      <c r="C3396" s="1" t="s">
        <v>18270</v>
      </c>
      <c r="D3396" s="1" t="s">
        <v>18271</v>
      </c>
      <c r="E3396" s="1" t="s">
        <v>18272</v>
      </c>
      <c r="F3396" s="1" t="s">
        <v>18273</v>
      </c>
      <c r="G3396" s="1" t="s">
        <v>18274</v>
      </c>
      <c r="H3396" s="1" t="s">
        <v>18275</v>
      </c>
    </row>
    <row r="3397" spans="1:8" x14ac:dyDescent="0.3">
      <c r="A3397" s="2">
        <v>40208</v>
      </c>
      <c r="B3397" s="1" t="e">
        <f ca="1">-에(집에)</f>
        <v>#NAME?</v>
      </c>
      <c r="C3397" s="1" t="s">
        <v>18276</v>
      </c>
      <c r="E3397" s="1" t="s">
        <v>18277</v>
      </c>
      <c r="F3397" s="1" t="s">
        <v>18278</v>
      </c>
      <c r="G3397" s="1" t="s">
        <v>18279</v>
      </c>
      <c r="H3397" s="1" t="s">
        <v>18280</v>
      </c>
    </row>
    <row r="3398" spans="1:8" x14ac:dyDescent="0.3">
      <c r="A3398" s="2">
        <v>40209</v>
      </c>
      <c r="B3398" s="1" t="e">
        <f ca="1">-에(나중에)</f>
        <v>#NAME?</v>
      </c>
      <c r="C3398" s="1" t="s">
        <v>18281</v>
      </c>
      <c r="D3398" s="1" t="s">
        <v>18282</v>
      </c>
      <c r="E3398" s="1" t="s">
        <v>18283</v>
      </c>
      <c r="F3398" s="1" t="s">
        <v>18284</v>
      </c>
      <c r="G3398" s="1" t="s">
        <v>18285</v>
      </c>
      <c r="H3398" s="1" t="s">
        <v>18286</v>
      </c>
    </row>
    <row r="3399" spans="1:8" x14ac:dyDescent="0.3">
      <c r="A3399" s="2">
        <v>40210</v>
      </c>
      <c r="B3399" s="1" t="e">
        <f ca="1">-에서(큰집에서)</f>
        <v>#NAME?</v>
      </c>
      <c r="C3399" s="1" t="s">
        <v>18287</v>
      </c>
      <c r="D3399" s="1" t="s">
        <v>18288</v>
      </c>
      <c r="E3399" s="1" t="s">
        <v>18289</v>
      </c>
      <c r="F3399" s="1" t="s">
        <v>18290</v>
      </c>
      <c r="G3399" s="1" t="s">
        <v>18291</v>
      </c>
      <c r="H3399" s="1" t="s">
        <v>18292</v>
      </c>
    </row>
    <row r="3400" spans="1:8" x14ac:dyDescent="0.3">
      <c r="A3400" s="2">
        <v>40211</v>
      </c>
      <c r="B3400" s="1" t="e">
        <f ca="1">-에서(서울에서)</f>
        <v>#NAME?</v>
      </c>
      <c r="C3400" s="1" t="s">
        <v>18293</v>
      </c>
      <c r="E3400" s="1" t="s">
        <v>18294</v>
      </c>
      <c r="F3400" s="1" t="s">
        <v>18295</v>
      </c>
      <c r="G3400" s="1" t="s">
        <v>18296</v>
      </c>
      <c r="H3400" s="1" t="s">
        <v>18297</v>
      </c>
    </row>
    <row r="3401" spans="1:8" x14ac:dyDescent="0.3">
      <c r="A3401" s="2">
        <v>40212</v>
      </c>
      <c r="B3401" s="1" t="s">
        <v>18298</v>
      </c>
      <c r="C3401" s="1" t="s">
        <v>18299</v>
      </c>
      <c r="D3401" s="1" t="s">
        <v>18300</v>
      </c>
      <c r="E3401" s="1" t="s">
        <v>18301</v>
      </c>
      <c r="F3401" s="1" t="s">
        <v>18302</v>
      </c>
      <c r="G3401" s="1" t="s">
        <v>18303</v>
      </c>
      <c r="H3401" s="1" t="s">
        <v>18304</v>
      </c>
    </row>
    <row r="3402" spans="1:8" x14ac:dyDescent="0.3">
      <c r="A3402" s="2">
        <v>40213</v>
      </c>
      <c r="B3402" s="1" t="e">
        <f ca="1">-으로(찹쌀로)</f>
        <v>#NAME?</v>
      </c>
      <c r="C3402" s="1" t="s">
        <v>18305</v>
      </c>
      <c r="D3402" s="1" t="s">
        <v>18306</v>
      </c>
      <c r="E3402" s="1" t="s">
        <v>18307</v>
      </c>
      <c r="F3402" s="1" t="s">
        <v>18308</v>
      </c>
      <c r="G3402" s="1" t="s">
        <v>18309</v>
      </c>
      <c r="H3402" s="1" t="s">
        <v>18310</v>
      </c>
    </row>
    <row r="3403" spans="1:8" x14ac:dyDescent="0.3">
      <c r="A3403" s="2">
        <v>40214</v>
      </c>
      <c r="B3403" s="1" t="e">
        <f ca="1">-으로(짚으로)</f>
        <v>#NAME?</v>
      </c>
      <c r="C3403" s="1" t="s">
        <v>18311</v>
      </c>
      <c r="D3403" s="1" t="s">
        <v>18312</v>
      </c>
      <c r="E3403" s="1" t="s">
        <v>18313</v>
      </c>
      <c r="F3403" s="1" t="s">
        <v>18314</v>
      </c>
      <c r="G3403" s="1" t="s">
        <v>18315</v>
      </c>
      <c r="H3403" s="1" t="s">
        <v>18316</v>
      </c>
    </row>
    <row r="3404" spans="1:8" x14ac:dyDescent="0.3">
      <c r="A3404" s="2">
        <v>40215</v>
      </c>
      <c r="B3404" s="1" t="e">
        <f ca="1">-으로(새끼로)</f>
        <v>#NAME?</v>
      </c>
      <c r="C3404" s="1" t="s">
        <v>18317</v>
      </c>
      <c r="D3404" s="1" t="s">
        <v>18318</v>
      </c>
      <c r="E3404" s="1" t="s">
        <v>18319</v>
      </c>
      <c r="F3404" s="1" t="s">
        <v>18319</v>
      </c>
      <c r="G3404" s="1" t="s">
        <v>18320</v>
      </c>
      <c r="H3404" s="1" t="s">
        <v>18321</v>
      </c>
    </row>
    <row r="3405" spans="1:8" x14ac:dyDescent="0.3">
      <c r="A3405" s="2">
        <v>40216</v>
      </c>
      <c r="B3405" s="1" t="e">
        <f ca="1">-으로(어디로)</f>
        <v>#NAME?</v>
      </c>
      <c r="C3405" s="1" t="s">
        <v>18322</v>
      </c>
      <c r="E3405" s="1" t="s">
        <v>18323</v>
      </c>
      <c r="F3405" s="1" t="s">
        <v>18324</v>
      </c>
      <c r="G3405" s="1" t="s">
        <v>18325</v>
      </c>
      <c r="H3405" s="1" t="s">
        <v>18326</v>
      </c>
    </row>
    <row r="3406" spans="1:8" x14ac:dyDescent="0.3">
      <c r="A3406" s="2">
        <v>40217</v>
      </c>
      <c r="B3406" s="1" t="e">
        <f ca="1">-와/과(수박과 참외)</f>
        <v>#NAME?</v>
      </c>
      <c r="C3406" s="1" t="s">
        <v>18327</v>
      </c>
      <c r="D3406" s="1" t="s">
        <v>18328</v>
      </c>
      <c r="E3406" s="1" t="s">
        <v>18329</v>
      </c>
      <c r="F3406" s="1" t="s">
        <v>18330</v>
      </c>
      <c r="G3406" s="1" t="s">
        <v>18331</v>
      </c>
      <c r="H3406" s="1" t="s">
        <v>18332</v>
      </c>
    </row>
    <row r="3407" spans="1:8" x14ac:dyDescent="0.3">
      <c r="A3407" s="2">
        <v>40218</v>
      </c>
      <c r="B3407" s="1" t="e">
        <f ca="1">-와/과(나와)</f>
        <v>#NAME?</v>
      </c>
      <c r="C3407" s="1" t="s">
        <v>18333</v>
      </c>
      <c r="D3407" s="1" t="s">
        <v>18334</v>
      </c>
      <c r="E3407" s="1" t="s">
        <v>18335</v>
      </c>
      <c r="F3407" s="1" t="s">
        <v>18336</v>
      </c>
      <c r="G3407" s="1" t="s">
        <v>18337</v>
      </c>
      <c r="H3407" s="1" t="s">
        <v>18338</v>
      </c>
    </row>
    <row r="3408" spans="1:8" x14ac:dyDescent="0.3">
      <c r="A3408" s="2">
        <v>40219</v>
      </c>
      <c r="B3408" s="1" t="e">
        <f ca="1">-보다(형보다)</f>
        <v>#NAME?</v>
      </c>
      <c r="C3408" s="1" t="s">
        <v>18339</v>
      </c>
      <c r="D3408" s="1" t="s">
        <v>18340</v>
      </c>
      <c r="E3408" s="1" t="s">
        <v>18341</v>
      </c>
      <c r="F3408" s="1" t="s">
        <v>18342</v>
      </c>
      <c r="G3408" s="1" t="s">
        <v>18343</v>
      </c>
      <c r="H3408" s="1" t="s">
        <v>18344</v>
      </c>
    </row>
    <row r="3409" spans="1:8" x14ac:dyDescent="0.3">
      <c r="A3409" s="2">
        <v>40220</v>
      </c>
      <c r="B3409" s="1" t="e">
        <f ca="1">-처럼(돼지처럼)</f>
        <v>#NAME?</v>
      </c>
      <c r="C3409" s="1" t="s">
        <v>18345</v>
      </c>
      <c r="D3409" s="1" t="s">
        <v>18346</v>
      </c>
      <c r="E3409" s="1" t="s">
        <v>18347</v>
      </c>
      <c r="F3409" s="1" t="s">
        <v>18348</v>
      </c>
      <c r="G3409" s="1" t="s">
        <v>18349</v>
      </c>
      <c r="H3409" s="1" t="s">
        <v>18350</v>
      </c>
    </row>
    <row r="3410" spans="1:8" x14ac:dyDescent="0.3">
      <c r="A3410" s="2">
        <v>40221</v>
      </c>
      <c r="B3410" s="1" t="e">
        <f ca="1">-만큼(너만큼)</f>
        <v>#NAME?</v>
      </c>
      <c r="C3410" s="1" t="s">
        <v>18351</v>
      </c>
      <c r="D3410" s="1" t="s">
        <v>18352</v>
      </c>
      <c r="E3410" s="1" t="s">
        <v>18353</v>
      </c>
      <c r="F3410" s="1" t="s">
        <v>18354</v>
      </c>
      <c r="G3410" s="1" t="s">
        <v>18355</v>
      </c>
      <c r="H3410" s="1" t="s">
        <v>18356</v>
      </c>
    </row>
    <row r="3411" spans="1:8" x14ac:dyDescent="0.3">
      <c r="A3411" s="2">
        <v>40222</v>
      </c>
      <c r="B3411" s="1" t="e">
        <f ca="1">-만큼(먹을 만큼만)</f>
        <v>#NAME?</v>
      </c>
      <c r="C3411" s="1" t="s">
        <v>18357</v>
      </c>
      <c r="D3411" s="1" t="s">
        <v>18358</v>
      </c>
      <c r="E3411" s="1" t="s">
        <v>18359</v>
      </c>
      <c r="F3411" s="1" t="s">
        <v>18360</v>
      </c>
      <c r="G3411" s="1" t="s">
        <v>18361</v>
      </c>
      <c r="H3411" s="1" t="s">
        <v>18362</v>
      </c>
    </row>
    <row r="3412" spans="1:8" x14ac:dyDescent="0.3">
      <c r="A3412" s="2">
        <v>40223</v>
      </c>
      <c r="B3412" s="1" t="e">
        <f ca="1">-아/야(복남아)</f>
        <v>#NAME?</v>
      </c>
      <c r="C3412" s="1" t="s">
        <v>18363</v>
      </c>
      <c r="D3412" s="1" t="s">
        <v>18364</v>
      </c>
      <c r="E3412" s="1" t="s">
        <v>18365</v>
      </c>
      <c r="F3412" s="1" t="s">
        <v>18366</v>
      </c>
      <c r="G3412" s="1" t="s">
        <v>18367</v>
      </c>
      <c r="H3412" s="1" t="s">
        <v>18368</v>
      </c>
    </row>
    <row r="3413" spans="1:8" x14ac:dyDescent="0.3">
      <c r="A3413" s="2">
        <v>40224</v>
      </c>
      <c r="B3413" s="1" t="e">
        <f ca="1">-아/야(복남이)</f>
        <v>#NAME?</v>
      </c>
      <c r="C3413" s="1" t="s">
        <v>18369</v>
      </c>
      <c r="E3413" s="1" t="s">
        <v>18370</v>
      </c>
      <c r="F3413" s="1" t="s">
        <v>18371</v>
      </c>
      <c r="G3413" s="1" t="s">
        <v>18372</v>
      </c>
      <c r="H3413" s="1" t="s">
        <v>18373</v>
      </c>
    </row>
    <row r="3414" spans="1:8" x14ac:dyDescent="0.3">
      <c r="A3414" s="2">
        <v>40225</v>
      </c>
      <c r="B3414" s="1" t="e">
        <f ca="1">-아/야(영수야)</f>
        <v>#NAME?</v>
      </c>
      <c r="C3414" s="1" t="s">
        <v>18374</v>
      </c>
      <c r="D3414" s="1" t="s">
        <v>18375</v>
      </c>
      <c r="E3414" s="1" t="s">
        <v>18376</v>
      </c>
      <c r="F3414" s="1" t="s">
        <v>18377</v>
      </c>
      <c r="G3414" s="1" t="s">
        <v>18378</v>
      </c>
      <c r="H3414" s="1" t="s">
        <v>18379</v>
      </c>
    </row>
    <row r="3415" spans="1:8" x14ac:dyDescent="0.3">
      <c r="A3415" s="2">
        <v>40226</v>
      </c>
      <c r="B3415" s="1" t="e">
        <f ca="1">-아/야(누님)</f>
        <v>#NAME?</v>
      </c>
      <c r="C3415" s="1" t="s">
        <v>18380</v>
      </c>
      <c r="D3415" s="1" t="s">
        <v>18381</v>
      </c>
      <c r="E3415" s="1" t="s">
        <v>18382</v>
      </c>
      <c r="F3415" s="1" t="s">
        <v>6763</v>
      </c>
      <c r="G3415" s="1" t="s">
        <v>6763</v>
      </c>
      <c r="H3415" s="1" t="s">
        <v>18383</v>
      </c>
    </row>
    <row r="3416" spans="1:8" x14ac:dyDescent="0.3">
      <c r="A3416" s="2" t="s">
        <v>18384</v>
      </c>
      <c r="B3416" s="1" t="s">
        <v>18385</v>
      </c>
      <c r="C3416" s="1" t="s">
        <v>57</v>
      </c>
      <c r="G3416" s="1" t="s">
        <v>57</v>
      </c>
      <c r="H3416" s="1" t="s">
        <v>18386</v>
      </c>
    </row>
    <row r="3417" spans="1:8" x14ac:dyDescent="0.3">
      <c r="A3417" s="2">
        <v>40227</v>
      </c>
      <c r="B3417" s="1" t="s">
        <v>18387</v>
      </c>
      <c r="C3417" s="1" t="s">
        <v>18388</v>
      </c>
      <c r="D3417" s="1" t="s">
        <v>6681</v>
      </c>
      <c r="E3417" s="1" t="s">
        <v>18389</v>
      </c>
      <c r="F3417" s="1" t="s">
        <v>6681</v>
      </c>
      <c r="G3417" s="1" t="s">
        <v>18390</v>
      </c>
      <c r="H3417" s="1" t="s">
        <v>6678</v>
      </c>
    </row>
    <row r="3418" spans="1:8" x14ac:dyDescent="0.3">
      <c r="A3418" s="2" t="s">
        <v>18391</v>
      </c>
      <c r="B3418" s="1" t="s">
        <v>18392</v>
      </c>
      <c r="C3418" s="1" t="s">
        <v>18393</v>
      </c>
      <c r="G3418" s="1" t="s">
        <v>57</v>
      </c>
    </row>
    <row r="3419" spans="1:8" x14ac:dyDescent="0.3">
      <c r="A3419" s="2">
        <v>40228</v>
      </c>
      <c r="B3419" s="1" t="e">
        <f ca="1">-이랑(술이랑 고기랑)</f>
        <v>#NAME?</v>
      </c>
      <c r="C3419" s="1" t="s">
        <v>18394</v>
      </c>
      <c r="D3419" s="1" t="s">
        <v>18395</v>
      </c>
      <c r="E3419" s="1" t="s">
        <v>18396</v>
      </c>
      <c r="F3419" s="1" t="s">
        <v>18397</v>
      </c>
      <c r="G3419" s="1" t="s">
        <v>18398</v>
      </c>
      <c r="H3419" s="1" t="s">
        <v>18399</v>
      </c>
    </row>
    <row r="3420" spans="1:8" x14ac:dyDescent="0.3">
      <c r="A3420" s="2">
        <v>40229</v>
      </c>
      <c r="B3420" s="1" t="e">
        <f ca="1">-커녕(만 원은커녕)</f>
        <v>#NAME?</v>
      </c>
      <c r="C3420" s="1" t="s">
        <v>18400</v>
      </c>
      <c r="D3420" s="1" t="s">
        <v>18401</v>
      </c>
      <c r="E3420" s="1" t="s">
        <v>18402</v>
      </c>
      <c r="F3420" s="1" t="s">
        <v>57</v>
      </c>
      <c r="G3420" s="1" t="s">
        <v>18403</v>
      </c>
      <c r="H3420" s="1" t="s">
        <v>18404</v>
      </c>
    </row>
    <row r="3421" spans="1:8" x14ac:dyDescent="0.3">
      <c r="A3421" s="2">
        <v>40230</v>
      </c>
      <c r="B3421" s="1" t="e">
        <f ca="1">-은/는(술은, 담배는)</f>
        <v>#NAME?</v>
      </c>
      <c r="C3421" s="1" t="s">
        <v>18405</v>
      </c>
      <c r="D3421" s="1" t="s">
        <v>18406</v>
      </c>
      <c r="E3421" s="1" t="s">
        <v>18407</v>
      </c>
      <c r="F3421" s="1" t="s">
        <v>18408</v>
      </c>
      <c r="G3421" s="1" t="s">
        <v>18409</v>
      </c>
      <c r="H3421" s="1" t="s">
        <v>18410</v>
      </c>
    </row>
    <row r="3422" spans="1:8" x14ac:dyDescent="0.3">
      <c r="A3422" s="2">
        <v>40231</v>
      </c>
      <c r="B3422" s="1" t="e">
        <f ca="1">-만(딸만)</f>
        <v>#NAME?</v>
      </c>
      <c r="C3422" s="1" t="s">
        <v>18411</v>
      </c>
      <c r="E3422" s="1" t="s">
        <v>18412</v>
      </c>
      <c r="F3422" s="1" t="s">
        <v>18413</v>
      </c>
      <c r="G3422" s="1" t="s">
        <v>18414</v>
      </c>
      <c r="H3422" s="1" t="s">
        <v>18415</v>
      </c>
    </row>
    <row r="3423" spans="1:8" x14ac:dyDescent="0.3">
      <c r="A3423" s="2">
        <v>40232</v>
      </c>
      <c r="B3423" s="1" t="e">
        <f ca="1">-도(키도, 얼굴도)</f>
        <v>#NAME?</v>
      </c>
      <c r="C3423" s="1" t="s">
        <v>18416</v>
      </c>
      <c r="D3423" s="1" t="s">
        <v>18417</v>
      </c>
      <c r="E3423" s="1" t="s">
        <v>18418</v>
      </c>
      <c r="F3423" s="1" t="s">
        <v>18419</v>
      </c>
      <c r="G3423" s="1" t="s">
        <v>18420</v>
      </c>
      <c r="H3423" s="1" t="s">
        <v>18421</v>
      </c>
    </row>
    <row r="3424" spans="1:8" x14ac:dyDescent="0.3">
      <c r="A3424" s="2">
        <v>40233</v>
      </c>
      <c r="B3424" s="1" t="e">
        <f ca="1">-마다(날마다)</f>
        <v>#NAME?</v>
      </c>
      <c r="C3424" s="1" t="s">
        <v>18422</v>
      </c>
      <c r="D3424" s="1" t="s">
        <v>18423</v>
      </c>
      <c r="E3424" s="1" t="s">
        <v>18424</v>
      </c>
      <c r="F3424" s="1" t="s">
        <v>18425</v>
      </c>
      <c r="G3424" s="1" t="s">
        <v>18426</v>
      </c>
      <c r="H3424" s="1" t="s">
        <v>18427</v>
      </c>
    </row>
    <row r="3425" spans="1:8" x14ac:dyDescent="0.3">
      <c r="A3425" s="2">
        <v>40234</v>
      </c>
      <c r="B3425" s="1" t="e">
        <f ca="1">-부터(오늘부터)</f>
        <v>#NAME?</v>
      </c>
      <c r="C3425" s="1" t="s">
        <v>18428</v>
      </c>
      <c r="D3425" s="1" t="s">
        <v>18429</v>
      </c>
      <c r="E3425" s="1" t="s">
        <v>18430</v>
      </c>
      <c r="F3425" s="1" t="s">
        <v>18431</v>
      </c>
      <c r="G3425" s="1" t="s">
        <v>18432</v>
      </c>
      <c r="H3425" s="1" t="s">
        <v>18433</v>
      </c>
    </row>
    <row r="3426" spans="1:8" x14ac:dyDescent="0.3">
      <c r="A3426" s="2">
        <v>40235</v>
      </c>
      <c r="B3426" s="1" t="e">
        <f ca="1">-까지(내일까지)</f>
        <v>#NAME?</v>
      </c>
      <c r="C3426" s="1" t="s">
        <v>18434</v>
      </c>
      <c r="D3426" s="1" t="s">
        <v>18435</v>
      </c>
      <c r="E3426" s="1" t="s">
        <v>18436</v>
      </c>
      <c r="F3426" s="1" t="s">
        <v>18437</v>
      </c>
      <c r="G3426" s="1" t="s">
        <v>18438</v>
      </c>
      <c r="H3426" s="1" t="s">
        <v>18439</v>
      </c>
    </row>
    <row r="3427" spans="1:8" x14ac:dyDescent="0.3">
      <c r="A3427" s="2">
        <v>40236</v>
      </c>
      <c r="B3427" s="1" t="e">
        <f ca="1">-조차(물조차)</f>
        <v>#NAME?</v>
      </c>
      <c r="C3427" s="1" t="s">
        <v>18440</v>
      </c>
      <c r="D3427" s="1" t="s">
        <v>18441</v>
      </c>
      <c r="E3427" s="1" t="s">
        <v>18442</v>
      </c>
      <c r="F3427" s="1" t="s">
        <v>18443</v>
      </c>
      <c r="G3427" s="1" t="s">
        <v>18444</v>
      </c>
      <c r="H3427" s="1" t="s">
        <v>18445</v>
      </c>
    </row>
    <row r="3428" spans="1:8" x14ac:dyDescent="0.3">
      <c r="A3428" s="2" t="s">
        <v>18446</v>
      </c>
      <c r="B3428" s="1" t="e">
        <f ca="1">-조차(비할라)</f>
        <v>#NAME?</v>
      </c>
      <c r="C3428" s="1" t="s">
        <v>57</v>
      </c>
      <c r="E3428" s="1" t="s">
        <v>57</v>
      </c>
      <c r="F3428" s="1" t="s">
        <v>57</v>
      </c>
      <c r="G3428" s="1" t="s">
        <v>57</v>
      </c>
      <c r="H3428" s="1" t="s">
        <v>18447</v>
      </c>
    </row>
    <row r="3429" spans="1:8" x14ac:dyDescent="0.3">
      <c r="A3429" s="2">
        <v>40237</v>
      </c>
      <c r="B3429" s="1" t="e">
        <f ca="1">-이야/야(말이야)</f>
        <v>#NAME?</v>
      </c>
      <c r="C3429" s="1" t="s">
        <v>18448</v>
      </c>
      <c r="D3429" s="1" t="s">
        <v>18449</v>
      </c>
      <c r="E3429" s="1" t="s">
        <v>18450</v>
      </c>
      <c r="F3429" s="1" t="s">
        <v>18451</v>
      </c>
      <c r="H3429" s="1" t="s">
        <v>18452</v>
      </c>
    </row>
    <row r="3430" spans="1:8" x14ac:dyDescent="0.3">
      <c r="A3430" s="2">
        <v>40238</v>
      </c>
      <c r="B3430" s="1" t="e">
        <f ca="1">-을랑(소릴랑)</f>
        <v>#NAME?</v>
      </c>
      <c r="C3430" s="1" t="s">
        <v>18453</v>
      </c>
      <c r="D3430" s="1" t="s">
        <v>57</v>
      </c>
      <c r="E3430" s="1" t="s">
        <v>18454</v>
      </c>
      <c r="F3430" s="1" t="s">
        <v>18455</v>
      </c>
      <c r="G3430" s="1" t="s">
        <v>18456</v>
      </c>
      <c r="H3430" s="1" t="s">
        <v>18457</v>
      </c>
    </row>
    <row r="3431" spans="1:8" x14ac:dyDescent="0.3">
      <c r="A3431" s="2">
        <v>40239</v>
      </c>
      <c r="B3431" s="1" t="e">
        <f ca="1">-이라도(부자라도)</f>
        <v>#NAME?</v>
      </c>
      <c r="C3431" s="1" t="s">
        <v>18458</v>
      </c>
      <c r="E3431" s="1" t="s">
        <v>18459</v>
      </c>
      <c r="F3431" s="1" t="s">
        <v>18460</v>
      </c>
      <c r="G3431" s="1" t="s">
        <v>18461</v>
      </c>
      <c r="H3431" s="1" t="s">
        <v>18462</v>
      </c>
    </row>
    <row r="3432" spans="1:8" x14ac:dyDescent="0.3">
      <c r="A3432" s="2">
        <v>40240</v>
      </c>
      <c r="B3432" s="1" t="e">
        <f ca="1">-밖에(너밖에)</f>
        <v>#NAME?</v>
      </c>
      <c r="C3432" s="1" t="s">
        <v>18463</v>
      </c>
      <c r="D3432" s="1" t="s">
        <v>18464</v>
      </c>
      <c r="E3432" s="1" t="s">
        <v>18465</v>
      </c>
      <c r="F3432" s="1" t="s">
        <v>18466</v>
      </c>
      <c r="G3432" s="1" t="s">
        <v>18467</v>
      </c>
      <c r="H3432" s="1" t="s">
        <v>18468</v>
      </c>
    </row>
    <row r="3433" spans="1:8" x14ac:dyDescent="0.3">
      <c r="A3433" s="2">
        <v>40241</v>
      </c>
      <c r="B3433" s="1" t="e">
        <f ca="1">-가지고(싸가지고)</f>
        <v>#NAME?</v>
      </c>
      <c r="C3433" s="1" t="s">
        <v>18469</v>
      </c>
      <c r="D3433" s="1" t="s">
        <v>18470</v>
      </c>
      <c r="E3433" s="1" t="s">
        <v>18471</v>
      </c>
      <c r="F3433" s="1" t="s">
        <v>18472</v>
      </c>
      <c r="G3433" s="1" t="s">
        <v>18473</v>
      </c>
      <c r="H3433" s="1" t="s">
        <v>18474</v>
      </c>
    </row>
    <row r="3434" spans="1:8" x14ac:dyDescent="0.3">
      <c r="A3434" s="2">
        <v>40242</v>
      </c>
      <c r="B3434" s="1" t="e">
        <f ca="1">-고(간접인용조사)(오라고)</f>
        <v>#NAME?</v>
      </c>
      <c r="C3434" s="1" t="s">
        <v>18475</v>
      </c>
      <c r="E3434" s="1" t="s">
        <v>18476</v>
      </c>
      <c r="F3434" s="1" t="s">
        <v>18477</v>
      </c>
      <c r="G3434" s="1" t="s">
        <v>18478</v>
      </c>
      <c r="H3434" s="1" t="s">
        <v>18478</v>
      </c>
    </row>
    <row r="3435" spans="1:8" x14ac:dyDescent="0.3">
      <c r="A3435" s="2">
        <v>40243</v>
      </c>
      <c r="B3435" s="1" t="e">
        <f ca="1">-요(높임)(알았어요)</f>
        <v>#NAME?</v>
      </c>
      <c r="C3435" s="1" t="s">
        <v>18479</v>
      </c>
      <c r="D3435" s="1" t="s">
        <v>18480</v>
      </c>
      <c r="E3435" s="1" t="s">
        <v>18481</v>
      </c>
      <c r="F3435" s="1" t="s">
        <v>18482</v>
      </c>
      <c r="G3435" s="1" t="s">
        <v>18483</v>
      </c>
      <c r="H3435" s="1" t="s">
        <v>18484</v>
      </c>
    </row>
    <row r="3436" spans="1:8" x14ac:dyDescent="0.3">
      <c r="A3436" s="2">
        <v>40244</v>
      </c>
      <c r="B3436" s="1" t="e">
        <f ca="1">-요(높임)(했지요)</f>
        <v>#NAME?</v>
      </c>
      <c r="C3436" s="1" t="s">
        <v>18485</v>
      </c>
      <c r="D3436" s="1" t="s">
        <v>57</v>
      </c>
      <c r="E3436" s="1" t="s">
        <v>18486</v>
      </c>
      <c r="F3436" s="1" t="s">
        <v>57</v>
      </c>
      <c r="G3436" s="1" t="s">
        <v>18486</v>
      </c>
      <c r="H3436" s="1" t="s">
        <v>18487</v>
      </c>
    </row>
    <row r="3437" spans="1:8" x14ac:dyDescent="0.3">
      <c r="A3437" s="2">
        <v>40301</v>
      </c>
      <c r="B3437" s="1" t="e">
        <f ca="1">-아라(앉아라)</f>
        <v>#NAME?</v>
      </c>
      <c r="C3437" s="1" t="s">
        <v>18488</v>
      </c>
      <c r="D3437" s="1" t="s">
        <v>18489</v>
      </c>
      <c r="E3437" s="1" t="s">
        <v>18490</v>
      </c>
      <c r="F3437" s="1" t="s">
        <v>18491</v>
      </c>
      <c r="G3437" s="1" t="s">
        <v>18492</v>
      </c>
      <c r="H3437" s="1" t="s">
        <v>18490</v>
      </c>
    </row>
    <row r="3438" spans="1:8" x14ac:dyDescent="0.3">
      <c r="A3438" s="2">
        <v>40302</v>
      </c>
      <c r="B3438" s="1" t="e">
        <f ca="1">-게(앉게)</f>
        <v>#NAME?</v>
      </c>
      <c r="C3438" s="1" t="s">
        <v>18493</v>
      </c>
      <c r="D3438" s="1" t="s">
        <v>18494</v>
      </c>
      <c r="E3438" s="1" t="s">
        <v>18495</v>
      </c>
      <c r="F3438" s="1" t="s">
        <v>18496</v>
      </c>
      <c r="G3438" s="1" t="s">
        <v>18497</v>
      </c>
      <c r="H3438" s="1" t="s">
        <v>18498</v>
      </c>
    </row>
    <row r="3439" spans="1:8" x14ac:dyDescent="0.3">
      <c r="A3439" s="2">
        <v>40303</v>
      </c>
      <c r="B3439" s="1" t="e">
        <f ca="1">-으오(앉으시오)</f>
        <v>#NAME?</v>
      </c>
      <c r="C3439" s="1" t="s">
        <v>18499</v>
      </c>
      <c r="D3439" s="1" t="s">
        <v>18500</v>
      </c>
      <c r="E3439" s="1" t="s">
        <v>18501</v>
      </c>
      <c r="F3439" s="1" t="s">
        <v>18502</v>
      </c>
      <c r="G3439" s="1" t="s">
        <v>18503</v>
      </c>
      <c r="H3439" s="1" t="s">
        <v>18504</v>
      </c>
    </row>
    <row r="3440" spans="1:8" x14ac:dyDescent="0.3">
      <c r="A3440" s="2">
        <v>40304</v>
      </c>
      <c r="B3440" s="1" t="e">
        <f ca="1">-으십시오(앉으십시오)</f>
        <v>#NAME?</v>
      </c>
      <c r="C3440" s="1" t="s">
        <v>18505</v>
      </c>
      <c r="D3440" s="1" t="s">
        <v>18506</v>
      </c>
      <c r="F3440" s="1" t="s">
        <v>18507</v>
      </c>
      <c r="G3440" s="1" t="s">
        <v>18508</v>
      </c>
      <c r="H3440" s="1" t="s">
        <v>18509</v>
      </c>
    </row>
    <row r="3441" spans="1:8" x14ac:dyDescent="0.3">
      <c r="A3441" s="2">
        <v>40305</v>
      </c>
      <c r="B3441" s="1" t="e">
        <f ca="1">-세요(앉으세요)</f>
        <v>#NAME?</v>
      </c>
      <c r="C3441" s="1" t="s">
        <v>18510</v>
      </c>
      <c r="D3441" s="1" t="s">
        <v>18511</v>
      </c>
      <c r="E3441" s="1" t="s">
        <v>18512</v>
      </c>
      <c r="F3441" s="1" t="s">
        <v>18513</v>
      </c>
      <c r="G3441" s="1" t="s">
        <v>18514</v>
      </c>
      <c r="H3441" s="1" t="s">
        <v>18504</v>
      </c>
    </row>
    <row r="3442" spans="1:8" x14ac:dyDescent="0.3">
      <c r="A3442" s="2">
        <v>40306</v>
      </c>
      <c r="B3442" s="1" t="e">
        <f ca="1">-자(가자)</f>
        <v>#NAME?</v>
      </c>
      <c r="C3442" s="1" t="s">
        <v>18515</v>
      </c>
      <c r="D3442" s="1" t="s">
        <v>18516</v>
      </c>
      <c r="E3442" s="1" t="s">
        <v>18517</v>
      </c>
      <c r="F3442" s="1" t="s">
        <v>18518</v>
      </c>
      <c r="G3442" s="1" t="s">
        <v>18519</v>
      </c>
      <c r="H3442" s="1" t="s">
        <v>18520</v>
      </c>
    </row>
    <row r="3443" spans="1:8" x14ac:dyDescent="0.3">
      <c r="A3443" s="2">
        <v>40307</v>
      </c>
      <c r="B3443" s="1" t="e">
        <f ca="1">-세(가세)</f>
        <v>#NAME?</v>
      </c>
      <c r="C3443" s="1" t="s">
        <v>18521</v>
      </c>
      <c r="D3443" s="1" t="s">
        <v>18522</v>
      </c>
      <c r="E3443" s="1" t="s">
        <v>18523</v>
      </c>
      <c r="F3443" s="1" t="s">
        <v>18524</v>
      </c>
      <c r="G3443" s="1" t="s">
        <v>18525</v>
      </c>
      <c r="H3443" s="1" t="s">
        <v>18526</v>
      </c>
    </row>
    <row r="3444" spans="1:8" x14ac:dyDescent="0.3">
      <c r="A3444" s="2">
        <v>40308</v>
      </c>
      <c r="B3444" s="1" t="e">
        <f ca="1">-으오(가오)</f>
        <v>#NAME?</v>
      </c>
      <c r="C3444" s="1" t="s">
        <v>18527</v>
      </c>
      <c r="D3444" s="1" t="s">
        <v>18528</v>
      </c>
      <c r="E3444" s="1" t="s">
        <v>18529</v>
      </c>
      <c r="F3444" s="1" t="s">
        <v>57</v>
      </c>
      <c r="G3444" s="1" t="s">
        <v>18530</v>
      </c>
      <c r="H3444" s="1" t="s">
        <v>18531</v>
      </c>
    </row>
    <row r="3445" spans="1:8" x14ac:dyDescent="0.3">
      <c r="A3445" s="2">
        <v>40309</v>
      </c>
      <c r="B3445" s="1" t="e">
        <f ca="1">-십시다(가십시다)</f>
        <v>#NAME?</v>
      </c>
      <c r="C3445" s="1" t="s">
        <v>18532</v>
      </c>
      <c r="D3445" s="1" t="s">
        <v>18533</v>
      </c>
      <c r="E3445" s="1" t="s">
        <v>18534</v>
      </c>
      <c r="F3445" s="1" t="s">
        <v>18535</v>
      </c>
      <c r="G3445" s="1" t="s">
        <v>18536</v>
      </c>
      <c r="H3445" s="1" t="s">
        <v>18537</v>
      </c>
    </row>
    <row r="3446" spans="1:8" x14ac:dyDescent="0.3">
      <c r="A3446" s="2">
        <v>40310</v>
      </c>
      <c r="B3446" s="1" t="e">
        <f ca="1">-세요(가세요)</f>
        <v>#NAME?</v>
      </c>
      <c r="C3446" s="1" t="s">
        <v>18538</v>
      </c>
      <c r="D3446" s="1" t="s">
        <v>18539</v>
      </c>
      <c r="F3446" s="1" t="s">
        <v>18540</v>
      </c>
      <c r="G3446" s="1" t="s">
        <v>18541</v>
      </c>
    </row>
    <row r="3447" spans="1:8" x14ac:dyDescent="0.3">
      <c r="A3447" s="2">
        <v>40311</v>
      </c>
      <c r="B3447" s="1" t="e">
        <f ca="1">-니(오니)</f>
        <v>#NAME?</v>
      </c>
      <c r="C3447" s="1" t="s">
        <v>18542</v>
      </c>
      <c r="D3447" s="1" t="s">
        <v>18543</v>
      </c>
      <c r="E3447" s="1" t="s">
        <v>18544</v>
      </c>
      <c r="F3447" s="1" t="s">
        <v>18545</v>
      </c>
      <c r="G3447" s="1" t="s">
        <v>18546</v>
      </c>
      <c r="H3447" s="1" t="s">
        <v>18547</v>
      </c>
    </row>
    <row r="3448" spans="1:8" x14ac:dyDescent="0.3">
      <c r="A3448" s="2">
        <v>40312</v>
      </c>
      <c r="B3448" s="1" t="e">
        <f ca="1">-나(오나)</f>
        <v>#NAME?</v>
      </c>
      <c r="C3448" s="1" t="s">
        <v>18548</v>
      </c>
      <c r="D3448" s="1" t="s">
        <v>18549</v>
      </c>
      <c r="E3448" s="1" t="s">
        <v>18550</v>
      </c>
      <c r="F3448" s="1" t="s">
        <v>18547</v>
      </c>
      <c r="G3448" s="1" t="s">
        <v>18551</v>
      </c>
      <c r="H3448" s="1" t="s">
        <v>18552</v>
      </c>
    </row>
    <row r="3449" spans="1:8" x14ac:dyDescent="0.3">
      <c r="A3449" s="2">
        <v>40313</v>
      </c>
      <c r="B3449" s="1" t="e">
        <f ca="1">-오(오오)</f>
        <v>#NAME?</v>
      </c>
      <c r="C3449" s="1" t="s">
        <v>18553</v>
      </c>
      <c r="D3449" s="1" t="s">
        <v>18554</v>
      </c>
      <c r="E3449" s="1" t="s">
        <v>18555</v>
      </c>
      <c r="F3449" s="1" t="s">
        <v>18556</v>
      </c>
      <c r="G3449" s="1" t="s">
        <v>18557</v>
      </c>
      <c r="H3449" s="1" t="s">
        <v>18558</v>
      </c>
    </row>
    <row r="3450" spans="1:8" x14ac:dyDescent="0.3">
      <c r="A3450" s="2">
        <v>40314</v>
      </c>
      <c r="B3450" s="1" t="e">
        <f ca="1">-습니까(옵니까)</f>
        <v>#NAME?</v>
      </c>
      <c r="C3450" s="1" t="s">
        <v>18559</v>
      </c>
      <c r="D3450" s="1" t="s">
        <v>18560</v>
      </c>
      <c r="E3450" s="1" t="s">
        <v>18561</v>
      </c>
      <c r="F3450" s="1" t="s">
        <v>18562</v>
      </c>
      <c r="G3450" s="1" t="s">
        <v>18563</v>
      </c>
      <c r="H3450" s="1" t="s">
        <v>18564</v>
      </c>
    </row>
    <row r="3451" spans="1:8" x14ac:dyDescent="0.3">
      <c r="A3451" s="2">
        <v>40315</v>
      </c>
      <c r="B3451" s="1" t="e">
        <f ca="1">-나요(오나요)</f>
        <v>#NAME?</v>
      </c>
      <c r="D3451" s="1" t="s">
        <v>18565</v>
      </c>
      <c r="E3451" s="1" t="s">
        <v>18566</v>
      </c>
      <c r="G3451" s="1" t="s">
        <v>18567</v>
      </c>
      <c r="H3451" s="1" t="s">
        <v>18568</v>
      </c>
    </row>
    <row r="3452" spans="1:8" x14ac:dyDescent="0.3">
      <c r="A3452" s="2">
        <v>40316</v>
      </c>
      <c r="B3452" s="1" t="s">
        <v>18569</v>
      </c>
      <c r="C3452" s="1" t="s">
        <v>18570</v>
      </c>
      <c r="D3452" s="1" t="s">
        <v>18571</v>
      </c>
      <c r="E3452" s="1" t="s">
        <v>18572</v>
      </c>
      <c r="F3452" s="1" t="s">
        <v>18573</v>
      </c>
      <c r="G3452" s="1" t="s">
        <v>18574</v>
      </c>
    </row>
    <row r="3453" spans="1:8" x14ac:dyDescent="0.3">
      <c r="A3453" s="2">
        <v>40317</v>
      </c>
      <c r="B3453" s="1" t="s">
        <v>18575</v>
      </c>
      <c r="C3453" s="1" t="s">
        <v>18576</v>
      </c>
      <c r="D3453" s="1" t="s">
        <v>18577</v>
      </c>
      <c r="E3453" s="1" t="s">
        <v>18578</v>
      </c>
      <c r="F3453" s="1" t="s">
        <v>18579</v>
      </c>
      <c r="G3453" s="1" t="s">
        <v>18580</v>
      </c>
      <c r="H3453" s="1" t="s">
        <v>18581</v>
      </c>
    </row>
    <row r="3454" spans="1:8" x14ac:dyDescent="0.3">
      <c r="A3454" s="2">
        <v>40318</v>
      </c>
      <c r="B3454" s="1" t="s">
        <v>18582</v>
      </c>
      <c r="C3454" s="1" t="s">
        <v>18583</v>
      </c>
      <c r="D3454" s="1" t="s">
        <v>18584</v>
      </c>
      <c r="E3454" s="1" t="s">
        <v>18585</v>
      </c>
      <c r="F3454" s="1" t="s">
        <v>18586</v>
      </c>
      <c r="G3454" s="1" t="s">
        <v>18587</v>
      </c>
      <c r="H3454" s="1" t="s">
        <v>18588</v>
      </c>
    </row>
    <row r="3455" spans="1:8" x14ac:dyDescent="0.3">
      <c r="A3455" s="2">
        <v>40319</v>
      </c>
      <c r="B3455" s="1" t="s">
        <v>18589</v>
      </c>
      <c r="C3455" s="1" t="s">
        <v>18590</v>
      </c>
      <c r="D3455" s="1" t="s">
        <v>18591</v>
      </c>
      <c r="E3455" s="1" t="s">
        <v>18592</v>
      </c>
      <c r="F3455" s="1" t="s">
        <v>18593</v>
      </c>
      <c r="G3455" s="1" t="s">
        <v>18594</v>
      </c>
      <c r="H3455" s="1" t="s">
        <v>18595</v>
      </c>
    </row>
    <row r="3456" spans="1:8" x14ac:dyDescent="0.3">
      <c r="A3456" s="2">
        <v>40320</v>
      </c>
      <c r="B3456" s="1" t="s">
        <v>18596</v>
      </c>
      <c r="C3456" s="1" t="s">
        <v>18597</v>
      </c>
      <c r="D3456" s="1" t="s">
        <v>18598</v>
      </c>
      <c r="E3456" s="1" t="s">
        <v>18599</v>
      </c>
      <c r="F3456" s="1" t="s">
        <v>18600</v>
      </c>
      <c r="G3456" s="1" t="s">
        <v>18601</v>
      </c>
      <c r="H3456" s="1" t="s">
        <v>18602</v>
      </c>
    </row>
    <row r="3457" spans="1:8" x14ac:dyDescent="0.3">
      <c r="A3457" s="2">
        <v>40321</v>
      </c>
      <c r="B3457" s="1" t="e">
        <f ca="1">-는다(먹는다)</f>
        <v>#NAME?</v>
      </c>
      <c r="C3457" s="1" t="s">
        <v>18603</v>
      </c>
      <c r="D3457" s="1" t="s">
        <v>18604</v>
      </c>
      <c r="E3457" s="1" t="s">
        <v>18605</v>
      </c>
      <c r="F3457" s="1" t="s">
        <v>18605</v>
      </c>
      <c r="G3457" s="1" t="s">
        <v>18605</v>
      </c>
      <c r="H3457" s="1" t="s">
        <v>18606</v>
      </c>
    </row>
    <row r="3458" spans="1:8" x14ac:dyDescent="0.3">
      <c r="A3458" s="2">
        <v>40322</v>
      </c>
      <c r="B3458" s="1" t="e">
        <f ca="1">-네(먹네)</f>
        <v>#NAME?</v>
      </c>
      <c r="C3458" s="1" t="s">
        <v>18607</v>
      </c>
      <c r="D3458" s="1" t="s">
        <v>18608</v>
      </c>
      <c r="E3458" s="1" t="s">
        <v>18609</v>
      </c>
      <c r="F3458" s="1" t="s">
        <v>18610</v>
      </c>
      <c r="G3458" s="1" t="s">
        <v>18611</v>
      </c>
      <c r="H3458" s="1" t="s">
        <v>18612</v>
      </c>
    </row>
    <row r="3459" spans="1:8" x14ac:dyDescent="0.3">
      <c r="A3459" s="2">
        <v>40323</v>
      </c>
      <c r="B3459" s="1" t="e">
        <f ca="1">-오(먹소)</f>
        <v>#NAME?</v>
      </c>
      <c r="C3459" s="1" t="s">
        <v>18613</v>
      </c>
      <c r="D3459" s="1" t="s">
        <v>18614</v>
      </c>
      <c r="E3459" s="1" t="s">
        <v>18615</v>
      </c>
      <c r="F3459" s="1" t="s">
        <v>18616</v>
      </c>
      <c r="G3459" s="1" t="s">
        <v>18617</v>
      </c>
      <c r="H3459" s="1" t="s">
        <v>18618</v>
      </c>
    </row>
    <row r="3460" spans="1:8" x14ac:dyDescent="0.3">
      <c r="A3460" s="2">
        <v>40324</v>
      </c>
      <c r="B3460" s="1" t="e">
        <f ca="1">-습니다(먹습니다)</f>
        <v>#NAME?</v>
      </c>
      <c r="C3460" s="1" t="s">
        <v>18619</v>
      </c>
      <c r="D3460" s="1" t="s">
        <v>18620</v>
      </c>
      <c r="E3460" s="1" t="s">
        <v>18621</v>
      </c>
      <c r="F3460" s="1" t="s">
        <v>18622</v>
      </c>
      <c r="G3460" s="1" t="s">
        <v>18623</v>
      </c>
      <c r="H3460" s="1" t="s">
        <v>18624</v>
      </c>
    </row>
    <row r="3461" spans="1:8" x14ac:dyDescent="0.3">
      <c r="A3461" s="2">
        <v>40325</v>
      </c>
      <c r="B3461" s="1" t="e">
        <f ca="1">-네요(먹네요)</f>
        <v>#NAME?</v>
      </c>
      <c r="C3461" s="1" t="s">
        <v>18625</v>
      </c>
      <c r="D3461" s="1" t="s">
        <v>18626</v>
      </c>
      <c r="F3461" s="1" t="s">
        <v>57</v>
      </c>
      <c r="G3461" s="1" t="s">
        <v>18627</v>
      </c>
      <c r="H3461" s="1" t="s">
        <v>18628</v>
      </c>
    </row>
    <row r="3462" spans="1:8" x14ac:dyDescent="0.3">
      <c r="A3462" s="2">
        <v>40326</v>
      </c>
      <c r="B3462" s="1" t="s">
        <v>18629</v>
      </c>
      <c r="C3462" s="1" t="s">
        <v>18630</v>
      </c>
      <c r="D3462" s="1" t="s">
        <v>18631</v>
      </c>
      <c r="E3462" s="1" t="s">
        <v>18632</v>
      </c>
      <c r="F3462" s="1" t="s">
        <v>18633</v>
      </c>
      <c r="G3462" s="1" t="s">
        <v>18634</v>
      </c>
      <c r="H3462" s="1" t="s">
        <v>18635</v>
      </c>
    </row>
    <row r="3463" spans="1:8" x14ac:dyDescent="0.3">
      <c r="A3463" s="2">
        <v>40327</v>
      </c>
      <c r="B3463" s="1" t="s">
        <v>18636</v>
      </c>
      <c r="C3463" s="1" t="s">
        <v>18637</v>
      </c>
      <c r="D3463" s="1" t="s">
        <v>18638</v>
      </c>
      <c r="E3463" s="1" t="s">
        <v>18639</v>
      </c>
      <c r="F3463" s="1" t="s">
        <v>18640</v>
      </c>
      <c r="G3463" s="1" t="s">
        <v>18641</v>
      </c>
      <c r="H3463" s="1" t="s">
        <v>18642</v>
      </c>
    </row>
    <row r="3464" spans="1:8" x14ac:dyDescent="0.3">
      <c r="A3464" s="2">
        <v>40328</v>
      </c>
      <c r="B3464" s="1" t="s">
        <v>18643</v>
      </c>
      <c r="C3464" s="1" t="s">
        <v>18644</v>
      </c>
      <c r="D3464" s="1" t="s">
        <v>18645</v>
      </c>
      <c r="E3464" s="1" t="s">
        <v>18646</v>
      </c>
      <c r="F3464" s="1" t="s">
        <v>18647</v>
      </c>
      <c r="G3464" s="1" t="s">
        <v>18648</v>
      </c>
      <c r="H3464" s="1" t="s">
        <v>18649</v>
      </c>
    </row>
    <row r="3465" spans="1:8" x14ac:dyDescent="0.3">
      <c r="A3465" s="2">
        <v>40329</v>
      </c>
      <c r="B3465" s="1" t="s">
        <v>18650</v>
      </c>
      <c r="C3465" s="1" t="s">
        <v>18651</v>
      </c>
      <c r="D3465" s="1" t="s">
        <v>18652</v>
      </c>
      <c r="E3465" s="1" t="s">
        <v>18653</v>
      </c>
      <c r="F3465" s="1" t="s">
        <v>18654</v>
      </c>
      <c r="G3465" s="1" t="s">
        <v>18655</v>
      </c>
      <c r="H3465" s="1" t="s">
        <v>18656</v>
      </c>
    </row>
    <row r="3466" spans="1:8" x14ac:dyDescent="0.3">
      <c r="A3466" s="2">
        <v>40330</v>
      </c>
      <c r="B3466" s="1" t="s">
        <v>18657</v>
      </c>
      <c r="C3466" s="1" t="s">
        <v>18651</v>
      </c>
      <c r="D3466" s="1" t="s">
        <v>18658</v>
      </c>
      <c r="F3466" s="1" t="s">
        <v>18659</v>
      </c>
      <c r="H3466" s="1" t="s">
        <v>18660</v>
      </c>
    </row>
    <row r="3467" spans="1:8" x14ac:dyDescent="0.3">
      <c r="A3467" s="2">
        <v>40331</v>
      </c>
      <c r="B3467" s="1" t="e">
        <f ca="1">-아(아파)</f>
        <v>#NAME?</v>
      </c>
      <c r="C3467" s="1" t="s">
        <v>18661</v>
      </c>
      <c r="D3467" s="1" t="s">
        <v>18662</v>
      </c>
      <c r="E3467" s="1" t="s">
        <v>18663</v>
      </c>
      <c r="F3467" s="1" t="s">
        <v>18664</v>
      </c>
      <c r="G3467" s="1" t="s">
        <v>18665</v>
      </c>
      <c r="H3467" s="1" t="s">
        <v>18666</v>
      </c>
    </row>
    <row r="3468" spans="1:8" x14ac:dyDescent="0.3">
      <c r="A3468" s="2">
        <v>40332</v>
      </c>
      <c r="B3468" s="1" t="e">
        <f ca="1">-지(거지)</f>
        <v>#NAME?</v>
      </c>
      <c r="C3468" s="1" t="s">
        <v>18667</v>
      </c>
      <c r="D3468" s="1" t="s">
        <v>18668</v>
      </c>
      <c r="F3468" s="1" t="s">
        <v>18669</v>
      </c>
      <c r="G3468" s="1" t="s">
        <v>18670</v>
      </c>
      <c r="H3468" s="1" t="s">
        <v>18671</v>
      </c>
    </row>
    <row r="3469" spans="1:8" x14ac:dyDescent="0.3">
      <c r="A3469" s="2">
        <v>40333</v>
      </c>
      <c r="B3469" s="1" t="e">
        <f ca="1">-이다(생일이다)</f>
        <v>#NAME?</v>
      </c>
      <c r="C3469" s="1" t="s">
        <v>18672</v>
      </c>
      <c r="D3469" s="1" t="s">
        <v>18673</v>
      </c>
      <c r="E3469" s="1" t="s">
        <v>18674</v>
      </c>
      <c r="F3469" s="1" t="s">
        <v>18675</v>
      </c>
      <c r="G3469" s="1" t="s">
        <v>18676</v>
      </c>
      <c r="H3469" s="1" t="s">
        <v>18677</v>
      </c>
    </row>
    <row r="3470" spans="1:8" x14ac:dyDescent="0.3">
      <c r="A3470" s="2">
        <v>40334</v>
      </c>
      <c r="B3470" s="1" t="e">
        <f ca="1">-이니(생일이니)</f>
        <v>#NAME?</v>
      </c>
      <c r="C3470" s="1" t="s">
        <v>18678</v>
      </c>
      <c r="D3470" s="1" t="s">
        <v>18679</v>
      </c>
      <c r="E3470" s="1" t="s">
        <v>18680</v>
      </c>
      <c r="F3470" s="1" t="s">
        <v>18681</v>
      </c>
      <c r="G3470" s="1" t="s">
        <v>18682</v>
      </c>
      <c r="H3470" s="1" t="s">
        <v>18683</v>
      </c>
    </row>
    <row r="3471" spans="1:8" x14ac:dyDescent="0.3">
      <c r="A3471" s="2">
        <v>40335</v>
      </c>
      <c r="B3471" s="1" t="e">
        <f ca="1">-이네(생일이네/생일일세)</f>
        <v>#NAME?</v>
      </c>
      <c r="C3471" s="1" t="s">
        <v>18684</v>
      </c>
      <c r="D3471" s="1" t="s">
        <v>18685</v>
      </c>
      <c r="E3471" s="1" t="s">
        <v>18686</v>
      </c>
      <c r="F3471" s="1" t="s">
        <v>18687</v>
      </c>
      <c r="G3471" s="1" t="s">
        <v>18688</v>
      </c>
      <c r="H3471" s="1" t="s">
        <v>18689</v>
      </c>
    </row>
    <row r="3472" spans="1:8" x14ac:dyDescent="0.3">
      <c r="A3472" s="2">
        <v>40336</v>
      </c>
      <c r="B3472" s="1" t="e">
        <f ca="1">-인가(생일인가)</f>
        <v>#NAME?</v>
      </c>
      <c r="C3472" s="1" t="s">
        <v>18690</v>
      </c>
      <c r="D3472" s="1" t="s">
        <v>18691</v>
      </c>
      <c r="E3472" s="1" t="s">
        <v>18692</v>
      </c>
      <c r="F3472" s="1" t="s">
        <v>18693</v>
      </c>
      <c r="G3472" s="1" t="s">
        <v>18694</v>
      </c>
      <c r="H3472" s="1" t="s">
        <v>18695</v>
      </c>
    </row>
    <row r="3473" spans="1:8" x14ac:dyDescent="0.3">
      <c r="A3473" s="2">
        <v>40337</v>
      </c>
      <c r="B3473" s="1" t="e">
        <f ca="1">-이오(생일이오)</f>
        <v>#NAME?</v>
      </c>
      <c r="C3473" s="1" t="s">
        <v>18696</v>
      </c>
      <c r="D3473" s="1" t="s">
        <v>18697</v>
      </c>
      <c r="F3473" s="1" t="s">
        <v>18698</v>
      </c>
      <c r="G3473" s="1" t="s">
        <v>18699</v>
      </c>
      <c r="H3473" s="1" t="s">
        <v>18700</v>
      </c>
    </row>
    <row r="3474" spans="1:8" x14ac:dyDescent="0.3">
      <c r="A3474" s="2">
        <v>40338</v>
      </c>
      <c r="B3474" s="1" t="e">
        <f ca="1">-이오(생일이오?)</f>
        <v>#NAME?</v>
      </c>
      <c r="C3474" s="1" t="s">
        <v>18701</v>
      </c>
      <c r="D3474" s="1" t="s">
        <v>18702</v>
      </c>
      <c r="E3474" s="1" t="s">
        <v>18703</v>
      </c>
      <c r="F3474" s="1" t="s">
        <v>18704</v>
      </c>
      <c r="G3474" s="1" t="s">
        <v>18705</v>
      </c>
      <c r="H3474" s="1" t="s">
        <v>18706</v>
      </c>
    </row>
    <row r="3475" spans="1:8" x14ac:dyDescent="0.3">
      <c r="A3475" s="2">
        <v>40339</v>
      </c>
      <c r="B3475" s="1" t="e">
        <f ca="1">-입니다(생신이십니다)</f>
        <v>#NAME?</v>
      </c>
      <c r="C3475" s="1" t="s">
        <v>18707</v>
      </c>
      <c r="D3475" s="1" t="s">
        <v>18708</v>
      </c>
      <c r="F3475" s="1" t="s">
        <v>18709</v>
      </c>
      <c r="G3475" s="1" t="s">
        <v>18710</v>
      </c>
      <c r="H3475" s="1" t="s">
        <v>18711</v>
      </c>
    </row>
    <row r="3476" spans="1:8" x14ac:dyDescent="0.3">
      <c r="A3476" s="2">
        <v>40340</v>
      </c>
      <c r="B3476" s="1" t="e">
        <f ca="1">-입니까(생신이십니까)</f>
        <v>#NAME?</v>
      </c>
      <c r="C3476" s="1" t="s">
        <v>18712</v>
      </c>
      <c r="D3476" s="1" t="s">
        <v>18713</v>
      </c>
      <c r="E3476" s="1" t="s">
        <v>18714</v>
      </c>
      <c r="F3476" s="1" t="s">
        <v>18715</v>
      </c>
      <c r="G3476" s="1" t="s">
        <v>18716</v>
      </c>
      <c r="H3476" s="1" t="s">
        <v>18717</v>
      </c>
    </row>
    <row r="3477" spans="1:8" x14ac:dyDescent="0.3">
      <c r="A3477" s="2">
        <v>40341</v>
      </c>
      <c r="B3477" s="1" t="e">
        <f ca="1">-이시지요(생신이시지요)</f>
        <v>#NAME?</v>
      </c>
      <c r="C3477" s="1" t="s">
        <v>18718</v>
      </c>
      <c r="D3477" s="1" t="s">
        <v>18719</v>
      </c>
      <c r="E3477" s="1" t="s">
        <v>18720</v>
      </c>
      <c r="F3477" s="1" t="s">
        <v>18721</v>
      </c>
      <c r="G3477" s="1" t="s">
        <v>18722</v>
      </c>
      <c r="H3477" s="1" t="s">
        <v>18723</v>
      </c>
    </row>
    <row r="3478" spans="1:8" x14ac:dyDescent="0.3">
      <c r="A3478" s="2">
        <v>40342</v>
      </c>
      <c r="B3478" s="1" t="e">
        <f ca="1">-이시지요(생신이시지요?)</f>
        <v>#NAME?</v>
      </c>
      <c r="C3478" s="1" t="s">
        <v>18724</v>
      </c>
      <c r="D3478" s="1" t="s">
        <v>18725</v>
      </c>
      <c r="F3478" s="1" t="s">
        <v>57</v>
      </c>
      <c r="G3478" s="1" t="s">
        <v>18726</v>
      </c>
      <c r="H3478" s="1" t="s">
        <v>18727</v>
      </c>
    </row>
    <row r="3479" spans="1:8" x14ac:dyDescent="0.3">
      <c r="A3479" s="2">
        <v>40343</v>
      </c>
      <c r="B3479" s="1" t="s">
        <v>18728</v>
      </c>
      <c r="C3479" s="1" t="s">
        <v>18729</v>
      </c>
      <c r="D3479" s="1" t="s">
        <v>18730</v>
      </c>
      <c r="E3479" s="1" t="s">
        <v>18731</v>
      </c>
      <c r="F3479" s="1" t="s">
        <v>18732</v>
      </c>
      <c r="G3479" s="1" t="s">
        <v>18733</v>
      </c>
      <c r="H3479" s="1" t="s">
        <v>18732</v>
      </c>
    </row>
    <row r="3480" spans="1:8" x14ac:dyDescent="0.3">
      <c r="A3480" s="2">
        <v>40344</v>
      </c>
      <c r="B3480" s="1" t="s">
        <v>18734</v>
      </c>
      <c r="C3480" s="1" t="s">
        <v>18735</v>
      </c>
      <c r="D3480" s="1" t="s">
        <v>18736</v>
      </c>
      <c r="E3480" s="1" t="s">
        <v>18737</v>
      </c>
      <c r="F3480" s="1" t="s">
        <v>18736</v>
      </c>
      <c r="G3480" s="1" t="s">
        <v>18738</v>
      </c>
      <c r="H3480" s="1" t="s">
        <v>18739</v>
      </c>
    </row>
    <row r="3481" spans="1:8" x14ac:dyDescent="0.3">
      <c r="A3481" s="2">
        <v>40345</v>
      </c>
      <c r="B3481" s="1" t="s">
        <v>18740</v>
      </c>
      <c r="C3481" s="1" t="s">
        <v>18741</v>
      </c>
      <c r="D3481" s="1" t="s">
        <v>18742</v>
      </c>
      <c r="F3481" s="1" t="s">
        <v>57</v>
      </c>
      <c r="G3481" s="1" t="s">
        <v>18743</v>
      </c>
      <c r="H3481" s="1" t="s">
        <v>18744</v>
      </c>
    </row>
    <row r="3482" spans="1:8" x14ac:dyDescent="0.3">
      <c r="A3482" s="2">
        <v>40346</v>
      </c>
      <c r="B3482" s="1" t="s">
        <v>18745</v>
      </c>
      <c r="C3482" s="1" t="s">
        <v>18746</v>
      </c>
      <c r="D3482" s="1" t="s">
        <v>18747</v>
      </c>
      <c r="E3482" s="1" t="s">
        <v>18748</v>
      </c>
      <c r="F3482" s="1" t="s">
        <v>18749</v>
      </c>
      <c r="G3482" s="1" t="s">
        <v>18750</v>
      </c>
      <c r="H3482" s="1" t="s">
        <v>18751</v>
      </c>
    </row>
    <row r="3483" spans="1:8" x14ac:dyDescent="0.3">
      <c r="A3483" s="2">
        <v>40347</v>
      </c>
      <c r="B3483" s="1" t="s">
        <v>18752</v>
      </c>
      <c r="C3483" s="1" t="s">
        <v>18753</v>
      </c>
      <c r="D3483" s="1" t="s">
        <v>18754</v>
      </c>
      <c r="G3483" s="1" t="s">
        <v>18755</v>
      </c>
      <c r="H3483" s="1" t="s">
        <v>18756</v>
      </c>
    </row>
    <row r="3484" spans="1:8" x14ac:dyDescent="0.3">
      <c r="A3484" s="2">
        <v>40348</v>
      </c>
      <c r="B3484" s="1" t="s">
        <v>18757</v>
      </c>
      <c r="C3484" s="1" t="s">
        <v>18758</v>
      </c>
      <c r="D3484" s="1" t="s">
        <v>18759</v>
      </c>
      <c r="F3484" s="1" t="s">
        <v>57</v>
      </c>
      <c r="G3484" s="1" t="s">
        <v>18760</v>
      </c>
      <c r="H3484" s="1" t="s">
        <v>18739</v>
      </c>
    </row>
    <row r="3485" spans="1:8" x14ac:dyDescent="0.3">
      <c r="A3485" s="2">
        <v>40349</v>
      </c>
      <c r="B3485" s="1" t="s">
        <v>18761</v>
      </c>
      <c r="C3485" s="1" t="s">
        <v>18762</v>
      </c>
      <c r="E3485" s="1" t="s">
        <v>18763</v>
      </c>
      <c r="F3485" s="1" t="s">
        <v>18764</v>
      </c>
      <c r="G3485" s="1" t="s">
        <v>18765</v>
      </c>
      <c r="H3485" s="1" t="s">
        <v>18766</v>
      </c>
    </row>
    <row r="3486" spans="1:8" x14ac:dyDescent="0.3">
      <c r="A3486" s="2">
        <v>40350</v>
      </c>
      <c r="B3486" s="1" t="e">
        <f ca="1">-습니다(많습니다)</f>
        <v>#NAME?</v>
      </c>
      <c r="C3486" s="1" t="s">
        <v>18767</v>
      </c>
      <c r="D3486" s="1" t="s">
        <v>18768</v>
      </c>
      <c r="E3486" s="1" t="s">
        <v>18769</v>
      </c>
      <c r="F3486" s="1" t="s">
        <v>18770</v>
      </c>
      <c r="G3486" s="1" t="s">
        <v>18771</v>
      </c>
      <c r="H3486" s="1" t="s">
        <v>18772</v>
      </c>
    </row>
    <row r="3487" spans="1:8" x14ac:dyDescent="0.3">
      <c r="A3487" s="2">
        <v>40351</v>
      </c>
      <c r="B3487" s="1" t="e">
        <f ca="1">-습디다(많습디다)</f>
        <v>#NAME?</v>
      </c>
      <c r="C3487" s="1" t="s">
        <v>18773</v>
      </c>
      <c r="D3487" s="1" t="s">
        <v>57</v>
      </c>
      <c r="E3487" s="1" t="s">
        <v>18774</v>
      </c>
      <c r="F3487" s="1" t="s">
        <v>57</v>
      </c>
      <c r="G3487" s="1" t="s">
        <v>18775</v>
      </c>
      <c r="H3487" s="1" t="s">
        <v>57</v>
      </c>
    </row>
    <row r="3488" spans="1:8" x14ac:dyDescent="0.3">
      <c r="A3488" s="2">
        <v>40352</v>
      </c>
      <c r="B3488" s="1" t="e">
        <f ca="1">-는구나/구나(먹는구나)</f>
        <v>#NAME?</v>
      </c>
      <c r="C3488" s="1" t="s">
        <v>18776</v>
      </c>
      <c r="D3488" s="1" t="s">
        <v>18777</v>
      </c>
      <c r="E3488" s="1" t="s">
        <v>18778</v>
      </c>
      <c r="F3488" s="1" t="s">
        <v>18779</v>
      </c>
      <c r="G3488" s="1" t="s">
        <v>18780</v>
      </c>
      <c r="H3488" s="1" t="s">
        <v>18781</v>
      </c>
    </row>
    <row r="3489" spans="1:8" x14ac:dyDescent="0.3">
      <c r="A3489" s="2">
        <v>40353</v>
      </c>
      <c r="B3489" s="1" t="e">
        <f ca="1">-는구먼/구먼(먹는구먼)</f>
        <v>#NAME?</v>
      </c>
      <c r="C3489" s="1" t="s">
        <v>18782</v>
      </c>
      <c r="D3489" s="1" t="s">
        <v>18783</v>
      </c>
      <c r="E3489" s="1" t="s">
        <v>18784</v>
      </c>
      <c r="F3489" s="1" t="s">
        <v>57</v>
      </c>
      <c r="G3489" s="1" t="s">
        <v>18785</v>
      </c>
      <c r="H3489" s="1" t="s">
        <v>18786</v>
      </c>
    </row>
    <row r="3490" spans="1:8" x14ac:dyDescent="0.3">
      <c r="A3490" s="2">
        <v>40354</v>
      </c>
      <c r="B3490" s="1" t="e">
        <f ca="1">-일세(오랜만일세)</f>
        <v>#NAME?</v>
      </c>
      <c r="C3490" s="1" t="s">
        <v>18787</v>
      </c>
      <c r="D3490" s="1" t="s">
        <v>57</v>
      </c>
      <c r="E3490" s="1" t="s">
        <v>18788</v>
      </c>
      <c r="F3490" s="1" t="s">
        <v>57</v>
      </c>
      <c r="G3490" s="1" t="s">
        <v>18789</v>
      </c>
      <c r="H3490" s="1" t="s">
        <v>18790</v>
      </c>
    </row>
    <row r="3491" spans="1:8" x14ac:dyDescent="0.3">
      <c r="A3491" s="2">
        <v>40355</v>
      </c>
      <c r="B3491" s="1" t="e">
        <f ca="1">-으마(갚으마)</f>
        <v>#NAME?</v>
      </c>
      <c r="C3491" s="1" t="s">
        <v>18791</v>
      </c>
      <c r="D3491" s="1" t="s">
        <v>18792</v>
      </c>
      <c r="E3491" s="1" t="s">
        <v>18793</v>
      </c>
      <c r="F3491" s="1" t="s">
        <v>18794</v>
      </c>
      <c r="G3491" s="1" t="s">
        <v>18795</v>
      </c>
      <c r="H3491" s="1" t="s">
        <v>18796</v>
      </c>
    </row>
    <row r="3492" spans="1:8" x14ac:dyDescent="0.3">
      <c r="A3492" s="2">
        <v>40356</v>
      </c>
      <c r="B3492" s="1" t="e">
        <f ca="1">-음세(갚음세)</f>
        <v>#NAME?</v>
      </c>
      <c r="C3492" s="1" t="s">
        <v>18797</v>
      </c>
      <c r="D3492" s="1" t="s">
        <v>57</v>
      </c>
      <c r="E3492" s="1" t="s">
        <v>18798</v>
      </c>
      <c r="F3492" s="1" t="s">
        <v>57</v>
      </c>
      <c r="G3492" s="1" t="s">
        <v>18799</v>
      </c>
      <c r="H3492" s="1" t="s">
        <v>18800</v>
      </c>
    </row>
    <row r="3493" spans="1:8" x14ac:dyDescent="0.3">
      <c r="A3493" s="2">
        <v>40357</v>
      </c>
      <c r="B3493" s="1" t="e">
        <f ca="1">-을라(다칠라)</f>
        <v>#NAME?</v>
      </c>
      <c r="C3493" s="1" t="s">
        <v>18801</v>
      </c>
      <c r="D3493" s="1" t="s">
        <v>57</v>
      </c>
      <c r="E3493" s="1" t="s">
        <v>18802</v>
      </c>
      <c r="F3493" s="1" t="s">
        <v>18803</v>
      </c>
      <c r="G3493" s="1" t="s">
        <v>18804</v>
      </c>
      <c r="H3493" s="1" t="s">
        <v>18805</v>
      </c>
    </row>
    <row r="3494" spans="1:8" x14ac:dyDescent="0.3">
      <c r="A3494" s="2">
        <v>40401</v>
      </c>
      <c r="B3494" s="1" t="e">
        <f ca="1">-고/-고서(먹고서)</f>
        <v>#NAME?</v>
      </c>
      <c r="C3494" s="1" t="s">
        <v>18806</v>
      </c>
      <c r="D3494" s="1" t="s">
        <v>18807</v>
      </c>
      <c r="E3494" s="1" t="s">
        <v>18808</v>
      </c>
      <c r="F3494" s="1" t="s">
        <v>18809</v>
      </c>
      <c r="G3494" s="1" t="s">
        <v>18810</v>
      </c>
      <c r="H3494" s="1" t="s">
        <v>18811</v>
      </c>
    </row>
    <row r="3495" spans="1:8" x14ac:dyDescent="0.3">
      <c r="A3495" s="2">
        <v>40402</v>
      </c>
      <c r="B3495" s="1" t="e">
        <f ca="1">-으면서(보면서)</f>
        <v>#NAME?</v>
      </c>
      <c r="C3495" s="1" t="s">
        <v>18812</v>
      </c>
      <c r="D3495" s="1" t="s">
        <v>18813</v>
      </c>
      <c r="E3495" s="1" t="s">
        <v>18814</v>
      </c>
      <c r="F3495" s="1" t="s">
        <v>18815</v>
      </c>
      <c r="G3495" s="1" t="s">
        <v>18816</v>
      </c>
      <c r="H3495" s="1" t="s">
        <v>18817</v>
      </c>
    </row>
    <row r="3496" spans="1:8" x14ac:dyDescent="0.3">
      <c r="A3496" s="2">
        <v>40403</v>
      </c>
      <c r="B3496" s="1" t="e">
        <f>-어/-어서</f>
        <v>#NAME?</v>
      </c>
      <c r="C3496" s="1" t="s">
        <v>18818</v>
      </c>
      <c r="E3496" s="1" t="s">
        <v>18819</v>
      </c>
      <c r="F3496" s="1" t="s">
        <v>18820</v>
      </c>
      <c r="G3496" s="1" t="s">
        <v>18821</v>
      </c>
      <c r="H3496" s="1" t="s">
        <v>16401</v>
      </c>
    </row>
    <row r="3497" spans="1:8" x14ac:dyDescent="0.3">
      <c r="A3497" s="2">
        <v>40404</v>
      </c>
      <c r="B3497" s="1" t="e">
        <f>-으니/-으니까</f>
        <v>#NAME?</v>
      </c>
      <c r="C3497" s="1" t="s">
        <v>18822</v>
      </c>
      <c r="E3497" s="1" t="s">
        <v>18823</v>
      </c>
      <c r="F3497" s="1" t="s">
        <v>18824</v>
      </c>
      <c r="G3497" s="1" t="s">
        <v>18825</v>
      </c>
      <c r="H3497" s="1" t="s">
        <v>18826</v>
      </c>
    </row>
    <row r="3498" spans="1:8" x14ac:dyDescent="0.3">
      <c r="A3498" s="2">
        <v>40405</v>
      </c>
      <c r="B3498" s="1" t="e">
        <f>-관데</f>
        <v>#NAME?</v>
      </c>
      <c r="C3498" s="1" t="s">
        <v>18827</v>
      </c>
      <c r="E3498" s="1" t="s">
        <v>18828</v>
      </c>
      <c r="F3498" s="1" t="s">
        <v>18829</v>
      </c>
      <c r="G3498" s="1" t="s">
        <v>18830</v>
      </c>
      <c r="H3498" s="1" t="s">
        <v>18831</v>
      </c>
    </row>
    <row r="3499" spans="1:8" x14ac:dyDescent="0.3">
      <c r="A3499" s="2">
        <v>40406</v>
      </c>
      <c r="B3499" s="1" t="e">
        <f>-다가</f>
        <v>#NAME?</v>
      </c>
      <c r="C3499" s="1" t="s">
        <v>18832</v>
      </c>
      <c r="D3499" s="1" t="s">
        <v>18833</v>
      </c>
      <c r="E3499" s="1" t="s">
        <v>18834</v>
      </c>
      <c r="F3499" s="1" t="s">
        <v>18835</v>
      </c>
      <c r="G3499" s="1" t="s">
        <v>18836</v>
      </c>
      <c r="H3499" s="1" t="s">
        <v>18837</v>
      </c>
    </row>
    <row r="3500" spans="1:8" x14ac:dyDescent="0.3">
      <c r="A3500" s="2">
        <v>40407</v>
      </c>
      <c r="B3500" s="1" t="e">
        <f>-거든</f>
        <v>#NAME?</v>
      </c>
      <c r="C3500" s="1" t="s">
        <v>18838</v>
      </c>
      <c r="D3500" s="1" t="s">
        <v>18839</v>
      </c>
      <c r="E3500" s="1" t="s">
        <v>18840</v>
      </c>
      <c r="F3500" s="1" t="s">
        <v>18841</v>
      </c>
      <c r="G3500" s="1" t="s">
        <v>18842</v>
      </c>
      <c r="H3500" s="1" t="s">
        <v>18843</v>
      </c>
    </row>
    <row r="3501" spans="1:8" x14ac:dyDescent="0.3">
      <c r="A3501" s="2">
        <v>40408</v>
      </c>
      <c r="B3501" s="1" t="e">
        <f>-더라도</f>
        <v>#NAME?</v>
      </c>
      <c r="C3501" s="1" t="s">
        <v>18844</v>
      </c>
      <c r="D3501" s="1" t="s">
        <v>18845</v>
      </c>
      <c r="E3501" s="1" t="s">
        <v>18846</v>
      </c>
      <c r="F3501" s="1" t="s">
        <v>18847</v>
      </c>
      <c r="G3501" s="1" t="s">
        <v>18848</v>
      </c>
      <c r="H3501" s="1" t="s">
        <v>18849</v>
      </c>
    </row>
    <row r="3502" spans="1:8" x14ac:dyDescent="0.3">
      <c r="A3502" s="2">
        <v>40409</v>
      </c>
      <c r="B3502" s="1" t="e">
        <f>-으려고</f>
        <v>#NAME?</v>
      </c>
      <c r="C3502" s="1" t="s">
        <v>18850</v>
      </c>
      <c r="D3502" s="1" t="s">
        <v>18851</v>
      </c>
      <c r="E3502" s="1" t="s">
        <v>18852</v>
      </c>
      <c r="F3502" s="1" t="s">
        <v>18853</v>
      </c>
      <c r="G3502" s="1" t="s">
        <v>18854</v>
      </c>
      <c r="H3502" s="1" t="s">
        <v>18855</v>
      </c>
    </row>
    <row r="3503" spans="1:8" x14ac:dyDescent="0.3">
      <c r="A3503" s="2">
        <v>40410</v>
      </c>
      <c r="B3503" s="1" t="e">
        <f>-도록</f>
        <v>#NAME?</v>
      </c>
      <c r="C3503" s="1" t="s">
        <v>18856</v>
      </c>
      <c r="D3503" s="1" t="s">
        <v>18857</v>
      </c>
      <c r="E3503" s="1" t="s">
        <v>18858</v>
      </c>
      <c r="F3503" s="1" t="s">
        <v>18859</v>
      </c>
      <c r="G3503" s="1" t="s">
        <v>18860</v>
      </c>
      <c r="H3503" s="1" t="s">
        <v>18861</v>
      </c>
    </row>
    <row r="3504" spans="1:8" x14ac:dyDescent="0.3">
      <c r="A3504" s="2">
        <v>40411</v>
      </c>
      <c r="B3504" s="1" t="e">
        <f>-을수록</f>
        <v>#NAME?</v>
      </c>
      <c r="C3504" s="1" t="s">
        <v>18862</v>
      </c>
      <c r="D3504" s="1" t="s">
        <v>18863</v>
      </c>
      <c r="E3504" s="1" t="s">
        <v>18864</v>
      </c>
      <c r="F3504" s="1" t="s">
        <v>18865</v>
      </c>
      <c r="G3504" s="1" t="s">
        <v>18866</v>
      </c>
    </row>
    <row r="3505" spans="1:8" x14ac:dyDescent="0.3">
      <c r="A3505" s="2">
        <v>40412</v>
      </c>
      <c r="B3505" s="1" t="e">
        <f>-듯이</f>
        <v>#NAME?</v>
      </c>
      <c r="C3505" s="1" t="s">
        <v>18867</v>
      </c>
      <c r="D3505" s="1" t="s">
        <v>18868</v>
      </c>
      <c r="E3505" s="1" t="s">
        <v>18869</v>
      </c>
      <c r="F3505" s="1" t="s">
        <v>18870</v>
      </c>
      <c r="G3505" s="1" t="s">
        <v>18871</v>
      </c>
      <c r="H3505" s="1" t="s">
        <v>18872</v>
      </c>
    </row>
    <row r="3506" spans="1:8" x14ac:dyDescent="0.3">
      <c r="A3506" s="2">
        <v>40413</v>
      </c>
      <c r="B3506" s="1" t="e">
        <f>-지</f>
        <v>#NAME?</v>
      </c>
      <c r="C3506" s="1" t="s">
        <v>18873</v>
      </c>
      <c r="E3506" s="1" t="s">
        <v>18874</v>
      </c>
      <c r="F3506" s="1" t="s">
        <v>18875</v>
      </c>
      <c r="G3506" s="1" t="s">
        <v>18876</v>
      </c>
      <c r="H3506" s="1" t="s">
        <v>18877</v>
      </c>
    </row>
    <row r="3507" spans="1:8" x14ac:dyDescent="0.3">
      <c r="A3507" s="2">
        <v>40501</v>
      </c>
      <c r="B3507" s="1" t="e">
        <f ca="1">-셔(오셔)</f>
        <v>#NAME?</v>
      </c>
      <c r="C3507" s="1" t="s">
        <v>18878</v>
      </c>
      <c r="D3507" s="1" t="s">
        <v>18879</v>
      </c>
      <c r="E3507" s="1" t="s">
        <v>18880</v>
      </c>
      <c r="F3507" s="1" t="s">
        <v>57</v>
      </c>
      <c r="G3507" s="1" t="s">
        <v>18881</v>
      </c>
      <c r="H3507" s="1" t="s">
        <v>18882</v>
      </c>
    </row>
    <row r="3508" spans="1:8" x14ac:dyDescent="0.3">
      <c r="A3508" s="2">
        <v>40502</v>
      </c>
      <c r="B3508" s="1" t="e">
        <f ca="1">-셨소(하셨소)</f>
        <v>#NAME?</v>
      </c>
      <c r="C3508" s="1" t="s">
        <v>18883</v>
      </c>
      <c r="D3508" s="1" t="s">
        <v>18884</v>
      </c>
      <c r="E3508" s="1" t="s">
        <v>18885</v>
      </c>
      <c r="F3508" s="1" t="s">
        <v>18886</v>
      </c>
      <c r="G3508" s="1" t="s">
        <v>18887</v>
      </c>
      <c r="H3508" s="1" t="s">
        <v>18888</v>
      </c>
    </row>
    <row r="3509" spans="1:8" x14ac:dyDescent="0.3">
      <c r="A3509" s="2">
        <v>40601</v>
      </c>
      <c r="B3509" s="1" t="s">
        <v>18889</v>
      </c>
      <c r="E3509" s="1" t="s">
        <v>18890</v>
      </c>
      <c r="F3509" s="1" t="s">
        <v>18891</v>
      </c>
      <c r="G3509" s="1" t="s">
        <v>18892</v>
      </c>
      <c r="H3509" s="1" t="s">
        <v>18893</v>
      </c>
    </row>
    <row r="3510" spans="1:8" x14ac:dyDescent="0.3">
      <c r="A3510" s="2">
        <v>40602</v>
      </c>
      <c r="B3510" s="1" t="e">
        <f>-는/ㄴ-(기어간다)</f>
        <v>#NAME?</v>
      </c>
      <c r="C3510" s="1" t="s">
        <v>18894</v>
      </c>
      <c r="E3510" s="1" t="s">
        <v>18895</v>
      </c>
      <c r="F3510" s="1" t="s">
        <v>18896</v>
      </c>
      <c r="G3510" s="1" t="s">
        <v>18897</v>
      </c>
      <c r="H3510" s="1" t="s">
        <v>18898</v>
      </c>
    </row>
    <row r="3511" spans="1:8" x14ac:dyDescent="0.3">
      <c r="A3511" s="2">
        <v>40603</v>
      </c>
      <c r="B3511" s="1" t="e">
        <f>-는/ㄴ-(크다)</f>
        <v>#NAME?</v>
      </c>
      <c r="C3511" s="1" t="s">
        <v>18899</v>
      </c>
      <c r="E3511" s="1" t="s">
        <v>14259</v>
      </c>
      <c r="F3511" s="1" t="s">
        <v>11238</v>
      </c>
      <c r="G3511" s="1" t="s">
        <v>14259</v>
      </c>
      <c r="H3511" s="1" t="s">
        <v>14259</v>
      </c>
    </row>
    <row r="3512" spans="1:8" x14ac:dyDescent="0.3">
      <c r="A3512" s="2">
        <v>40604</v>
      </c>
      <c r="B3512" s="1" t="e">
        <f>-는/ㄴ-(생일이다)</f>
        <v>#NAME?</v>
      </c>
      <c r="C3512" s="1" t="s">
        <v>18900</v>
      </c>
      <c r="E3512" s="1" t="s">
        <v>18901</v>
      </c>
      <c r="F3512" s="1" t="s">
        <v>18673</v>
      </c>
      <c r="G3512" s="1" t="s">
        <v>18676</v>
      </c>
      <c r="H3512" s="1" t="s">
        <v>18902</v>
      </c>
    </row>
    <row r="3513" spans="1:8" x14ac:dyDescent="0.3">
      <c r="A3513" s="2">
        <v>40605</v>
      </c>
      <c r="B3513" s="1" t="e">
        <f>-고 있-(오고 있다)</f>
        <v>#NAME?</v>
      </c>
      <c r="C3513" s="1" t="s">
        <v>18903</v>
      </c>
      <c r="E3513" s="1" t="s">
        <v>18904</v>
      </c>
      <c r="F3513" s="1" t="s">
        <v>11679</v>
      </c>
      <c r="G3513" s="1" t="s">
        <v>18905</v>
      </c>
      <c r="H3513" s="1" t="s">
        <v>18906</v>
      </c>
    </row>
    <row r="3514" spans="1:8" x14ac:dyDescent="0.3">
      <c r="A3514" s="2">
        <v>40606</v>
      </c>
      <c r="B3514" s="1" t="e">
        <f>-았/었-(먹었니/잡수셨습니까)</f>
        <v>#NAME?</v>
      </c>
      <c r="C3514" s="1" t="s">
        <v>18907</v>
      </c>
      <c r="E3514" s="1" t="s">
        <v>18908</v>
      </c>
      <c r="F3514" s="1" t="s">
        <v>18909</v>
      </c>
      <c r="G3514" s="1" t="s">
        <v>18910</v>
      </c>
      <c r="H3514" s="1" t="s">
        <v>18911</v>
      </c>
    </row>
    <row r="3515" spans="1:8" x14ac:dyDescent="0.3">
      <c r="A3515" s="2">
        <v>40607</v>
      </c>
      <c r="B3515" s="1" t="e">
        <f ca="1">-았었(왔었다)</f>
        <v>#NAME?</v>
      </c>
      <c r="C3515" s="1" t="s">
        <v>18912</v>
      </c>
      <c r="F3515" s="1" t="s">
        <v>18913</v>
      </c>
      <c r="G3515" s="1" t="s">
        <v>18914</v>
      </c>
      <c r="H3515" s="1" t="s">
        <v>18915</v>
      </c>
    </row>
    <row r="3516" spans="1:8" x14ac:dyDescent="0.3">
      <c r="A3516" s="2">
        <v>40608</v>
      </c>
      <c r="B3516" s="1" t="e">
        <f>-더-(먹더라)</f>
        <v>#NAME?</v>
      </c>
      <c r="C3516" s="1" t="s">
        <v>18916</v>
      </c>
      <c r="D3516" s="1" t="s">
        <v>18917</v>
      </c>
      <c r="E3516" s="1" t="s">
        <v>18918</v>
      </c>
      <c r="F3516" s="1" t="s">
        <v>18919</v>
      </c>
      <c r="G3516" s="1" t="s">
        <v>18920</v>
      </c>
      <c r="H3516" s="1" t="s">
        <v>18921</v>
      </c>
    </row>
    <row r="3517" spans="1:8" x14ac:dyDescent="0.3">
      <c r="A3517" s="2">
        <v>40609</v>
      </c>
      <c r="B3517" s="1" t="e">
        <f>-더-(먹더냐)</f>
        <v>#NAME?</v>
      </c>
      <c r="C3517" s="1" t="s">
        <v>18922</v>
      </c>
      <c r="F3517" s="1" t="s">
        <v>57</v>
      </c>
      <c r="G3517" s="1" t="s">
        <v>18923</v>
      </c>
      <c r="H3517" s="1" t="s">
        <v>18924</v>
      </c>
    </row>
    <row r="3518" spans="1:8" x14ac:dyDescent="0.3">
      <c r="A3518" s="2">
        <v>40610</v>
      </c>
      <c r="B3518" s="1" t="s">
        <v>18925</v>
      </c>
      <c r="C3518" s="1" t="s">
        <v>18926</v>
      </c>
      <c r="D3518" s="1" t="s">
        <v>18927</v>
      </c>
      <c r="E3518" s="1" t="s">
        <v>18928</v>
      </c>
      <c r="F3518" s="1" t="s">
        <v>18929</v>
      </c>
      <c r="G3518" s="1" t="s">
        <v>18930</v>
      </c>
      <c r="H3518" s="1" t="s">
        <v>18931</v>
      </c>
    </row>
    <row r="3519" spans="1:8" x14ac:dyDescent="0.3">
      <c r="A3519" s="2">
        <v>40611</v>
      </c>
      <c r="B3519" s="1" t="s">
        <v>18932</v>
      </c>
      <c r="C3519" s="1" t="s">
        <v>18933</v>
      </c>
      <c r="D3519" s="1" t="s">
        <v>18934</v>
      </c>
      <c r="E3519" s="1" t="s">
        <v>18935</v>
      </c>
      <c r="F3519" s="1" t="s">
        <v>18936</v>
      </c>
      <c r="G3519" s="1" t="s">
        <v>18937</v>
      </c>
      <c r="H3519" s="1" t="s">
        <v>18938</v>
      </c>
    </row>
    <row r="3520" spans="1:8" x14ac:dyDescent="0.3">
      <c r="A3520" s="2">
        <v>40612</v>
      </c>
      <c r="B3520" s="1" t="s">
        <v>18939</v>
      </c>
      <c r="C3520" s="1" t="s">
        <v>18940</v>
      </c>
      <c r="E3520" s="1" t="s">
        <v>18941</v>
      </c>
      <c r="G3520" s="1" t="s">
        <v>18942</v>
      </c>
      <c r="H3520" s="1" t="s">
        <v>18943</v>
      </c>
    </row>
    <row r="3521" spans="1:8" x14ac:dyDescent="0.3">
      <c r="A3521" s="2">
        <v>40613</v>
      </c>
      <c r="B3521" s="1" t="s">
        <v>18944</v>
      </c>
      <c r="C3521" s="1" t="s">
        <v>18945</v>
      </c>
      <c r="E3521" s="1" t="s">
        <v>18946</v>
      </c>
      <c r="F3521" s="1" t="s">
        <v>18947</v>
      </c>
      <c r="G3521" s="1" t="s">
        <v>18946</v>
      </c>
      <c r="H3521" s="1" t="s">
        <v>18948</v>
      </c>
    </row>
    <row r="3522" spans="1:8" x14ac:dyDescent="0.3">
      <c r="A3522" s="2">
        <v>40614</v>
      </c>
      <c r="B3522" s="1" t="s">
        <v>18949</v>
      </c>
      <c r="C3522" s="1" t="s">
        <v>18950</v>
      </c>
      <c r="E3522" s="1" t="s">
        <v>18951</v>
      </c>
      <c r="F3522" s="1" t="s">
        <v>18952</v>
      </c>
      <c r="G3522" s="1" t="s">
        <v>18953</v>
      </c>
      <c r="H3522" s="1" t="s">
        <v>18954</v>
      </c>
    </row>
    <row r="3523" spans="1:8" x14ac:dyDescent="0.3">
      <c r="A3523" s="2">
        <v>40615</v>
      </c>
      <c r="B3523" s="1" t="s">
        <v>18955</v>
      </c>
      <c r="C3523" s="1" t="s">
        <v>18956</v>
      </c>
      <c r="D3523" s="1" t="s">
        <v>18957</v>
      </c>
      <c r="E3523" s="1" t="s">
        <v>18958</v>
      </c>
      <c r="F3523" s="1" t="s">
        <v>18959</v>
      </c>
      <c r="G3523" s="1" t="s">
        <v>18960</v>
      </c>
      <c r="H3523" s="1" t="s">
        <v>18961</v>
      </c>
    </row>
    <row r="3524" spans="1:8" x14ac:dyDescent="0.3">
      <c r="A3524" s="2">
        <v>40616</v>
      </c>
      <c r="B3524" s="1" t="s">
        <v>18962</v>
      </c>
      <c r="C3524" s="1" t="s">
        <v>57</v>
      </c>
      <c r="E3524" s="1" t="s">
        <v>18963</v>
      </c>
      <c r="F3524" s="1" t="s">
        <v>18964</v>
      </c>
      <c r="G3524" s="1" t="s">
        <v>18965</v>
      </c>
      <c r="H3524" s="1" t="s">
        <v>18966</v>
      </c>
    </row>
    <row r="3525" spans="1:8" x14ac:dyDescent="0.3">
      <c r="A3525" s="2">
        <v>40617</v>
      </c>
      <c r="B3525" s="1" t="e">
        <f>-겠-(않겠다)</f>
        <v>#NAME?</v>
      </c>
      <c r="C3525" s="1" t="s">
        <v>18967</v>
      </c>
      <c r="D3525" s="1" t="s">
        <v>18968</v>
      </c>
      <c r="E3525" s="1" t="s">
        <v>18969</v>
      </c>
      <c r="G3525" s="1" t="s">
        <v>18970</v>
      </c>
      <c r="H3525" s="1" t="s">
        <v>18971</v>
      </c>
    </row>
    <row r="3526" spans="1:8" x14ac:dyDescent="0.3">
      <c r="A3526" s="2">
        <v>40618</v>
      </c>
      <c r="B3526" s="1" t="e">
        <f>-겠-(오겠다)</f>
        <v>#NAME?</v>
      </c>
      <c r="C3526" s="1" t="s">
        <v>18972</v>
      </c>
      <c r="D3526" s="1" t="s">
        <v>18973</v>
      </c>
      <c r="E3526" s="1" t="s">
        <v>18974</v>
      </c>
      <c r="F3526" s="1" t="s">
        <v>18975</v>
      </c>
      <c r="H3526" s="1" t="s">
        <v>18976</v>
      </c>
    </row>
    <row r="3527" spans="1:8" x14ac:dyDescent="0.3">
      <c r="A3527" s="2">
        <v>40701</v>
      </c>
      <c r="B3527" s="1" t="s">
        <v>18977</v>
      </c>
      <c r="C3527" s="1" t="s">
        <v>18978</v>
      </c>
      <c r="D3527" s="1" t="s">
        <v>18979</v>
      </c>
      <c r="E3527" s="1" t="s">
        <v>18980</v>
      </c>
      <c r="F3527" s="1" t="s">
        <v>18981</v>
      </c>
      <c r="G3527" s="1" t="s">
        <v>18982</v>
      </c>
      <c r="H3527" s="1" t="s">
        <v>18983</v>
      </c>
    </row>
    <row r="3528" spans="1:8" x14ac:dyDescent="0.3">
      <c r="A3528" s="2">
        <v>40702</v>
      </c>
      <c r="B3528" s="1" t="s">
        <v>18984</v>
      </c>
      <c r="C3528" s="1" t="s">
        <v>18985</v>
      </c>
      <c r="D3528" s="1" t="s">
        <v>18986</v>
      </c>
      <c r="E3528" s="1" t="s">
        <v>18987</v>
      </c>
      <c r="F3528" s="1" t="s">
        <v>18988</v>
      </c>
      <c r="G3528" s="1" t="s">
        <v>18989</v>
      </c>
      <c r="H3528" s="1" t="s">
        <v>18990</v>
      </c>
    </row>
    <row r="3529" spans="1:8" x14ac:dyDescent="0.3">
      <c r="A3529" s="2">
        <v>40703</v>
      </c>
      <c r="B3529" s="1" t="s">
        <v>18991</v>
      </c>
      <c r="C3529" s="1" t="s">
        <v>18992</v>
      </c>
      <c r="E3529" s="1" t="s">
        <v>18993</v>
      </c>
      <c r="F3529" s="1" t="s">
        <v>18994</v>
      </c>
      <c r="G3529" s="1" t="s">
        <v>18995</v>
      </c>
      <c r="H3529" s="1" t="s">
        <v>18996</v>
      </c>
    </row>
    <row r="3530" spans="1:8" x14ac:dyDescent="0.3">
      <c r="A3530" s="2">
        <v>40704</v>
      </c>
      <c r="B3530" s="1" t="s">
        <v>18997</v>
      </c>
      <c r="C3530" s="1" t="s">
        <v>18998</v>
      </c>
      <c r="D3530" s="1" t="s">
        <v>18999</v>
      </c>
      <c r="E3530" s="1" t="s">
        <v>19000</v>
      </c>
      <c r="F3530" s="1" t="s">
        <v>19001</v>
      </c>
      <c r="G3530" s="1" t="s">
        <v>19002</v>
      </c>
      <c r="H3530" s="1" t="s">
        <v>19003</v>
      </c>
    </row>
    <row r="3531" spans="1:8" x14ac:dyDescent="0.3">
      <c r="A3531" s="2">
        <v>40705</v>
      </c>
      <c r="B3531" s="1" t="s">
        <v>19004</v>
      </c>
      <c r="C3531" s="1" t="s">
        <v>19005</v>
      </c>
      <c r="D3531" s="1" t="s">
        <v>19006</v>
      </c>
      <c r="E3531" s="1" t="s">
        <v>19007</v>
      </c>
      <c r="F3531" s="1" t="s">
        <v>57</v>
      </c>
      <c r="G3531" s="1" t="s">
        <v>19008</v>
      </c>
      <c r="H3531" s="1" t="s">
        <v>19009</v>
      </c>
    </row>
    <row r="3532" spans="1:8" x14ac:dyDescent="0.3">
      <c r="A3532" s="2">
        <v>40706</v>
      </c>
      <c r="B3532" s="1" t="s">
        <v>19010</v>
      </c>
      <c r="C3532" s="1" t="s">
        <v>19011</v>
      </c>
      <c r="E3532" s="1" t="s">
        <v>19012</v>
      </c>
      <c r="F3532" s="1" t="s">
        <v>19013</v>
      </c>
      <c r="G3532" s="1" t="s">
        <v>19014</v>
      </c>
      <c r="H3532" s="1" t="s">
        <v>19015</v>
      </c>
    </row>
    <row r="3533" spans="1:8" x14ac:dyDescent="0.3">
      <c r="A3533" s="2" t="s">
        <v>19016</v>
      </c>
      <c r="B3533" s="1" t="s">
        <v>19017</v>
      </c>
      <c r="F3533" s="1" t="s">
        <v>57</v>
      </c>
      <c r="H3533" s="1" t="s">
        <v>57</v>
      </c>
    </row>
    <row r="3534" spans="1:8" x14ac:dyDescent="0.3">
      <c r="A3534" s="2">
        <v>40707</v>
      </c>
      <c r="B3534" s="1" t="s">
        <v>19018</v>
      </c>
      <c r="C3534" s="1" t="s">
        <v>19019</v>
      </c>
      <c r="D3534" s="1" t="s">
        <v>19020</v>
      </c>
      <c r="E3534" s="1" t="s">
        <v>19021</v>
      </c>
      <c r="F3534" s="1" t="s">
        <v>19022</v>
      </c>
      <c r="G3534" s="1" t="s">
        <v>19023</v>
      </c>
      <c r="H3534" s="1" t="s">
        <v>19024</v>
      </c>
    </row>
    <row r="3535" spans="1:8" x14ac:dyDescent="0.3">
      <c r="A3535" s="2">
        <v>40708</v>
      </c>
      <c r="B3535" s="1" t="s">
        <v>19025</v>
      </c>
      <c r="C3535" s="1" t="s">
        <v>19026</v>
      </c>
      <c r="E3535" s="1" t="s">
        <v>19027</v>
      </c>
      <c r="F3535" s="1" t="s">
        <v>57</v>
      </c>
      <c r="G3535" s="1" t="s">
        <v>19028</v>
      </c>
      <c r="H3535" s="1" t="s">
        <v>19029</v>
      </c>
    </row>
    <row r="3536" spans="1:8" x14ac:dyDescent="0.3">
      <c r="A3536" s="2">
        <v>40801</v>
      </c>
      <c r="B3536" s="1" t="s">
        <v>19030</v>
      </c>
      <c r="C3536" s="1" t="s">
        <v>19031</v>
      </c>
      <c r="D3536" s="1" t="s">
        <v>19032</v>
      </c>
      <c r="E3536" s="1" t="s">
        <v>19033</v>
      </c>
      <c r="F3536" s="1" t="s">
        <v>19034</v>
      </c>
      <c r="G3536" s="1" t="s">
        <v>19035</v>
      </c>
      <c r="H3536" s="1" t="s">
        <v>19036</v>
      </c>
    </row>
    <row r="3537" spans="1:8" x14ac:dyDescent="0.3">
      <c r="A3537" s="2">
        <v>40802</v>
      </c>
      <c r="B3537" s="1" t="s">
        <v>19037</v>
      </c>
      <c r="C3537" s="1" t="s">
        <v>19038</v>
      </c>
      <c r="D3537" s="1" t="s">
        <v>19039</v>
      </c>
      <c r="E3537" s="1" t="s">
        <v>19040</v>
      </c>
      <c r="F3537" s="1" t="s">
        <v>19041</v>
      </c>
      <c r="G3537" s="1" t="s">
        <v>19042</v>
      </c>
      <c r="H3537" s="1" t="s">
        <v>19043</v>
      </c>
    </row>
    <row r="3538" spans="1:8" x14ac:dyDescent="0.3">
      <c r="A3538" s="2">
        <v>40803</v>
      </c>
      <c r="B3538" s="1" t="s">
        <v>19044</v>
      </c>
      <c r="C3538" s="1" t="s">
        <v>19045</v>
      </c>
      <c r="D3538" s="1" t="s">
        <v>19046</v>
      </c>
      <c r="E3538" s="1" t="s">
        <v>19047</v>
      </c>
      <c r="F3538" s="1" t="s">
        <v>19048</v>
      </c>
      <c r="G3538" s="1" t="s">
        <v>19049</v>
      </c>
      <c r="H3538" s="1" t="s">
        <v>19050</v>
      </c>
    </row>
    <row r="3539" spans="1:8" x14ac:dyDescent="0.3">
      <c r="A3539" s="2">
        <v>40804</v>
      </c>
      <c r="B3539" s="1" t="s">
        <v>19051</v>
      </c>
      <c r="C3539" s="1" t="s">
        <v>19052</v>
      </c>
      <c r="D3539" s="1" t="s">
        <v>19053</v>
      </c>
      <c r="E3539" s="1" t="s">
        <v>19054</v>
      </c>
      <c r="F3539" s="1" t="s">
        <v>19055</v>
      </c>
      <c r="G3539" s="1" t="s">
        <v>19056</v>
      </c>
      <c r="H3539" s="1" t="s">
        <v>19057</v>
      </c>
    </row>
    <row r="3540" spans="1:8" x14ac:dyDescent="0.3">
      <c r="A3540" s="2">
        <v>40805</v>
      </c>
      <c r="B3540" s="1" t="s">
        <v>19058</v>
      </c>
      <c r="C3540" s="1" t="s">
        <v>19059</v>
      </c>
      <c r="D3540" s="1" t="s">
        <v>19060</v>
      </c>
      <c r="E3540" s="1" t="s">
        <v>19061</v>
      </c>
      <c r="F3540" s="1" t="s">
        <v>19062</v>
      </c>
      <c r="G3540" s="1" t="s">
        <v>19062</v>
      </c>
      <c r="H3540" s="1" t="s">
        <v>19063</v>
      </c>
    </row>
    <row r="3541" spans="1:8" x14ac:dyDescent="0.3">
      <c r="A3541" s="2">
        <v>40806</v>
      </c>
      <c r="B3541" s="1" t="s">
        <v>19064</v>
      </c>
      <c r="C3541" s="1" t="s">
        <v>19065</v>
      </c>
      <c r="D3541" s="1" t="s">
        <v>19066</v>
      </c>
      <c r="E3541" s="1" t="s">
        <v>19067</v>
      </c>
      <c r="F3541" s="1" t="s">
        <v>19068</v>
      </c>
      <c r="G3541" s="1" t="s">
        <v>19069</v>
      </c>
      <c r="H3541" s="1" t="s">
        <v>19070</v>
      </c>
    </row>
    <row r="3542" spans="1:8" x14ac:dyDescent="0.3">
      <c r="A3542" s="2">
        <v>40807</v>
      </c>
      <c r="B3542" s="1" t="s">
        <v>19071</v>
      </c>
      <c r="C3542" s="1" t="s">
        <v>19072</v>
      </c>
      <c r="D3542" s="1" t="s">
        <v>19073</v>
      </c>
      <c r="E3542" s="1" t="s">
        <v>19074</v>
      </c>
      <c r="F3542" s="1" t="s">
        <v>19075</v>
      </c>
      <c r="G3542" s="1" t="s">
        <v>19076</v>
      </c>
      <c r="H3542" s="1" t="s">
        <v>19077</v>
      </c>
    </row>
    <row r="3543" spans="1:8" x14ac:dyDescent="0.3">
      <c r="A3543" s="2">
        <v>40808</v>
      </c>
      <c r="B3543" s="1" t="s">
        <v>19078</v>
      </c>
      <c r="C3543" s="1" t="s">
        <v>19079</v>
      </c>
      <c r="D3543" s="1" t="s">
        <v>19080</v>
      </c>
      <c r="E3543" s="1" t="s">
        <v>19081</v>
      </c>
      <c r="F3543" s="1" t="s">
        <v>19082</v>
      </c>
      <c r="G3543" s="1" t="s">
        <v>19083</v>
      </c>
      <c r="H3543" s="1" t="s">
        <v>19084</v>
      </c>
    </row>
    <row r="3544" spans="1:8" x14ac:dyDescent="0.3">
      <c r="A3544" s="2">
        <v>40809</v>
      </c>
      <c r="B3544" s="1" t="s">
        <v>19085</v>
      </c>
      <c r="C3544" s="1" t="s">
        <v>19086</v>
      </c>
      <c r="D3544" s="1" t="s">
        <v>19087</v>
      </c>
      <c r="E3544" s="1" t="s">
        <v>19088</v>
      </c>
      <c r="F3544" s="1" t="s">
        <v>19089</v>
      </c>
      <c r="G3544" s="1" t="s">
        <v>19090</v>
      </c>
      <c r="H3544" s="1" t="s">
        <v>19091</v>
      </c>
    </row>
    <row r="3545" spans="1:8" x14ac:dyDescent="0.3">
      <c r="A3545" s="2">
        <v>40810</v>
      </c>
      <c r="B3545" s="1" t="s">
        <v>19092</v>
      </c>
      <c r="C3545" s="1" t="s">
        <v>19093</v>
      </c>
      <c r="D3545" s="1" t="s">
        <v>19094</v>
      </c>
      <c r="E3545" s="1" t="s">
        <v>19095</v>
      </c>
      <c r="F3545" s="1" t="s">
        <v>19096</v>
      </c>
      <c r="G3545" s="1" t="s">
        <v>19097</v>
      </c>
      <c r="H3545" s="1" t="s">
        <v>19098</v>
      </c>
    </row>
    <row r="3546" spans="1:8" x14ac:dyDescent="0.3">
      <c r="A3546" s="2">
        <v>40811</v>
      </c>
      <c r="B3546" s="1" t="s">
        <v>19099</v>
      </c>
      <c r="C3546" s="1" t="s">
        <v>19100</v>
      </c>
      <c r="D3546" s="1" t="s">
        <v>19101</v>
      </c>
      <c r="E3546" s="1" t="s">
        <v>19102</v>
      </c>
      <c r="F3546" s="1" t="s">
        <v>19103</v>
      </c>
      <c r="G3546" s="1" t="s">
        <v>19104</v>
      </c>
      <c r="H3546" s="1" t="s">
        <v>19105</v>
      </c>
    </row>
    <row r="3547" spans="1:8" x14ac:dyDescent="0.3">
      <c r="A3547" s="2">
        <v>40812</v>
      </c>
      <c r="B3547" s="1" t="s">
        <v>19106</v>
      </c>
      <c r="C3547" s="1" t="s">
        <v>19107</v>
      </c>
      <c r="D3547" s="1" t="s">
        <v>19108</v>
      </c>
      <c r="E3547" s="1" t="s">
        <v>19109</v>
      </c>
      <c r="F3547" s="1" t="s">
        <v>19110</v>
      </c>
      <c r="G3547" s="1" t="s">
        <v>19111</v>
      </c>
      <c r="H3547" s="1" t="s">
        <v>19112</v>
      </c>
    </row>
    <row r="3548" spans="1:8" x14ac:dyDescent="0.3">
      <c r="A3548" s="2">
        <v>40813</v>
      </c>
      <c r="B3548" s="1" t="s">
        <v>19113</v>
      </c>
      <c r="C3548" s="1" t="s">
        <v>19114</v>
      </c>
      <c r="D3548" s="1" t="s">
        <v>19115</v>
      </c>
      <c r="E3548" s="1" t="s">
        <v>19116</v>
      </c>
      <c r="F3548" s="1" t="s">
        <v>19117</v>
      </c>
      <c r="G3548" s="1" t="s">
        <v>19118</v>
      </c>
      <c r="H3548" s="1" t="s">
        <v>19119</v>
      </c>
    </row>
    <row r="3549" spans="1:8" x14ac:dyDescent="0.3">
      <c r="A3549" s="2">
        <v>40814</v>
      </c>
      <c r="B3549" s="1" t="s">
        <v>19120</v>
      </c>
      <c r="C3549" s="1" t="s">
        <v>19121</v>
      </c>
      <c r="E3549" s="1" t="s">
        <v>19122</v>
      </c>
      <c r="F3549" s="1" t="s">
        <v>19123</v>
      </c>
      <c r="G3549" s="1" t="s">
        <v>19124</v>
      </c>
      <c r="H3549" s="1" t="s">
        <v>19125</v>
      </c>
    </row>
    <row r="3550" spans="1:8" x14ac:dyDescent="0.3">
      <c r="A3550" s="2">
        <v>40815</v>
      </c>
      <c r="B3550" s="1" t="s">
        <v>19126</v>
      </c>
      <c r="C3550" s="1" t="s">
        <v>19127</v>
      </c>
      <c r="E3550" s="1" t="s">
        <v>19128</v>
      </c>
      <c r="F3550" s="1" t="s">
        <v>19129</v>
      </c>
      <c r="G3550" s="1" t="s">
        <v>19129</v>
      </c>
      <c r="H3550" s="1" t="s">
        <v>19130</v>
      </c>
    </row>
    <row r="3551" spans="1:8" x14ac:dyDescent="0.3">
      <c r="A3551" s="2">
        <v>40816</v>
      </c>
      <c r="B3551" s="1" t="s">
        <v>19131</v>
      </c>
      <c r="C3551" s="1" t="s">
        <v>19132</v>
      </c>
      <c r="D3551" s="1" t="s">
        <v>19133</v>
      </c>
      <c r="E3551" s="1" t="s">
        <v>19134</v>
      </c>
      <c r="F3551" s="1" t="s">
        <v>19135</v>
      </c>
      <c r="G3551" s="1" t="s">
        <v>19136</v>
      </c>
      <c r="H3551" s="1" t="s">
        <v>19137</v>
      </c>
    </row>
    <row r="3552" spans="1:8" x14ac:dyDescent="0.3">
      <c r="A3552" s="2">
        <v>40817</v>
      </c>
      <c r="B3552" s="1" t="s">
        <v>19138</v>
      </c>
      <c r="C3552" s="1" t="s">
        <v>19139</v>
      </c>
      <c r="D3552" s="1" t="s">
        <v>19140</v>
      </c>
      <c r="E3552" s="1" t="s">
        <v>19141</v>
      </c>
      <c r="F3552" s="1" t="s">
        <v>19142</v>
      </c>
      <c r="G3552" s="1" t="s">
        <v>19143</v>
      </c>
      <c r="H3552" s="1" t="s">
        <v>19144</v>
      </c>
    </row>
    <row r="3553" spans="1:8" x14ac:dyDescent="0.3">
      <c r="A3553" s="2">
        <v>40818</v>
      </c>
      <c r="B3553" s="1" t="s">
        <v>19145</v>
      </c>
      <c r="C3553" s="1" t="s">
        <v>19146</v>
      </c>
      <c r="D3553" s="1" t="s">
        <v>19147</v>
      </c>
      <c r="E3553" s="1" t="s">
        <v>19148</v>
      </c>
      <c r="F3553" s="1" t="s">
        <v>19149</v>
      </c>
      <c r="G3553" s="1" t="s">
        <v>19150</v>
      </c>
      <c r="H3553" s="1" t="s">
        <v>19151</v>
      </c>
    </row>
    <row r="3554" spans="1:8" x14ac:dyDescent="0.3">
      <c r="A3554" s="2">
        <v>40819</v>
      </c>
      <c r="B3554" s="1" t="s">
        <v>19152</v>
      </c>
      <c r="C3554" s="1" t="s">
        <v>19153</v>
      </c>
      <c r="D3554" s="1" t="s">
        <v>19154</v>
      </c>
      <c r="E3554" s="1" t="s">
        <v>19155</v>
      </c>
      <c r="F3554" s="1" t="s">
        <v>19156</v>
      </c>
      <c r="G3554" s="1" t="s">
        <v>19156</v>
      </c>
      <c r="H3554" s="1" t="s">
        <v>19157</v>
      </c>
    </row>
    <row r="3555" spans="1:8" x14ac:dyDescent="0.3">
      <c r="A3555" s="2">
        <v>40820</v>
      </c>
      <c r="B3555" s="1" t="s">
        <v>19158</v>
      </c>
      <c r="C3555" s="1" t="s">
        <v>19159</v>
      </c>
      <c r="D3555" s="1" t="s">
        <v>19160</v>
      </c>
      <c r="E3555" s="1" t="s">
        <v>19161</v>
      </c>
      <c r="F3555" s="1" t="s">
        <v>19162</v>
      </c>
      <c r="G3555" s="1" t="s">
        <v>19163</v>
      </c>
      <c r="H3555" s="1" t="s">
        <v>19164</v>
      </c>
    </row>
    <row r="3556" spans="1:8" x14ac:dyDescent="0.3">
      <c r="A3556" s="2">
        <v>40821</v>
      </c>
      <c r="B3556" s="1" t="s">
        <v>19165</v>
      </c>
      <c r="C3556" s="1" t="s">
        <v>19166</v>
      </c>
      <c r="D3556" s="1" t="s">
        <v>19167</v>
      </c>
      <c r="E3556" s="1" t="s">
        <v>19168</v>
      </c>
      <c r="F3556" s="1" t="s">
        <v>19169</v>
      </c>
      <c r="G3556" s="1" t="s">
        <v>19170</v>
      </c>
      <c r="H3556" s="1" t="s">
        <v>19171</v>
      </c>
    </row>
    <row r="3557" spans="1:8" x14ac:dyDescent="0.3">
      <c r="A3557" s="2">
        <v>40822</v>
      </c>
      <c r="B3557" s="1" t="s">
        <v>19172</v>
      </c>
      <c r="C3557" s="1" t="s">
        <v>19173</v>
      </c>
      <c r="D3557" s="1" t="s">
        <v>19174</v>
      </c>
      <c r="E3557" s="1" t="s">
        <v>19175</v>
      </c>
      <c r="F3557" s="1" t="s">
        <v>19176</v>
      </c>
      <c r="G3557" s="1" t="s">
        <v>19177</v>
      </c>
      <c r="H3557" s="1" t="s">
        <v>19178</v>
      </c>
    </row>
    <row r="3558" spans="1:8" x14ac:dyDescent="0.3">
      <c r="A3558" s="2">
        <v>40823</v>
      </c>
      <c r="B3558" s="1" t="s">
        <v>19179</v>
      </c>
      <c r="C3558" s="1" t="s">
        <v>19180</v>
      </c>
      <c r="D3558" s="1" t="s">
        <v>19181</v>
      </c>
      <c r="E3558" s="1" t="s">
        <v>19182</v>
      </c>
      <c r="F3558" s="1" t="s">
        <v>19183</v>
      </c>
      <c r="G3558" s="1" t="s">
        <v>19184</v>
      </c>
      <c r="H3558" s="1" t="s">
        <v>19185</v>
      </c>
    </row>
    <row r="3559" spans="1:8" x14ac:dyDescent="0.3">
      <c r="A3559" s="2">
        <v>40824</v>
      </c>
      <c r="B3559" s="1" t="s">
        <v>19186</v>
      </c>
      <c r="C3559" s="1" t="s">
        <v>19187</v>
      </c>
      <c r="D3559" s="1" t="s">
        <v>19188</v>
      </c>
      <c r="E3559" s="1" t="s">
        <v>19189</v>
      </c>
      <c r="F3559" s="1" t="s">
        <v>19190</v>
      </c>
      <c r="G3559" s="1" t="s">
        <v>19191</v>
      </c>
      <c r="H3559" s="1" t="s">
        <v>19192</v>
      </c>
    </row>
    <row r="3560" spans="1:8" x14ac:dyDescent="0.3">
      <c r="A3560" s="2">
        <v>40825</v>
      </c>
      <c r="B3560" s="1" t="s">
        <v>19193</v>
      </c>
      <c r="C3560" s="1" t="s">
        <v>19194</v>
      </c>
      <c r="D3560" s="1" t="s">
        <v>19195</v>
      </c>
      <c r="E3560" s="1" t="s">
        <v>19196</v>
      </c>
      <c r="F3560" s="1" t="s">
        <v>19197</v>
      </c>
      <c r="G3560" s="1" t="s">
        <v>19198</v>
      </c>
      <c r="H3560" s="1" t="s">
        <v>19199</v>
      </c>
    </row>
    <row r="3561" spans="1:8" x14ac:dyDescent="0.3">
      <c r="A3561" s="2">
        <v>40826</v>
      </c>
      <c r="B3561" s="1" t="s">
        <v>19200</v>
      </c>
      <c r="C3561" s="1" t="s">
        <v>19201</v>
      </c>
      <c r="D3561" s="1" t="s">
        <v>19202</v>
      </c>
      <c r="E3561" s="1" t="s">
        <v>19203</v>
      </c>
      <c r="F3561" s="1" t="s">
        <v>19204</v>
      </c>
      <c r="G3561" s="1" t="s">
        <v>19205</v>
      </c>
      <c r="H3561" s="1" t="s">
        <v>19206</v>
      </c>
    </row>
    <row r="3562" spans="1:8" x14ac:dyDescent="0.3">
      <c r="A3562" s="2">
        <v>40827</v>
      </c>
      <c r="B3562" s="1" t="s">
        <v>19207</v>
      </c>
      <c r="C3562" s="1" t="s">
        <v>19208</v>
      </c>
      <c r="D3562" s="1" t="s">
        <v>19209</v>
      </c>
      <c r="E3562" s="1" t="s">
        <v>19210</v>
      </c>
      <c r="F3562" s="1" t="s">
        <v>19211</v>
      </c>
      <c r="G3562" s="1" t="s">
        <v>19212</v>
      </c>
      <c r="H3562" s="1" t="s">
        <v>19213</v>
      </c>
    </row>
    <row r="3563" spans="1:8" x14ac:dyDescent="0.3">
      <c r="A3563" s="2">
        <v>40828</v>
      </c>
      <c r="B3563" s="1" t="s">
        <v>19214</v>
      </c>
      <c r="C3563" s="1" t="s">
        <v>19215</v>
      </c>
      <c r="D3563" s="1" t="s">
        <v>19216</v>
      </c>
      <c r="E3563" s="1" t="s">
        <v>19217</v>
      </c>
      <c r="F3563" s="1" t="s">
        <v>19218</v>
      </c>
      <c r="G3563" s="1" t="s">
        <v>19219</v>
      </c>
      <c r="H3563" s="1" t="s">
        <v>19220</v>
      </c>
    </row>
    <row r="3564" spans="1:8" x14ac:dyDescent="0.3">
      <c r="A3564" s="2">
        <v>40829</v>
      </c>
      <c r="B3564" s="1" t="s">
        <v>19221</v>
      </c>
      <c r="C3564" s="1" t="s">
        <v>19222</v>
      </c>
      <c r="D3564" s="1" t="s">
        <v>19223</v>
      </c>
      <c r="E3564" s="1" t="s">
        <v>19224</v>
      </c>
      <c r="F3564" s="1" t="s">
        <v>19225</v>
      </c>
      <c r="G3564" s="1" t="s">
        <v>19226</v>
      </c>
      <c r="H3564" s="1" t="s">
        <v>19227</v>
      </c>
    </row>
    <row r="3565" spans="1:8" x14ac:dyDescent="0.3">
      <c r="A3565" s="2">
        <v>40830</v>
      </c>
      <c r="B3565" s="1" t="s">
        <v>19228</v>
      </c>
      <c r="C3565" s="1" t="s">
        <v>19229</v>
      </c>
      <c r="D3565" s="1" t="s">
        <v>19230</v>
      </c>
      <c r="E3565" s="1" t="s">
        <v>19231</v>
      </c>
      <c r="F3565" s="1" t="s">
        <v>19232</v>
      </c>
      <c r="G3565" s="1" t="s">
        <v>19231</v>
      </c>
      <c r="H3565" s="1" t="s">
        <v>19233</v>
      </c>
    </row>
    <row r="3566" spans="1:8" x14ac:dyDescent="0.3">
      <c r="A3566" s="2">
        <v>40831</v>
      </c>
      <c r="B3566" s="1" t="s">
        <v>19234</v>
      </c>
      <c r="C3566" s="1" t="s">
        <v>19235</v>
      </c>
      <c r="D3566" s="1" t="s">
        <v>19236</v>
      </c>
      <c r="E3566" s="1" t="s">
        <v>19237</v>
      </c>
      <c r="F3566" s="1" t="s">
        <v>19238</v>
      </c>
      <c r="G3566" s="1" t="s">
        <v>19239</v>
      </c>
      <c r="H3566" s="1" t="s">
        <v>19239</v>
      </c>
    </row>
    <row r="3567" spans="1:8" x14ac:dyDescent="0.3">
      <c r="A3567" s="2">
        <v>40832</v>
      </c>
      <c r="B3567" s="1" t="s">
        <v>19240</v>
      </c>
      <c r="C3567" s="1" t="s">
        <v>19241</v>
      </c>
      <c r="D3567" s="1" t="s">
        <v>19242</v>
      </c>
      <c r="E3567" s="1" t="s">
        <v>19243</v>
      </c>
      <c r="F3567" s="1" t="s">
        <v>19244</v>
      </c>
      <c r="G3567" s="1" t="s">
        <v>19245</v>
      </c>
      <c r="H3567" s="1" t="s">
        <v>19246</v>
      </c>
    </row>
    <row r="3568" spans="1:8" x14ac:dyDescent="0.3">
      <c r="A3568" s="2">
        <v>40833</v>
      </c>
      <c r="B3568" s="1" t="s">
        <v>19247</v>
      </c>
      <c r="C3568" s="1" t="s">
        <v>19248</v>
      </c>
      <c r="D3568" s="1" t="s">
        <v>19249</v>
      </c>
      <c r="E3568" s="1" t="s">
        <v>19250</v>
      </c>
      <c r="F3568" s="1" t="s">
        <v>19251</v>
      </c>
      <c r="G3568" s="1" t="s">
        <v>19252</v>
      </c>
      <c r="H3568" s="1" t="s">
        <v>19253</v>
      </c>
    </row>
    <row r="3569" spans="1:8" x14ac:dyDescent="0.3">
      <c r="A3569" s="2">
        <v>40834</v>
      </c>
      <c r="B3569" s="1" t="s">
        <v>19254</v>
      </c>
      <c r="C3569" s="1" t="s">
        <v>19255</v>
      </c>
      <c r="D3569" s="1" t="s">
        <v>19256</v>
      </c>
      <c r="E3569" s="1" t="s">
        <v>19257</v>
      </c>
      <c r="F3569" s="1" t="s">
        <v>19258</v>
      </c>
      <c r="G3569" s="1" t="s">
        <v>19259</v>
      </c>
      <c r="H3569" s="1" t="s">
        <v>19260</v>
      </c>
    </row>
    <row r="3570" spans="1:8" x14ac:dyDescent="0.3">
      <c r="A3570" s="2">
        <v>40901</v>
      </c>
      <c r="B3570" s="1" t="s">
        <v>19261</v>
      </c>
      <c r="C3570" s="1" t="s">
        <v>19262</v>
      </c>
      <c r="D3570" s="1" t="s">
        <v>19263</v>
      </c>
      <c r="E3570" s="1" t="s">
        <v>19264</v>
      </c>
      <c r="F3570" s="1" t="s">
        <v>19265</v>
      </c>
      <c r="G3570" s="1" t="s">
        <v>19266</v>
      </c>
      <c r="H3570" s="1" t="s">
        <v>19267</v>
      </c>
    </row>
    <row r="3571" spans="1:8" x14ac:dyDescent="0.3">
      <c r="A3571" s="2">
        <v>40902</v>
      </c>
      <c r="B3571" s="1" t="s">
        <v>19268</v>
      </c>
      <c r="C3571" s="1" t="s">
        <v>19269</v>
      </c>
      <c r="D3571" s="1" t="s">
        <v>19270</v>
      </c>
      <c r="E3571" s="1" t="s">
        <v>19271</v>
      </c>
      <c r="F3571" s="1" t="s">
        <v>19272</v>
      </c>
      <c r="G3571" s="1" t="s">
        <v>19273</v>
      </c>
      <c r="H3571" s="1" t="s">
        <v>19274</v>
      </c>
    </row>
    <row r="3572" spans="1:8" x14ac:dyDescent="0.3">
      <c r="A3572" s="2">
        <v>40903</v>
      </c>
      <c r="B3572" s="1" t="s">
        <v>19275</v>
      </c>
      <c r="C3572" s="1" t="s">
        <v>19276</v>
      </c>
      <c r="D3572" s="1" t="s">
        <v>19277</v>
      </c>
      <c r="E3572" s="1" t="s">
        <v>19278</v>
      </c>
      <c r="F3572" s="1" t="s">
        <v>19279</v>
      </c>
      <c r="G3572" s="1" t="s">
        <v>19280</v>
      </c>
      <c r="H3572" s="1" t="s">
        <v>19281</v>
      </c>
    </row>
    <row r="3573" spans="1:8" x14ac:dyDescent="0.3">
      <c r="A3573" s="2">
        <v>40904</v>
      </c>
      <c r="B3573" s="1" t="s">
        <v>19282</v>
      </c>
      <c r="C3573" s="1" t="s">
        <v>19283</v>
      </c>
      <c r="D3573" s="1" t="s">
        <v>19284</v>
      </c>
      <c r="E3573" s="1" t="s">
        <v>19285</v>
      </c>
      <c r="F3573" s="1" t="s">
        <v>19286</v>
      </c>
      <c r="G3573" s="1" t="s">
        <v>19287</v>
      </c>
      <c r="H3573" s="1" t="s">
        <v>19288</v>
      </c>
    </row>
    <row r="3574" spans="1:8" x14ac:dyDescent="0.3">
      <c r="A3574" s="2">
        <v>40905</v>
      </c>
      <c r="B3574" s="1" t="s">
        <v>19289</v>
      </c>
      <c r="C3574" s="1" t="s">
        <v>19290</v>
      </c>
      <c r="D3574" s="1" t="s">
        <v>19291</v>
      </c>
      <c r="E3574" s="1" t="s">
        <v>19292</v>
      </c>
      <c r="F3574" s="1" t="s">
        <v>19293</v>
      </c>
      <c r="G3574" s="1" t="s">
        <v>19294</v>
      </c>
      <c r="H3574" s="1" t="s">
        <v>19295</v>
      </c>
    </row>
    <row r="3575" spans="1:8" x14ac:dyDescent="0.3">
      <c r="A3575" s="2">
        <v>40906</v>
      </c>
      <c r="B3575" s="1" t="e">
        <f ca="1">-나/는가 보다(오려나 보다)</f>
        <v>#NAME?</v>
      </c>
      <c r="C3575" s="1" t="s">
        <v>19296</v>
      </c>
      <c r="E3575" s="1" t="s">
        <v>19297</v>
      </c>
      <c r="F3575" s="1" t="s">
        <v>19298</v>
      </c>
      <c r="G3575" s="1" t="s">
        <v>19299</v>
      </c>
      <c r="H3575" s="1" t="s">
        <v>19300</v>
      </c>
    </row>
    <row r="3576" spans="1:8" x14ac:dyDescent="0.3">
      <c r="A3576" s="2">
        <v>40907</v>
      </c>
      <c r="B3576" s="1" t="e">
        <f ca="1">-나/는가 보다(자나 보다)</f>
        <v>#NAME?</v>
      </c>
      <c r="C3576" s="1" t="s">
        <v>19301</v>
      </c>
      <c r="D3576" s="1" t="s">
        <v>19302</v>
      </c>
      <c r="F3576" s="1" t="s">
        <v>19303</v>
      </c>
      <c r="G3576" s="1" t="s">
        <v>19304</v>
      </c>
      <c r="H3576" s="1" t="s">
        <v>19305</v>
      </c>
    </row>
    <row r="3577" spans="1:8" x14ac:dyDescent="0.3">
      <c r="A3577" s="2">
        <v>40908</v>
      </c>
      <c r="B3577" s="1" t="e">
        <f ca="1">-나/는가 보다(추운가 보다)</f>
        <v>#NAME?</v>
      </c>
      <c r="C3577" s="1" t="s">
        <v>19306</v>
      </c>
      <c r="D3577" s="1" t="s">
        <v>19307</v>
      </c>
      <c r="E3577" s="1" t="s">
        <v>19308</v>
      </c>
      <c r="F3577" s="1" t="s">
        <v>19309</v>
      </c>
      <c r="G3577" s="1" t="s">
        <v>19310</v>
      </c>
      <c r="H3577" s="1" t="s">
        <v>19311</v>
      </c>
    </row>
    <row r="3578" spans="1:8" x14ac:dyDescent="0.3">
      <c r="A3578" s="2">
        <v>41001</v>
      </c>
      <c r="B3578" s="1" t="s">
        <v>19312</v>
      </c>
      <c r="C3578" s="1" t="s">
        <v>19313</v>
      </c>
      <c r="D3578" s="1" t="s">
        <v>19314</v>
      </c>
      <c r="E3578" s="1" t="s">
        <v>19315</v>
      </c>
      <c r="F3578" s="1" t="s">
        <v>19316</v>
      </c>
      <c r="G3578" s="1" t="s">
        <v>19317</v>
      </c>
      <c r="H3578" s="1" t="s">
        <v>19318</v>
      </c>
    </row>
    <row r="3579" spans="1:8" x14ac:dyDescent="0.3">
      <c r="A3579" s="2">
        <v>41002</v>
      </c>
      <c r="B3579" s="1" t="s">
        <v>19319</v>
      </c>
      <c r="C3579" s="1" t="s">
        <v>19320</v>
      </c>
      <c r="D3579" s="1" t="s">
        <v>19321</v>
      </c>
      <c r="E3579" s="1" t="s">
        <v>19322</v>
      </c>
      <c r="F3579" s="1" t="s">
        <v>19323</v>
      </c>
      <c r="G3579" s="1" t="s">
        <v>19324</v>
      </c>
      <c r="H3579" s="1" t="s">
        <v>19325</v>
      </c>
    </row>
    <row r="3580" spans="1:8" x14ac:dyDescent="0.3">
      <c r="A3580" s="2">
        <v>41003</v>
      </c>
      <c r="B3580" s="1" t="s">
        <v>19326</v>
      </c>
      <c r="C3580" s="1" t="s">
        <v>19327</v>
      </c>
      <c r="D3580" s="1" t="s">
        <v>19328</v>
      </c>
      <c r="E3580" s="1" t="s">
        <v>19329</v>
      </c>
      <c r="F3580" s="1" t="s">
        <v>19330</v>
      </c>
      <c r="G3580" s="1" t="s">
        <v>19331</v>
      </c>
      <c r="H3580" s="1" t="s">
        <v>19332</v>
      </c>
    </row>
    <row r="3581" spans="1:8" x14ac:dyDescent="0.3">
      <c r="A3581" s="2">
        <v>41004</v>
      </c>
      <c r="B3581" s="1" t="s">
        <v>19333</v>
      </c>
      <c r="C3581" s="1" t="s">
        <v>19334</v>
      </c>
      <c r="D3581" s="1" t="s">
        <v>19335</v>
      </c>
      <c r="E3581" s="1" t="s">
        <v>19336</v>
      </c>
      <c r="F3581" s="1" t="s">
        <v>19337</v>
      </c>
      <c r="G3581" s="1" t="s">
        <v>19338</v>
      </c>
      <c r="H3581" s="1" t="s">
        <v>19339</v>
      </c>
    </row>
    <row r="3582" spans="1:8" x14ac:dyDescent="0.3">
      <c r="A3582" s="2">
        <v>41005</v>
      </c>
      <c r="B3582" s="1" t="s">
        <v>19340</v>
      </c>
      <c r="C3582" s="1" t="s">
        <v>19341</v>
      </c>
      <c r="D3582" s="1" t="s">
        <v>19342</v>
      </c>
      <c r="E3582" s="1" t="s">
        <v>19343</v>
      </c>
      <c r="F3582" s="1" t="s">
        <v>19344</v>
      </c>
      <c r="G3582" s="1" t="s">
        <v>19344</v>
      </c>
      <c r="H3582" s="1" t="s">
        <v>19345</v>
      </c>
    </row>
    <row r="3583" spans="1:8" x14ac:dyDescent="0.3">
      <c r="A3583" s="2">
        <v>41006</v>
      </c>
      <c r="B3583" s="1" t="s">
        <v>19346</v>
      </c>
      <c r="C3583" s="1" t="s">
        <v>19347</v>
      </c>
      <c r="D3583" s="1" t="s">
        <v>19348</v>
      </c>
      <c r="E3583" s="1" t="s">
        <v>19349</v>
      </c>
      <c r="F3583" s="1" t="s">
        <v>19350</v>
      </c>
      <c r="G3583" s="1" t="s">
        <v>19351</v>
      </c>
      <c r="H3583" s="1" t="s">
        <v>19352</v>
      </c>
    </row>
    <row r="3584" spans="1:8" x14ac:dyDescent="0.3">
      <c r="A3584" s="2">
        <v>41007</v>
      </c>
      <c r="B3584" s="1" t="s">
        <v>19353</v>
      </c>
      <c r="C3584" s="1" t="s">
        <v>19354</v>
      </c>
      <c r="D3584" s="1" t="s">
        <v>19355</v>
      </c>
      <c r="E3584" s="1" t="s">
        <v>19356</v>
      </c>
      <c r="F3584" s="1" t="s">
        <v>19357</v>
      </c>
      <c r="G3584" s="1" t="s">
        <v>19358</v>
      </c>
      <c r="H3584" s="1" t="s">
        <v>19359</v>
      </c>
    </row>
    <row r="3585" spans="1:8" x14ac:dyDescent="0.3">
      <c r="A3585" s="2">
        <v>41008</v>
      </c>
      <c r="B3585" s="1" t="s">
        <v>19360</v>
      </c>
      <c r="C3585" s="1" t="s">
        <v>19361</v>
      </c>
      <c r="D3585" s="1" t="s">
        <v>19362</v>
      </c>
      <c r="E3585" s="1" t="s">
        <v>19363</v>
      </c>
      <c r="F3585" s="1" t="s">
        <v>19364</v>
      </c>
      <c r="G3585" s="1" t="s">
        <v>19364</v>
      </c>
      <c r="H3585" s="1" t="s">
        <v>19365</v>
      </c>
    </row>
    <row r="3586" spans="1:8" x14ac:dyDescent="0.3">
      <c r="A3586" s="2">
        <v>41009</v>
      </c>
      <c r="B3586" s="1" t="s">
        <v>19366</v>
      </c>
      <c r="C3586" s="1" t="s">
        <v>19367</v>
      </c>
      <c r="D3586" s="1" t="s">
        <v>19368</v>
      </c>
      <c r="E3586" s="1" t="s">
        <v>19369</v>
      </c>
      <c r="F3586" s="1" t="s">
        <v>19370</v>
      </c>
      <c r="G3586" s="1" t="s">
        <v>19371</v>
      </c>
      <c r="H3586" s="1" t="s">
        <v>19371</v>
      </c>
    </row>
    <row r="3587" spans="1:8" x14ac:dyDescent="0.3">
      <c r="A3587" s="2">
        <v>41010</v>
      </c>
      <c r="B3587" s="1" t="s">
        <v>19372</v>
      </c>
      <c r="C3587" s="1" t="s">
        <v>19373</v>
      </c>
      <c r="D3587" s="1" t="s">
        <v>19374</v>
      </c>
      <c r="E3587" s="1" t="s">
        <v>19375</v>
      </c>
      <c r="F3587" s="1" t="s">
        <v>19376</v>
      </c>
      <c r="G3587" s="1" t="s">
        <v>19377</v>
      </c>
      <c r="H3587" s="1" t="s">
        <v>19378</v>
      </c>
    </row>
    <row r="3588" spans="1:8" x14ac:dyDescent="0.3">
      <c r="A3588" s="2">
        <v>41011</v>
      </c>
      <c r="B3588" s="1" t="s">
        <v>19379</v>
      </c>
      <c r="C3588" s="1" t="s">
        <v>19380</v>
      </c>
      <c r="D3588" s="1" t="s">
        <v>19381</v>
      </c>
      <c r="E3588" s="1" t="s">
        <v>19382</v>
      </c>
      <c r="F3588" s="1" t="s">
        <v>19383</v>
      </c>
      <c r="G3588" s="1" t="s">
        <v>19384</v>
      </c>
      <c r="H3588" s="1" t="s">
        <v>19385</v>
      </c>
    </row>
    <row r="3589" spans="1:8" x14ac:dyDescent="0.3">
      <c r="A3589" s="2">
        <v>41012</v>
      </c>
      <c r="B3589" s="1" t="s">
        <v>19386</v>
      </c>
      <c r="C3589" s="1" t="s">
        <v>19387</v>
      </c>
      <c r="D3589" s="1" t="s">
        <v>19388</v>
      </c>
      <c r="E3589" s="1" t="s">
        <v>19389</v>
      </c>
      <c r="F3589" s="1" t="s">
        <v>19390</v>
      </c>
      <c r="G3589" s="1" t="s">
        <v>19391</v>
      </c>
      <c r="H3589" s="1" t="s">
        <v>19392</v>
      </c>
    </row>
    <row r="3590" spans="1:8" x14ac:dyDescent="0.3">
      <c r="A3590" s="2">
        <v>41013</v>
      </c>
      <c r="B3590" s="1" t="s">
        <v>19393</v>
      </c>
      <c r="C3590" s="1" t="s">
        <v>19394</v>
      </c>
      <c r="D3590" s="1" t="s">
        <v>19395</v>
      </c>
      <c r="E3590" s="1" t="s">
        <v>19396</v>
      </c>
      <c r="F3590" s="1" t="s">
        <v>19397</v>
      </c>
      <c r="G3590" s="1" t="s">
        <v>19398</v>
      </c>
      <c r="H3590" s="1" t="s">
        <v>19399</v>
      </c>
    </row>
    <row r="3591" spans="1:8" x14ac:dyDescent="0.3">
      <c r="A3591" s="2">
        <v>41014</v>
      </c>
      <c r="B3591" s="1" t="s">
        <v>19400</v>
      </c>
      <c r="C3591" s="1" t="s">
        <v>19401</v>
      </c>
      <c r="D3591" s="1" t="s">
        <v>19402</v>
      </c>
      <c r="E3591" s="1" t="s">
        <v>19403</v>
      </c>
      <c r="F3591" s="1" t="s">
        <v>19404</v>
      </c>
      <c r="G3591" s="1" t="s">
        <v>19405</v>
      </c>
      <c r="H3591" s="1" t="s">
        <v>19406</v>
      </c>
    </row>
    <row r="3592" spans="1:8" x14ac:dyDescent="0.3">
      <c r="A3592" s="2">
        <v>41015</v>
      </c>
      <c r="B3592" s="1" t="s">
        <v>19407</v>
      </c>
      <c r="C3592" s="1" t="s">
        <v>19408</v>
      </c>
      <c r="D3592" s="1" t="s">
        <v>19409</v>
      </c>
      <c r="E3592" s="1" t="s">
        <v>19410</v>
      </c>
      <c r="F3592" s="1" t="s">
        <v>19411</v>
      </c>
      <c r="G3592" s="1" t="s">
        <v>19412</v>
      </c>
      <c r="H3592" s="1" t="s">
        <v>19413</v>
      </c>
    </row>
    <row r="3593" spans="1:8" x14ac:dyDescent="0.3">
      <c r="A3593" s="2">
        <v>41016</v>
      </c>
      <c r="B3593" s="1" t="s">
        <v>19414</v>
      </c>
      <c r="C3593" s="1" t="s">
        <v>19415</v>
      </c>
      <c r="E3593" s="1" t="s">
        <v>19416</v>
      </c>
      <c r="F3593" s="1" t="s">
        <v>19417</v>
      </c>
      <c r="G3593" s="1" t="s">
        <v>19416</v>
      </c>
      <c r="H3593" s="1" t="s">
        <v>19418</v>
      </c>
    </row>
    <row r="3594" spans="1:8" x14ac:dyDescent="0.3">
      <c r="A3594" s="2">
        <v>41017</v>
      </c>
      <c r="B3594" s="1" t="s">
        <v>19419</v>
      </c>
      <c r="C3594" s="1" t="s">
        <v>19420</v>
      </c>
      <c r="D3594" s="1" t="s">
        <v>19421</v>
      </c>
      <c r="E3594" s="1" t="s">
        <v>19422</v>
      </c>
      <c r="F3594" s="1" t="s">
        <v>19423</v>
      </c>
      <c r="G3594" s="1" t="s">
        <v>19424</v>
      </c>
      <c r="H3594" s="1" t="s">
        <v>19425</v>
      </c>
    </row>
    <row r="3595" spans="1:8" x14ac:dyDescent="0.3">
      <c r="A3595" s="2">
        <v>41018</v>
      </c>
      <c r="B3595" s="1" t="s">
        <v>19426</v>
      </c>
      <c r="C3595" s="1" t="s">
        <v>19427</v>
      </c>
      <c r="D3595" s="1" t="s">
        <v>19428</v>
      </c>
      <c r="E3595" s="1" t="s">
        <v>19429</v>
      </c>
      <c r="F3595" s="1" t="s">
        <v>19430</v>
      </c>
      <c r="G3595" s="1" t="s">
        <v>19431</v>
      </c>
      <c r="H3595" s="1" t="s">
        <v>19431</v>
      </c>
    </row>
    <row r="3596" spans="1:8" x14ac:dyDescent="0.3">
      <c r="A3596" s="2">
        <v>41019</v>
      </c>
      <c r="B3596" s="1" t="s">
        <v>19432</v>
      </c>
      <c r="C3596" s="1" t="s">
        <v>19433</v>
      </c>
      <c r="E3596" s="1" t="s">
        <v>19434</v>
      </c>
      <c r="F3596" s="1" t="s">
        <v>19435</v>
      </c>
      <c r="G3596" s="1" t="s">
        <v>19436</v>
      </c>
      <c r="H3596" s="1" t="s">
        <v>19437</v>
      </c>
    </row>
    <row r="3597" spans="1:8" x14ac:dyDescent="0.3">
      <c r="A3597" s="2">
        <v>41020</v>
      </c>
      <c r="B3597" s="1" t="s">
        <v>19438</v>
      </c>
      <c r="C3597" s="1" t="s">
        <v>19439</v>
      </c>
      <c r="D3597" s="1" t="s">
        <v>19440</v>
      </c>
      <c r="E3597" s="1" t="s">
        <v>19441</v>
      </c>
      <c r="F3597" s="1" t="s">
        <v>19442</v>
      </c>
      <c r="G3597" s="1" t="s">
        <v>19443</v>
      </c>
      <c r="H3597" s="1" t="s">
        <v>19444</v>
      </c>
    </row>
    <row r="3598" spans="1:8" x14ac:dyDescent="0.3">
      <c r="A3598" s="2">
        <v>41021</v>
      </c>
      <c r="B3598" s="1" t="s">
        <v>19445</v>
      </c>
      <c r="C3598" s="1" t="s">
        <v>19446</v>
      </c>
      <c r="D3598" s="1" t="s">
        <v>19447</v>
      </c>
      <c r="E3598" s="1" t="s">
        <v>19448</v>
      </c>
      <c r="F3598" s="1" t="s">
        <v>19448</v>
      </c>
      <c r="G3598" s="1" t="s">
        <v>19449</v>
      </c>
      <c r="H3598" s="1" t="s">
        <v>19448</v>
      </c>
    </row>
    <row r="3599" spans="1:8" x14ac:dyDescent="0.3">
      <c r="A3599" s="2">
        <v>41022</v>
      </c>
      <c r="B3599" s="1" t="s">
        <v>19450</v>
      </c>
      <c r="C3599" s="1" t="s">
        <v>19451</v>
      </c>
      <c r="D3599" s="1" t="s">
        <v>19452</v>
      </c>
      <c r="E3599" s="1" t="s">
        <v>19453</v>
      </c>
      <c r="F3599" s="1" t="s">
        <v>19454</v>
      </c>
      <c r="G3599" s="1" t="s">
        <v>19455</v>
      </c>
      <c r="H3599" s="1" t="s">
        <v>14821</v>
      </c>
    </row>
    <row r="3600" spans="1:8" x14ac:dyDescent="0.3">
      <c r="A3600" s="2">
        <v>41023</v>
      </c>
      <c r="B3600" s="1" t="s">
        <v>19456</v>
      </c>
      <c r="C3600" s="1" t="s">
        <v>19457</v>
      </c>
      <c r="D3600" s="1" t="s">
        <v>19458</v>
      </c>
      <c r="E3600" s="1" t="s">
        <v>19459</v>
      </c>
      <c r="F3600" s="1" t="s">
        <v>19460</v>
      </c>
      <c r="G3600" s="1" t="s">
        <v>19461</v>
      </c>
      <c r="H3600" s="1" t="s">
        <v>19462</v>
      </c>
    </row>
    <row r="3601" spans="1:8" x14ac:dyDescent="0.3">
      <c r="A3601" s="2">
        <v>41024</v>
      </c>
      <c r="B3601" s="1" t="s">
        <v>19463</v>
      </c>
      <c r="C3601" s="1" t="s">
        <v>19464</v>
      </c>
      <c r="E3601" s="1" t="s">
        <v>19465</v>
      </c>
      <c r="F3601" s="1" t="s">
        <v>19466</v>
      </c>
      <c r="G3601" s="1" t="s">
        <v>19467</v>
      </c>
      <c r="H3601" s="1" t="s">
        <v>19468</v>
      </c>
    </row>
    <row r="3602" spans="1:8" x14ac:dyDescent="0.3">
      <c r="A3602" s="2">
        <v>41025</v>
      </c>
      <c r="B3602" s="1" t="s">
        <v>19469</v>
      </c>
      <c r="C3602" s="1" t="s">
        <v>19470</v>
      </c>
      <c r="D3602" s="1" t="s">
        <v>19471</v>
      </c>
      <c r="E3602" s="1" t="s">
        <v>19472</v>
      </c>
      <c r="F3602" s="1" t="s">
        <v>19473</v>
      </c>
      <c r="G3602" s="1" t="s">
        <v>19474</v>
      </c>
      <c r="H3602" s="1" t="s">
        <v>19475</v>
      </c>
    </row>
    <row r="3603" spans="1:8" x14ac:dyDescent="0.3">
      <c r="A3603" s="2">
        <v>41026</v>
      </c>
      <c r="B3603" s="1" t="s">
        <v>19476</v>
      </c>
      <c r="C3603" s="1" t="s">
        <v>19477</v>
      </c>
      <c r="D3603" s="1" t="s">
        <v>19478</v>
      </c>
      <c r="E3603" s="1" t="s">
        <v>19479</v>
      </c>
      <c r="F3603" s="1" t="s">
        <v>19480</v>
      </c>
      <c r="G3603" s="1" t="s">
        <v>19481</v>
      </c>
      <c r="H3603" s="1" t="s">
        <v>19482</v>
      </c>
    </row>
    <row r="3604" spans="1:8" x14ac:dyDescent="0.3">
      <c r="A3604" s="2">
        <v>41027</v>
      </c>
      <c r="B3604" s="1" t="s">
        <v>19483</v>
      </c>
      <c r="C3604" s="1" t="s">
        <v>19484</v>
      </c>
      <c r="D3604" s="1" t="s">
        <v>19485</v>
      </c>
      <c r="E3604" s="1" t="s">
        <v>19486</v>
      </c>
      <c r="F3604" s="1" t="s">
        <v>19487</v>
      </c>
      <c r="G3604" s="1" t="s">
        <v>19488</v>
      </c>
      <c r="H3604" s="1" t="s">
        <v>19489</v>
      </c>
    </row>
    <row r="3605" spans="1:8" x14ac:dyDescent="0.3">
      <c r="A3605" s="2">
        <v>41028</v>
      </c>
      <c r="B3605" s="1" t="s">
        <v>19490</v>
      </c>
      <c r="C3605" s="1" t="s">
        <v>19491</v>
      </c>
      <c r="E3605" s="1" t="s">
        <v>19492</v>
      </c>
      <c r="F3605" s="1" t="s">
        <v>19493</v>
      </c>
      <c r="G3605" s="1" t="s">
        <v>19494</v>
      </c>
      <c r="H3605" s="1" t="s">
        <v>19495</v>
      </c>
    </row>
    <row r="3606" spans="1:8" x14ac:dyDescent="0.3">
      <c r="A3606" s="2">
        <v>41029</v>
      </c>
      <c r="B3606" s="1" t="s">
        <v>19496</v>
      </c>
      <c r="C3606" s="1" t="s">
        <v>19497</v>
      </c>
      <c r="D3606" s="1" t="s">
        <v>19498</v>
      </c>
      <c r="F3606" s="1" t="s">
        <v>19499</v>
      </c>
      <c r="G3606" s="1" t="s">
        <v>19500</v>
      </c>
      <c r="H3606" s="1" t="s">
        <v>19501</v>
      </c>
    </row>
    <row r="3607" spans="1:8" x14ac:dyDescent="0.3">
      <c r="A3607" s="2">
        <v>41030</v>
      </c>
      <c r="B3607" s="1" t="s">
        <v>19502</v>
      </c>
      <c r="C3607" s="1" t="s">
        <v>19503</v>
      </c>
      <c r="D3607" s="1" t="s">
        <v>19504</v>
      </c>
      <c r="E3607" s="1" t="s">
        <v>19505</v>
      </c>
      <c r="F3607" s="1" t="s">
        <v>19506</v>
      </c>
      <c r="G3607" s="1" t="s">
        <v>19507</v>
      </c>
      <c r="H3607" s="1" t="s">
        <v>19508</v>
      </c>
    </row>
    <row r="3608" spans="1:8" x14ac:dyDescent="0.3">
      <c r="A3608" s="2">
        <v>41031</v>
      </c>
      <c r="B3608" s="1" t="s">
        <v>19509</v>
      </c>
      <c r="C3608" s="1" t="s">
        <v>19510</v>
      </c>
      <c r="E3608" s="1" t="s">
        <v>19511</v>
      </c>
      <c r="F3608" s="1" t="s">
        <v>57</v>
      </c>
      <c r="G3608" s="1" t="s">
        <v>19512</v>
      </c>
      <c r="H3608" s="1" t="s">
        <v>19513</v>
      </c>
    </row>
    <row r="3609" spans="1:8" x14ac:dyDescent="0.3">
      <c r="A3609" s="2">
        <v>41032</v>
      </c>
      <c r="B3609" s="1" t="s">
        <v>19514</v>
      </c>
      <c r="C3609" s="1" t="s">
        <v>19515</v>
      </c>
      <c r="E3609" s="1" t="s">
        <v>19516</v>
      </c>
      <c r="F3609" s="1" t="s">
        <v>19517</v>
      </c>
      <c r="G3609" s="1" t="s">
        <v>19518</v>
      </c>
      <c r="H3609" s="1" t="s">
        <v>19517</v>
      </c>
    </row>
    <row r="3610" spans="1:8" x14ac:dyDescent="0.3">
      <c r="A3610" s="2">
        <v>41033</v>
      </c>
      <c r="B3610" s="1" t="s">
        <v>19519</v>
      </c>
      <c r="C3610" s="1" t="s">
        <v>19520</v>
      </c>
      <c r="D3610" s="1" t="s">
        <v>19521</v>
      </c>
      <c r="E3610" s="1" t="s">
        <v>19522</v>
      </c>
      <c r="F3610" s="1" t="s">
        <v>19523</v>
      </c>
      <c r="G3610" s="1" t="s">
        <v>19524</v>
      </c>
      <c r="H3610" s="1" t="s">
        <v>19525</v>
      </c>
    </row>
    <row r="3611" spans="1:8" x14ac:dyDescent="0.3">
      <c r="A3611" s="2">
        <v>41034</v>
      </c>
      <c r="B3611" s="1" t="s">
        <v>19526</v>
      </c>
      <c r="C3611" s="1" t="s">
        <v>19527</v>
      </c>
      <c r="D3611" s="1" t="s">
        <v>19528</v>
      </c>
      <c r="E3611" s="1" t="s">
        <v>19529</v>
      </c>
      <c r="F3611" s="1" t="s">
        <v>19530</v>
      </c>
      <c r="G3611" s="1" t="s">
        <v>19531</v>
      </c>
      <c r="H3611" s="1" t="s">
        <v>19532</v>
      </c>
    </row>
    <row r="3612" spans="1:8" x14ac:dyDescent="0.3">
      <c r="A3612" s="2">
        <v>41101</v>
      </c>
      <c r="B3612" s="1" t="s">
        <v>19533</v>
      </c>
      <c r="C3612" s="1" t="s">
        <v>19534</v>
      </c>
      <c r="D3612" s="1" t="s">
        <v>19535</v>
      </c>
      <c r="F3612" s="1" t="s">
        <v>19536</v>
      </c>
      <c r="G3612" s="1" t="s">
        <v>19537</v>
      </c>
      <c r="H3612" s="1" t="s">
        <v>19538</v>
      </c>
    </row>
    <row r="3613" spans="1:8" x14ac:dyDescent="0.3">
      <c r="A3613" s="2">
        <v>41102</v>
      </c>
      <c r="B3613" s="1" t="s">
        <v>19539</v>
      </c>
      <c r="C3613" s="1" t="s">
        <v>19540</v>
      </c>
      <c r="D3613" s="1" t="s">
        <v>19541</v>
      </c>
      <c r="F3613" s="1" t="s">
        <v>19542</v>
      </c>
      <c r="G3613" s="1" t="s">
        <v>19543</v>
      </c>
      <c r="H3613" s="1" t="s">
        <v>19544</v>
      </c>
    </row>
    <row r="3614" spans="1:8" x14ac:dyDescent="0.3">
      <c r="A3614" s="2">
        <v>41103</v>
      </c>
      <c r="B3614" s="1" t="s">
        <v>19545</v>
      </c>
      <c r="C3614" s="1" t="s">
        <v>19546</v>
      </c>
      <c r="D3614" s="1" t="s">
        <v>19547</v>
      </c>
      <c r="F3614" s="1" t="s">
        <v>19548</v>
      </c>
      <c r="G3614" s="1" t="s">
        <v>19549</v>
      </c>
      <c r="H3614" s="1" t="s">
        <v>19550</v>
      </c>
    </row>
    <row r="3615" spans="1:8" x14ac:dyDescent="0.3">
      <c r="A3615" s="2">
        <v>41104</v>
      </c>
      <c r="B3615" s="1" t="s">
        <v>19551</v>
      </c>
      <c r="C3615" s="1" t="s">
        <v>19552</v>
      </c>
      <c r="D3615" s="1" t="s">
        <v>19553</v>
      </c>
      <c r="F3615" s="1" t="s">
        <v>19554</v>
      </c>
      <c r="G3615" s="1" t="s">
        <v>19555</v>
      </c>
      <c r="H3615" s="1" t="s">
        <v>19556</v>
      </c>
    </row>
    <row r="3616" spans="1:8" x14ac:dyDescent="0.3">
      <c r="A3616" s="2">
        <v>41105</v>
      </c>
      <c r="B3616" s="1" t="s">
        <v>19557</v>
      </c>
      <c r="C3616" s="1" t="s">
        <v>19558</v>
      </c>
      <c r="D3616" s="1" t="s">
        <v>19559</v>
      </c>
      <c r="F3616" s="1" t="s">
        <v>19560</v>
      </c>
      <c r="G3616" s="1" t="s">
        <v>19561</v>
      </c>
      <c r="H3616" s="1" t="s">
        <v>19562</v>
      </c>
    </row>
    <row r="3617" spans="1:8" x14ac:dyDescent="0.3">
      <c r="A3617" s="2">
        <v>41106</v>
      </c>
      <c r="B3617" s="1" t="s">
        <v>19563</v>
      </c>
      <c r="C3617" s="1" t="s">
        <v>19564</v>
      </c>
      <c r="D3617" s="1" t="s">
        <v>19565</v>
      </c>
      <c r="F3617" s="1" t="s">
        <v>19566</v>
      </c>
      <c r="G3617" s="1" t="s">
        <v>19567</v>
      </c>
      <c r="H3617" s="1" t="s">
        <v>19568</v>
      </c>
    </row>
    <row r="3618" spans="1:8" x14ac:dyDescent="0.3">
      <c r="A3618" s="2">
        <v>41107</v>
      </c>
      <c r="B3618" s="1" t="s">
        <v>19569</v>
      </c>
      <c r="C3618" s="1" t="s">
        <v>19570</v>
      </c>
      <c r="D3618" s="1" t="s">
        <v>19571</v>
      </c>
      <c r="G3618" s="1" t="s">
        <v>19572</v>
      </c>
      <c r="H3618" s="1" t="s">
        <v>19573</v>
      </c>
    </row>
    <row r="3619" spans="1:8" x14ac:dyDescent="0.3">
      <c r="A3619" s="2">
        <v>41108</v>
      </c>
      <c r="B3619" s="1" t="s">
        <v>19574</v>
      </c>
      <c r="C3619" s="1" t="s">
        <v>19575</v>
      </c>
      <c r="D3619" s="1" t="s">
        <v>19576</v>
      </c>
      <c r="F3619" s="1" t="s">
        <v>19577</v>
      </c>
      <c r="G3619" s="1" t="s">
        <v>19578</v>
      </c>
      <c r="H3619" s="1" t="s">
        <v>19579</v>
      </c>
    </row>
    <row r="3620" spans="1:8" x14ac:dyDescent="0.3">
      <c r="A3620" s="2">
        <v>41109</v>
      </c>
      <c r="B3620" s="1" t="s">
        <v>19580</v>
      </c>
      <c r="C3620" s="1" t="s">
        <v>19581</v>
      </c>
      <c r="D3620" s="1" t="s">
        <v>19582</v>
      </c>
      <c r="F3620" s="1" t="s">
        <v>19583</v>
      </c>
      <c r="G3620" s="1" t="s">
        <v>19584</v>
      </c>
      <c r="H3620" s="1" t="s">
        <v>19585</v>
      </c>
    </row>
    <row r="3621" spans="1:8" x14ac:dyDescent="0.3">
      <c r="A3621" s="2">
        <v>41110</v>
      </c>
      <c r="B3621" s="1" t="s">
        <v>19586</v>
      </c>
      <c r="C3621" s="1" t="s">
        <v>19587</v>
      </c>
      <c r="D3621" s="1" t="s">
        <v>19588</v>
      </c>
      <c r="F3621" s="1" t="s">
        <v>19589</v>
      </c>
      <c r="G3621" s="1" t="s">
        <v>19590</v>
      </c>
      <c r="H3621" s="1" t="s">
        <v>19591</v>
      </c>
    </row>
    <row r="3622" spans="1:8" x14ac:dyDescent="0.3">
      <c r="A3622" s="2">
        <v>41111</v>
      </c>
      <c r="B3622" s="1" t="s">
        <v>19592</v>
      </c>
      <c r="C3622" s="1" t="s">
        <v>19593</v>
      </c>
      <c r="D3622" s="1" t="s">
        <v>19594</v>
      </c>
      <c r="F3622" s="1" t="s">
        <v>19595</v>
      </c>
      <c r="G3622" s="1" t="s">
        <v>19596</v>
      </c>
      <c r="H3622" s="1" t="s">
        <v>19597</v>
      </c>
    </row>
    <row r="3623" spans="1:8" x14ac:dyDescent="0.3">
      <c r="A3623" s="2">
        <v>41112</v>
      </c>
      <c r="B3623" s="1" t="s">
        <v>19598</v>
      </c>
      <c r="C3623" s="1" t="s">
        <v>19599</v>
      </c>
      <c r="D3623" s="1" t="s">
        <v>19600</v>
      </c>
      <c r="F3623" s="1" t="s">
        <v>19601</v>
      </c>
      <c r="G3623" s="1" t="s">
        <v>19602</v>
      </c>
      <c r="H3623" s="1" t="s">
        <v>19603</v>
      </c>
    </row>
    <row r="3624" spans="1:8" x14ac:dyDescent="0.3">
      <c r="A3624" s="2">
        <v>41113</v>
      </c>
      <c r="B3624" s="1" t="s">
        <v>19604</v>
      </c>
      <c r="C3624" s="1" t="s">
        <v>19605</v>
      </c>
      <c r="D3624" s="1" t="s">
        <v>57</v>
      </c>
      <c r="F3624" s="1" t="s">
        <v>57</v>
      </c>
      <c r="G3624" s="1" t="s">
        <v>19606</v>
      </c>
      <c r="H3624" s="1" t="s">
        <v>57</v>
      </c>
    </row>
    <row r="3625" spans="1:8" x14ac:dyDescent="0.3">
      <c r="A3625" s="2">
        <v>41114</v>
      </c>
      <c r="B3625" s="1" t="s">
        <v>19607</v>
      </c>
      <c r="C3625" s="1" t="s">
        <v>19608</v>
      </c>
      <c r="D3625" s="1" t="s">
        <v>19609</v>
      </c>
      <c r="F3625" s="1" t="s">
        <v>19610</v>
      </c>
      <c r="G3625" s="1" t="s">
        <v>19611</v>
      </c>
      <c r="H3625" s="1" t="s">
        <v>19612</v>
      </c>
    </row>
    <row r="3626" spans="1:8" x14ac:dyDescent="0.3">
      <c r="A3626" s="2">
        <v>41115</v>
      </c>
      <c r="B3626" s="1" t="s">
        <v>19613</v>
      </c>
      <c r="C3626" s="1" t="s">
        <v>19614</v>
      </c>
      <c r="D3626" s="1" t="s">
        <v>19615</v>
      </c>
      <c r="F3626" s="1" t="s">
        <v>19616</v>
      </c>
      <c r="G3626" s="1" t="s">
        <v>19617</v>
      </c>
      <c r="H3626" s="1" t="s">
        <v>19618</v>
      </c>
    </row>
    <row r="3627" spans="1:8" x14ac:dyDescent="0.3">
      <c r="A3627" s="2">
        <v>41116</v>
      </c>
      <c r="B3627" s="1" t="s">
        <v>19619</v>
      </c>
      <c r="C3627" s="1" t="s">
        <v>19620</v>
      </c>
      <c r="D3627" s="1" t="s">
        <v>19621</v>
      </c>
      <c r="F3627" s="1" t="s">
        <v>19622</v>
      </c>
      <c r="G3627" s="1" t="s">
        <v>19623</v>
      </c>
      <c r="H3627" s="1" t="s">
        <v>19624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어휘</vt:lpstr>
      <vt:lpstr>음운</vt:lpstr>
      <vt:lpstr>문법</vt:lpstr>
      <vt:lpstr>강원 지역어 어휘조사(종합출력)</vt:lpstr>
      <vt:lpstr>문법!Print_Titles</vt:lpstr>
      <vt:lpstr>어휘!Print_Titles</vt:lpstr>
      <vt:lpstr>음운!Print_Titles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LCN</cp:lastModifiedBy>
  <cp:lastPrinted>2010-12-06T05:27:59Z</cp:lastPrinted>
  <dcterms:created xsi:type="dcterms:W3CDTF">2010-12-04T21:17:38Z</dcterms:created>
  <dcterms:modified xsi:type="dcterms:W3CDTF">2010-12-13T05:58:06Z</dcterms:modified>
</cp:coreProperties>
</file>